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arim\Downloads\"/>
    </mc:Choice>
  </mc:AlternateContent>
  <xr:revisionPtr revIDLastSave="0" documentId="13_ncr:1_{A4B0F70E-7CAD-4FC5-A5E9-AD161B1651A5}" xr6:coauthVersionLast="47" xr6:coauthVersionMax="47" xr10:uidLastSave="{00000000-0000-0000-0000-000000000000}"/>
  <bookViews>
    <workbookView xWindow="-120" yWindow="-120" windowWidth="29040" windowHeight="15720" activeTab="2" xr2:uid="{EE969EBE-C161-433D-BEB2-D316DD0CF10C}"/>
  </bookViews>
  <sheets>
    <sheet name="New Orders CRs" sheetId="1" r:id="rId1"/>
    <sheet name="Sheet1" sheetId="7" r:id="rId2"/>
    <sheet name="RG CRs" sheetId="2" r:id="rId3"/>
    <sheet name="Dates" sheetId="3" r:id="rId4"/>
    <sheet name="Dates-Forms" sheetId="5" r:id="rId5"/>
  </sheets>
  <externalReferences>
    <externalReference r:id="rId6"/>
  </externalReferences>
  <definedNames>
    <definedName name="_xlnm._FilterDatabase" localSheetId="0" hidden="1">'New Orders CRs'!$A$1:$N$20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C5" i="2"/>
  <c r="B5" i="2"/>
  <c r="G5" i="2" s="1"/>
  <c r="X4" i="5" a="1"/>
  <c r="X4" i="5" s="1"/>
  <c r="P9" i="1" s="1"/>
  <c r="T4" i="5" a="1"/>
  <c r="T4" i="5" s="1"/>
  <c r="Q4" i="5" a="1"/>
  <c r="Q4" i="5" s="1"/>
  <c r="S4" i="5" a="1"/>
  <c r="S4" i="5" s="1"/>
  <c r="H4" i="5" a="1"/>
  <c r="H4" i="5" s="1"/>
  <c r="F4" i="5" a="1"/>
  <c r="F4" i="5" s="1"/>
  <c r="L4" i="5" a="1"/>
  <c r="L4" i="5" s="1"/>
  <c r="N4" i="5" a="1"/>
  <c r="N4" i="5" s="1"/>
  <c r="O4" i="5" a="1"/>
  <c r="O4" i="5" s="1"/>
  <c r="G4" i="5" a="1"/>
  <c r="G4" i="5" s="1"/>
  <c r="A4" i="5" a="1"/>
  <c r="A4" i="5" s="1"/>
  <c r="J4" i="5" a="1"/>
  <c r="J4" i="5" s="1"/>
  <c r="M4" i="5" a="1"/>
  <c r="M4" i="5" s="1"/>
  <c r="B4" i="5" a="1"/>
  <c r="B4" i="5" s="1"/>
  <c r="P4" i="5" a="1"/>
  <c r="P4" i="5" s="1"/>
  <c r="I4" i="5" a="1"/>
  <c r="I4" i="5" s="1"/>
  <c r="K4" i="5" a="1"/>
  <c r="K4" i="5" s="1"/>
  <c r="C4" i="5" a="1"/>
  <c r="C4" i="5" s="1"/>
  <c r="E4" i="5" a="1"/>
  <c r="E4" i="5" s="1"/>
  <c r="P6" i="1" s="1"/>
  <c r="D4" i="5" a="1"/>
  <c r="D4" i="5" s="1"/>
  <c r="AD4" i="3" a="1"/>
  <c r="AD4" i="3" s="1"/>
  <c r="AA4" i="3" a="1"/>
  <c r="AA4" i="3" s="1"/>
  <c r="AC4" i="3" a="1"/>
  <c r="AC4" i="3" s="1"/>
  <c r="AB4" i="3" a="1"/>
  <c r="AB4" i="3" s="1"/>
  <c r="P4" i="3" a="1"/>
  <c r="P4" i="3" s="1"/>
  <c r="I4" i="3" a="1"/>
  <c r="I4" i="3" s="1"/>
  <c r="Y4" i="3" a="1"/>
  <c r="Y4" i="3" s="1"/>
  <c r="C4" i="3" a="1"/>
  <c r="C4" i="3" s="1"/>
  <c r="I2" i="7" s="1"/>
  <c r="K4" i="3" a="1"/>
  <c r="K4" i="3" s="1"/>
  <c r="V4" i="3" a="1"/>
  <c r="V4" i="3" s="1"/>
  <c r="S4" i="3" a="1"/>
  <c r="S4" i="3" s="1"/>
  <c r="O4" i="3" a="1"/>
  <c r="O4" i="3" s="1"/>
  <c r="I6" i="7" s="1"/>
  <c r="L4" i="3" a="1"/>
  <c r="L4" i="3" s="1"/>
  <c r="I4" i="7" s="1"/>
  <c r="H4" i="3" a="1"/>
  <c r="H4" i="3" s="1"/>
  <c r="G4" i="3" a="1"/>
  <c r="G4" i="3" s="1"/>
  <c r="D4" i="3" a="1"/>
  <c r="D4" i="3" s="1"/>
  <c r="I5" i="1" s="1"/>
  <c r="U4" i="3" a="1"/>
  <c r="U4" i="3" s="1"/>
  <c r="T4" i="3" a="1"/>
  <c r="T4" i="3" s="1"/>
  <c r="M4" i="3" a="1"/>
  <c r="M4" i="3" s="1"/>
  <c r="I14" i="1" s="1"/>
  <c r="X4" i="3" a="1"/>
  <c r="X4" i="3" s="1"/>
  <c r="I9" i="1" s="1"/>
  <c r="E4" i="3" a="1"/>
  <c r="E4" i="3" s="1"/>
  <c r="I6" i="1" s="1"/>
  <c r="Z4" i="3" a="1"/>
  <c r="Z4" i="3" s="1"/>
  <c r="R4" i="3" a="1"/>
  <c r="R4" i="3" s="1"/>
  <c r="I8" i="1" s="1"/>
  <c r="Q4" i="3" a="1"/>
  <c r="Q4" i="3" s="1"/>
  <c r="J4" i="3" a="1"/>
  <c r="J4" i="3" s="1"/>
  <c r="I11" i="1" s="1"/>
  <c r="F4" i="3" a="1"/>
  <c r="F4" i="3" s="1"/>
  <c r="W4" i="3" a="1"/>
  <c r="W4" i="3" s="1"/>
  <c r="N4" i="3" a="1"/>
  <c r="N4" i="3" s="1"/>
  <c r="I5" i="7" s="1"/>
  <c r="B4" i="3" a="1"/>
  <c r="B4" i="3" s="1"/>
  <c r="A4" i="3" a="1"/>
  <c r="A4" i="3" s="1"/>
  <c r="B7" i="2"/>
  <c r="B4" i="2"/>
  <c r="B3" i="2"/>
  <c r="F2" i="2"/>
  <c r="L5" i="7" a="1"/>
  <c r="L5" i="7" s="1"/>
  <c r="L6" i="7" a="1"/>
  <c r="L6" i="7" s="1"/>
  <c r="L4" i="7" a="1"/>
  <c r="L4" i="7" s="1"/>
  <c r="L3" i="7" a="1"/>
  <c r="L3" i="7" s="1"/>
  <c r="L2" i="7" a="1"/>
  <c r="L2" i="7" s="1"/>
  <c r="S6" i="7"/>
  <c r="R6" i="7"/>
  <c r="O6" i="7"/>
  <c r="N6" i="7"/>
  <c r="M6" i="7"/>
  <c r="K6" i="7"/>
  <c r="H6" i="7"/>
  <c r="G6" i="7"/>
  <c r="F6" i="7"/>
  <c r="E6" i="7"/>
  <c r="D6" i="7"/>
  <c r="S5" i="7"/>
  <c r="R5" i="7"/>
  <c r="O5" i="7"/>
  <c r="N5" i="7"/>
  <c r="M5" i="7"/>
  <c r="K5" i="7"/>
  <c r="H5" i="7"/>
  <c r="G5" i="7"/>
  <c r="F5" i="7"/>
  <c r="E5" i="7"/>
  <c r="D5" i="7"/>
  <c r="S4" i="7"/>
  <c r="R4" i="7"/>
  <c r="O4" i="7"/>
  <c r="N4" i="7"/>
  <c r="M4" i="7"/>
  <c r="K4" i="7"/>
  <c r="H4" i="7"/>
  <c r="G4" i="7"/>
  <c r="F4" i="7"/>
  <c r="E4" i="7"/>
  <c r="D4" i="7"/>
  <c r="S3" i="7"/>
  <c r="R3" i="7"/>
  <c r="O3" i="7"/>
  <c r="N3" i="7"/>
  <c r="M3" i="7"/>
  <c r="K3" i="7"/>
  <c r="H3" i="7"/>
  <c r="G3" i="7"/>
  <c r="F3" i="7"/>
  <c r="E3" i="7"/>
  <c r="D3" i="7"/>
  <c r="S2" i="7"/>
  <c r="R2" i="7"/>
  <c r="O2" i="7"/>
  <c r="N2" i="7"/>
  <c r="M2" i="7"/>
  <c r="K2" i="7"/>
  <c r="H2" i="7"/>
  <c r="G2" i="7"/>
  <c r="F2" i="7"/>
  <c r="E2" i="7"/>
  <c r="D2" i="7"/>
  <c r="L9" i="1" a="1"/>
  <c r="L9" i="1" s="1"/>
  <c r="L10" i="1" a="1"/>
  <c r="L10" i="1" s="1"/>
  <c r="L11" i="1" a="1"/>
  <c r="L11" i="1" s="1"/>
  <c r="L12" i="1" a="1"/>
  <c r="L12" i="1" s="1"/>
  <c r="L8" i="1" a="1"/>
  <c r="L8" i="1" s="1"/>
  <c r="L5" i="1" a="1"/>
  <c r="L5" i="1" s="1"/>
  <c r="L6" i="1" a="1"/>
  <c r="L6" i="1" s="1"/>
  <c r="L4" i="1" a="1"/>
  <c r="L4" i="1" s="1"/>
  <c r="L3" i="1" a="1"/>
  <c r="L3" i="1" s="1"/>
  <c r="L7" i="1" a="1"/>
  <c r="L7" i="1" s="1"/>
  <c r="H30" i="1" a="1"/>
  <c r="H30" i="1" s="1"/>
  <c r="F30" i="1" a="1"/>
  <c r="F30" i="1" s="1"/>
  <c r="I30" i="1" a="1"/>
  <c r="I30" i="1" s="1"/>
  <c r="G30" i="1" a="1"/>
  <c r="G30" i="1" s="1"/>
  <c r="E30" i="1" a="1"/>
  <c r="E30" i="1" s="1"/>
  <c r="D30" i="1" a="1"/>
  <c r="D30" i="1" s="1"/>
  <c r="C30" i="1" a="1"/>
  <c r="C30" i="1" s="1"/>
  <c r="U29" i="1" a="1"/>
  <c r="U29" i="1" s="1"/>
  <c r="S29" i="1" a="1"/>
  <c r="S29" i="1" s="1"/>
  <c r="R29" i="1" a="1"/>
  <c r="R29" i="1" s="1"/>
  <c r="T29" i="1" a="1"/>
  <c r="T29" i="1" s="1"/>
  <c r="M29" i="1" a="1"/>
  <c r="M29" i="1" s="1"/>
  <c r="O29" i="1" a="1"/>
  <c r="O29" i="1" s="1"/>
  <c r="Q29" i="1" a="1"/>
  <c r="Q29" i="1" s="1"/>
  <c r="N29" i="1" a="1"/>
  <c r="N29" i="1" s="1"/>
  <c r="P29" i="1" a="1"/>
  <c r="P29" i="1" s="1"/>
  <c r="K29" i="1" a="1"/>
  <c r="K29" i="1" s="1"/>
  <c r="J29" i="1" a="1"/>
  <c r="J29" i="1" s="1"/>
  <c r="G29" i="1" a="1"/>
  <c r="G29" i="1" s="1"/>
  <c r="L29" i="1" a="1"/>
  <c r="L29" i="1" s="1"/>
  <c r="H29" i="1" a="1"/>
  <c r="H29" i="1" s="1"/>
  <c r="I29" i="1" a="1"/>
  <c r="I29" i="1" s="1"/>
  <c r="D29" i="1" a="1"/>
  <c r="D29" i="1" s="1"/>
  <c r="P28" i="1" a="1"/>
  <c r="P28" i="1" s="1"/>
  <c r="E29" i="1" a="1"/>
  <c r="E29" i="1" s="1"/>
  <c r="Q28" i="1" a="1"/>
  <c r="Q28" i="1" s="1"/>
  <c r="O28" i="1" a="1"/>
  <c r="O28" i="1" s="1"/>
  <c r="R28" i="1" a="1"/>
  <c r="R28" i="1" s="1"/>
  <c r="U28" i="1" a="1"/>
  <c r="U28" i="1" s="1"/>
  <c r="C29" i="1" a="1"/>
  <c r="C29" i="1" s="1"/>
  <c r="S28" i="1" a="1"/>
  <c r="S28" i="1" s="1"/>
  <c r="T28" i="1" a="1"/>
  <c r="T28" i="1" s="1"/>
  <c r="F29" i="1" a="1"/>
  <c r="F29" i="1" s="1"/>
  <c r="N28" i="1" a="1"/>
  <c r="N28" i="1" s="1"/>
  <c r="M28" i="1" a="1"/>
  <c r="M28" i="1" s="1"/>
  <c r="I28" i="1" a="1"/>
  <c r="I28" i="1" s="1"/>
  <c r="H28" i="1" a="1"/>
  <c r="H28" i="1" s="1"/>
  <c r="L28" i="1" a="1"/>
  <c r="L28" i="1" s="1"/>
  <c r="G28" i="1" a="1"/>
  <c r="G28" i="1" s="1"/>
  <c r="F28" i="1" a="1"/>
  <c r="F28" i="1" s="1"/>
  <c r="J28" i="1" a="1"/>
  <c r="J28" i="1" s="1"/>
  <c r="K28" i="1" a="1"/>
  <c r="K28" i="1" s="1"/>
  <c r="E28" i="1" a="1"/>
  <c r="E28" i="1" s="1"/>
  <c r="R27" i="1" a="1"/>
  <c r="R27" i="1" s="1"/>
  <c r="T27" i="1" a="1"/>
  <c r="T27" i="1" s="1"/>
  <c r="S27" i="1" a="1"/>
  <c r="S27" i="1" s="1"/>
  <c r="U27" i="1" a="1"/>
  <c r="U27" i="1" s="1"/>
  <c r="D28" i="1" a="1"/>
  <c r="D28" i="1" s="1"/>
  <c r="Q27" i="1" a="1"/>
  <c r="Q27" i="1" s="1"/>
  <c r="C28" i="1" a="1"/>
  <c r="C28" i="1" s="1"/>
  <c r="N27" i="1" a="1"/>
  <c r="N27" i="1" s="1"/>
  <c r="K27" i="1" a="1"/>
  <c r="K27" i="1" s="1"/>
  <c r="H27" i="1" a="1"/>
  <c r="H27" i="1" s="1"/>
  <c r="J27" i="1" a="1"/>
  <c r="J27" i="1" s="1"/>
  <c r="L27" i="1" a="1"/>
  <c r="L27" i="1" s="1"/>
  <c r="M27" i="1" a="1"/>
  <c r="M27" i="1" s="1"/>
  <c r="O27" i="1" a="1"/>
  <c r="O27" i="1" s="1"/>
  <c r="P27" i="1" a="1"/>
  <c r="P27" i="1" s="1"/>
  <c r="I27" i="1" a="1"/>
  <c r="I27" i="1" s="1"/>
  <c r="F27" i="1" a="1"/>
  <c r="F27" i="1" s="1"/>
  <c r="G27" i="1" a="1"/>
  <c r="G27" i="1" s="1"/>
  <c r="E27" i="1" a="1"/>
  <c r="E27" i="1" s="1"/>
  <c r="D27" i="1" a="1"/>
  <c r="D27" i="1" s="1"/>
  <c r="T26" i="1" a="1"/>
  <c r="T26" i="1" s="1"/>
  <c r="R26" i="1" a="1"/>
  <c r="R26" i="1" s="1"/>
  <c r="S26" i="1" a="1"/>
  <c r="S26" i="1" s="1"/>
  <c r="C27" i="1" a="1"/>
  <c r="C27" i="1" s="1"/>
  <c r="Q26" i="1" a="1"/>
  <c r="Q26" i="1" s="1"/>
  <c r="U26" i="1" a="1"/>
  <c r="U26" i="1" s="1"/>
  <c r="P26" i="1" a="1"/>
  <c r="P26" i="1" s="1"/>
  <c r="N26" i="1" a="1"/>
  <c r="N26" i="1" s="1"/>
  <c r="L26" i="1" a="1"/>
  <c r="L26" i="1" s="1"/>
  <c r="M26" i="1" a="1"/>
  <c r="M26" i="1" s="1"/>
  <c r="O26" i="1" a="1"/>
  <c r="O26" i="1" s="1"/>
  <c r="J26" i="1" a="1"/>
  <c r="J26" i="1" s="1"/>
  <c r="H26" i="1" a="1"/>
  <c r="H26" i="1" s="1"/>
  <c r="I26" i="1" a="1"/>
  <c r="I26" i="1" s="1"/>
  <c r="K26" i="1" a="1"/>
  <c r="K26" i="1" s="1"/>
  <c r="F26" i="1" a="1"/>
  <c r="F26" i="1" s="1"/>
  <c r="D26" i="1" a="1"/>
  <c r="D26" i="1" s="1"/>
  <c r="E26" i="1" a="1"/>
  <c r="E26" i="1" s="1"/>
  <c r="G26" i="1" a="1"/>
  <c r="G26" i="1" s="1"/>
  <c r="E23" i="1" a="1"/>
  <c r="E23" i="1" s="1"/>
  <c r="L20" i="1" a="1"/>
  <c r="L20" i="1" s="1"/>
  <c r="C26" i="1" a="1"/>
  <c r="C26" i="1" s="1"/>
  <c r="L19" i="1" a="1"/>
  <c r="L19" i="1" s="1"/>
  <c r="L18" i="1" a="1"/>
  <c r="L18" i="1" s="1"/>
  <c r="L17" i="1" a="1"/>
  <c r="L17" i="1" s="1"/>
  <c r="L16" i="1" a="1"/>
  <c r="L16" i="1" s="1"/>
  <c r="L15" i="1" a="1"/>
  <c r="L15" i="1" s="1"/>
  <c r="L13" i="1" a="1"/>
  <c r="L13" i="1" s="1"/>
  <c r="L14" i="1" a="1"/>
  <c r="L14" i="1" s="1"/>
  <c r="I37" i="1" a="1"/>
  <c r="I37" i="1" s="1"/>
  <c r="R37" i="1" a="1"/>
  <c r="R37" i="1" s="1"/>
  <c r="P37" i="1" a="1"/>
  <c r="P37" i="1" s="1"/>
  <c r="C37" i="1" a="1"/>
  <c r="C37" i="1" s="1"/>
  <c r="S37" i="1" a="1"/>
  <c r="S37" i="1" s="1"/>
  <c r="D37" i="1" a="1"/>
  <c r="D37" i="1" s="1"/>
  <c r="U36" i="1" a="1"/>
  <c r="U36" i="1" s="1"/>
  <c r="N37" i="1" a="1"/>
  <c r="N37" i="1" s="1"/>
  <c r="U37" i="1" a="1"/>
  <c r="U37" i="1" s="1"/>
  <c r="Q37" i="1" a="1"/>
  <c r="Q37" i="1" s="1"/>
  <c r="L37" i="1" a="1"/>
  <c r="L37" i="1" s="1"/>
  <c r="H37" i="1" a="1"/>
  <c r="H37" i="1" s="1"/>
  <c r="J37" i="1" a="1"/>
  <c r="J37" i="1" s="1"/>
  <c r="K37" i="1" a="1"/>
  <c r="K37" i="1" s="1"/>
  <c r="O37" i="1" a="1"/>
  <c r="O37" i="1" s="1"/>
  <c r="F37" i="1" a="1"/>
  <c r="F37" i="1" s="1"/>
  <c r="E37" i="1" a="1"/>
  <c r="E37" i="1" s="1"/>
  <c r="G37" i="1" a="1"/>
  <c r="G37" i="1" s="1"/>
  <c r="M37" i="1" a="1"/>
  <c r="M37" i="1" s="1"/>
  <c r="T37" i="1" a="1"/>
  <c r="T37" i="1" s="1"/>
  <c r="K36" i="1" a="1"/>
  <c r="K36" i="1" s="1"/>
  <c r="F36" i="1" a="1"/>
  <c r="F36" i="1" s="1"/>
  <c r="L36" i="1" a="1"/>
  <c r="L36" i="1" s="1"/>
  <c r="N36" i="1" a="1"/>
  <c r="N36" i="1" s="1"/>
  <c r="H36" i="1" a="1"/>
  <c r="H36" i="1" s="1"/>
  <c r="I36" i="1" a="1"/>
  <c r="I36" i="1" s="1"/>
  <c r="C36" i="1" a="1"/>
  <c r="C36" i="1" s="1"/>
  <c r="G36" i="1" a="1"/>
  <c r="G36" i="1" s="1"/>
  <c r="S36" i="1" a="1"/>
  <c r="S36" i="1" s="1"/>
  <c r="T36" i="1" a="1"/>
  <c r="T36" i="1" s="1"/>
  <c r="R36" i="1" a="1"/>
  <c r="R36" i="1" s="1"/>
  <c r="E36" i="1" a="1"/>
  <c r="E36" i="1" s="1"/>
  <c r="U35" i="1" a="1"/>
  <c r="U35" i="1" s="1"/>
  <c r="P36" i="1" a="1"/>
  <c r="P36" i="1" s="1"/>
  <c r="O36" i="1" a="1"/>
  <c r="O36" i="1" s="1"/>
  <c r="Q36" i="1" a="1"/>
  <c r="Q36" i="1" s="1"/>
  <c r="T35" i="1" a="1"/>
  <c r="T35" i="1" s="1"/>
  <c r="J36" i="1" a="1"/>
  <c r="J36" i="1" s="1"/>
  <c r="M36" i="1" a="1"/>
  <c r="M36" i="1" s="1"/>
  <c r="D36" i="1" a="1"/>
  <c r="D36" i="1" s="1"/>
  <c r="G45" i="1" a="1"/>
  <c r="G45" i="1" s="1"/>
  <c r="I45" i="1" a="1"/>
  <c r="I45" i="1" s="1"/>
  <c r="E45" i="1" a="1"/>
  <c r="E45" i="1" s="1"/>
  <c r="C45" i="1" a="1"/>
  <c r="C45" i="1" s="1"/>
  <c r="T42" i="1" a="1"/>
  <c r="T42" i="1" s="1"/>
  <c r="Q42" i="1" a="1"/>
  <c r="Q42" i="1" s="1"/>
  <c r="S42" i="1" a="1"/>
  <c r="S42" i="1" s="1"/>
  <c r="P42" i="1" a="1"/>
  <c r="P42" i="1" s="1"/>
  <c r="U42" i="1" a="1"/>
  <c r="U42" i="1" s="1"/>
  <c r="L42" i="1" a="1"/>
  <c r="L42" i="1" s="1"/>
  <c r="R42" i="1" a="1"/>
  <c r="R42" i="1" s="1"/>
  <c r="O42" i="1" a="1"/>
  <c r="O42" i="1" s="1"/>
  <c r="I42" i="1" a="1"/>
  <c r="I42" i="1" s="1"/>
  <c r="M42" i="1" a="1"/>
  <c r="M42" i="1" s="1"/>
  <c r="J42" i="1" a="1"/>
  <c r="J42" i="1" s="1"/>
  <c r="N42" i="1" a="1"/>
  <c r="N42" i="1" s="1"/>
  <c r="H42" i="1" a="1"/>
  <c r="H42" i="1" s="1"/>
  <c r="K42" i="1" a="1"/>
  <c r="K42" i="1" s="1"/>
  <c r="E42" i="1" a="1"/>
  <c r="E42" i="1" s="1"/>
  <c r="G42" i="1" a="1"/>
  <c r="G42" i="1" s="1"/>
  <c r="F42" i="1" a="1"/>
  <c r="F42" i="1" s="1"/>
  <c r="C42" i="1" a="1"/>
  <c r="C42" i="1" s="1"/>
  <c r="Q41" i="1" a="1"/>
  <c r="Q41" i="1" s="1"/>
  <c r="U41" i="1" a="1"/>
  <c r="U41" i="1" s="1"/>
  <c r="S41" i="1" a="1"/>
  <c r="S41" i="1" s="1"/>
  <c r="R41" i="1" a="1"/>
  <c r="R41" i="1" s="1"/>
  <c r="T41" i="1" a="1"/>
  <c r="T41" i="1" s="1"/>
  <c r="P41" i="1" a="1"/>
  <c r="P41" i="1" s="1"/>
  <c r="O41" i="1" a="1"/>
  <c r="O41" i="1" s="1"/>
  <c r="D42" i="1" a="1"/>
  <c r="D42" i="1" s="1"/>
  <c r="N41" i="1" a="1"/>
  <c r="N41" i="1" s="1"/>
  <c r="L41" i="1" a="1"/>
  <c r="L41" i="1" s="1"/>
  <c r="I41" i="1" a="1"/>
  <c r="I41" i="1" s="1"/>
  <c r="H41" i="1" a="1"/>
  <c r="H41" i="1" s="1"/>
  <c r="M41" i="1" a="1"/>
  <c r="M41" i="1" s="1"/>
  <c r="K41" i="1" a="1"/>
  <c r="K41" i="1" s="1"/>
  <c r="J41" i="1" a="1"/>
  <c r="J41" i="1" s="1"/>
  <c r="F41" i="1" a="1"/>
  <c r="F41" i="1" s="1"/>
  <c r="D41" i="1" a="1"/>
  <c r="D41" i="1" s="1"/>
  <c r="T40" i="1" a="1"/>
  <c r="T40" i="1" s="1"/>
  <c r="U40" i="1" a="1"/>
  <c r="U40" i="1" s="1"/>
  <c r="S40" i="1" a="1"/>
  <c r="S40" i="1" s="1"/>
  <c r="C41" i="1" a="1"/>
  <c r="C41" i="1" s="1"/>
  <c r="G41" i="1" a="1"/>
  <c r="G41" i="1" s="1"/>
  <c r="R40" i="1" a="1"/>
  <c r="R40" i="1" s="1"/>
  <c r="Q40" i="1" a="1"/>
  <c r="Q40" i="1" s="1"/>
  <c r="E41" i="1" a="1"/>
  <c r="E41" i="1" s="1"/>
  <c r="O40" i="1" a="1"/>
  <c r="O40" i="1" s="1"/>
  <c r="L40" i="1" a="1"/>
  <c r="L40" i="1" s="1"/>
  <c r="M40" i="1" a="1"/>
  <c r="M40" i="1" s="1"/>
  <c r="K40" i="1" a="1"/>
  <c r="K40" i="1" s="1"/>
  <c r="P40" i="1" a="1"/>
  <c r="P40" i="1" s="1"/>
  <c r="I40" i="1" a="1"/>
  <c r="I40" i="1" s="1"/>
  <c r="N40" i="1" a="1"/>
  <c r="N40" i="1" s="1"/>
  <c r="E40" i="1" a="1"/>
  <c r="E40" i="1" s="1"/>
  <c r="C40" i="1" a="1"/>
  <c r="C40" i="1" s="1"/>
  <c r="H40" i="1" a="1"/>
  <c r="H40" i="1" s="1"/>
  <c r="D40" i="1" a="1"/>
  <c r="D40" i="1" s="1"/>
  <c r="F40" i="1" a="1"/>
  <c r="F40" i="1" s="1"/>
  <c r="G40" i="1" a="1"/>
  <c r="G40" i="1" s="1"/>
  <c r="R30" i="1" a="1"/>
  <c r="R30" i="1" s="1"/>
  <c r="P30" i="1" a="1"/>
  <c r="P30" i="1" s="1"/>
  <c r="L30" i="1" a="1"/>
  <c r="L30" i="1" s="1"/>
  <c r="M30" i="1" a="1"/>
  <c r="M30" i="1" s="1"/>
  <c r="O30" i="1" a="1"/>
  <c r="O30" i="1" s="1"/>
  <c r="N30" i="1" a="1"/>
  <c r="N30" i="1" s="1"/>
  <c r="Q30" i="1" a="1"/>
  <c r="Q30" i="1" s="1"/>
  <c r="J30" i="1" a="1"/>
  <c r="J30" i="1" s="1"/>
  <c r="K30" i="1" a="1"/>
  <c r="K30" i="1" s="1"/>
  <c r="S35" i="1" a="1"/>
  <c r="S35" i="1" s="1"/>
  <c r="R35" i="1" a="1"/>
  <c r="R35" i="1" s="1"/>
  <c r="N35" i="1" a="1"/>
  <c r="N35" i="1" s="1"/>
  <c r="P35" i="1" a="1"/>
  <c r="P35" i="1" s="1"/>
  <c r="Q35" i="1" a="1"/>
  <c r="Q35" i="1" s="1"/>
  <c r="O35" i="1" a="1"/>
  <c r="O35" i="1" s="1"/>
  <c r="M35" i="1" a="1"/>
  <c r="M35" i="1" s="1"/>
  <c r="L35" i="1" a="1"/>
  <c r="L35" i="1" s="1"/>
  <c r="K35" i="1" a="1"/>
  <c r="K35" i="1" s="1"/>
  <c r="J35" i="1" a="1"/>
  <c r="J35" i="1" s="1"/>
  <c r="I35" i="1" a="1"/>
  <c r="I35" i="1" s="1"/>
  <c r="H35" i="1" a="1"/>
  <c r="H35" i="1" s="1"/>
  <c r="F35" i="1" a="1"/>
  <c r="F35" i="1" s="1"/>
  <c r="G35" i="1" a="1"/>
  <c r="G35" i="1" s="1"/>
  <c r="D35" i="1" a="1"/>
  <c r="D35" i="1" s="1"/>
  <c r="E35" i="1" a="1"/>
  <c r="E35" i="1" s="1"/>
  <c r="C35" i="1" a="1"/>
  <c r="C35" i="1" s="1"/>
  <c r="S32" i="1" a="1"/>
  <c r="S32" i="1" s="1"/>
  <c r="U32" i="1" a="1"/>
  <c r="U32" i="1" s="1"/>
  <c r="Q32" i="1" a="1"/>
  <c r="Q32" i="1" s="1"/>
  <c r="R32" i="1" a="1"/>
  <c r="R32" i="1" s="1"/>
  <c r="P32" i="1" a="1"/>
  <c r="P32" i="1" s="1"/>
  <c r="T32" i="1" a="1"/>
  <c r="T32" i="1" s="1"/>
  <c r="O32" i="1" a="1"/>
  <c r="O32" i="1" s="1"/>
  <c r="L32" i="1" a="1"/>
  <c r="L32" i="1" s="1"/>
  <c r="M32" i="1" a="1"/>
  <c r="M32" i="1" s="1"/>
  <c r="K32" i="1" a="1"/>
  <c r="K32" i="1" s="1"/>
  <c r="N32" i="1" a="1"/>
  <c r="N32" i="1" s="1"/>
  <c r="J32" i="1" a="1"/>
  <c r="J32" i="1" s="1"/>
  <c r="I32" i="1" a="1"/>
  <c r="I32" i="1" s="1"/>
  <c r="H32" i="1" a="1"/>
  <c r="H32" i="1" s="1"/>
  <c r="G32" i="1" a="1"/>
  <c r="G32" i="1" s="1"/>
  <c r="F32" i="1" a="1"/>
  <c r="F32" i="1" s="1"/>
  <c r="E32" i="1" a="1"/>
  <c r="E32" i="1" s="1"/>
  <c r="C32" i="1" a="1"/>
  <c r="C32" i="1" s="1"/>
  <c r="D32" i="1" a="1"/>
  <c r="D32" i="1" s="1"/>
  <c r="U31" i="1" a="1"/>
  <c r="U31" i="1" s="1"/>
  <c r="S31" i="1" a="1"/>
  <c r="S31" i="1" s="1"/>
  <c r="R31" i="1" a="1"/>
  <c r="R31" i="1" s="1"/>
  <c r="T31" i="1" a="1"/>
  <c r="T31" i="1" s="1"/>
  <c r="Q31" i="1" a="1"/>
  <c r="Q31" i="1" s="1"/>
  <c r="P31" i="1" a="1"/>
  <c r="P31" i="1" s="1"/>
  <c r="M31" i="1" a="1"/>
  <c r="M31" i="1" s="1"/>
  <c r="N31" i="1" a="1"/>
  <c r="N31" i="1" s="1"/>
  <c r="L31" i="1" a="1"/>
  <c r="L31" i="1" s="1"/>
  <c r="O31" i="1" a="1"/>
  <c r="O31" i="1" s="1"/>
  <c r="K31" i="1" a="1"/>
  <c r="K31" i="1" s="1"/>
  <c r="I31" i="1" a="1"/>
  <c r="I31" i="1" s="1"/>
  <c r="J31" i="1" a="1"/>
  <c r="J31" i="1" s="1"/>
  <c r="G31" i="1" a="1"/>
  <c r="G31" i="1" s="1"/>
  <c r="F31" i="1" a="1"/>
  <c r="F31" i="1" s="1"/>
  <c r="S30" i="1" a="1"/>
  <c r="S30" i="1" s="1"/>
  <c r="E31" i="1" a="1"/>
  <c r="E31" i="1" s="1"/>
  <c r="H31" i="1" a="1"/>
  <c r="H31" i="1" s="1"/>
  <c r="C31" i="1" a="1"/>
  <c r="C31" i="1" s="1"/>
  <c r="D31" i="1" a="1"/>
  <c r="D31" i="1" s="1"/>
  <c r="T30" i="1" a="1"/>
  <c r="T30" i="1" s="1"/>
  <c r="U30" i="1" a="1"/>
  <c r="U30" i="1" s="1"/>
  <c r="B55" i="1"/>
  <c r="B54" i="1"/>
  <c r="S20" i="1"/>
  <c r="R20" i="1"/>
  <c r="O20" i="1"/>
  <c r="N20" i="1"/>
  <c r="M20" i="1"/>
  <c r="K20" i="1"/>
  <c r="H20" i="1"/>
  <c r="G20" i="1"/>
  <c r="F20" i="1"/>
  <c r="E20" i="1"/>
  <c r="D20" i="1"/>
  <c r="S19" i="1"/>
  <c r="R19" i="1"/>
  <c r="O19" i="1"/>
  <c r="N19" i="1"/>
  <c r="M19" i="1"/>
  <c r="K19" i="1"/>
  <c r="H19" i="1"/>
  <c r="G19" i="1"/>
  <c r="F19" i="1"/>
  <c r="E19" i="1"/>
  <c r="D19" i="1"/>
  <c r="S18" i="1"/>
  <c r="R18" i="1"/>
  <c r="O18" i="1"/>
  <c r="N18" i="1"/>
  <c r="M18" i="1"/>
  <c r="K18" i="1"/>
  <c r="H18" i="1"/>
  <c r="G18" i="1"/>
  <c r="F18" i="1"/>
  <c r="E18" i="1"/>
  <c r="D18" i="1"/>
  <c r="S17" i="1"/>
  <c r="R17" i="1"/>
  <c r="O17" i="1"/>
  <c r="N17" i="1"/>
  <c r="M17" i="1"/>
  <c r="K17" i="1"/>
  <c r="H17" i="1"/>
  <c r="G17" i="1"/>
  <c r="F17" i="1"/>
  <c r="E17" i="1"/>
  <c r="D17" i="1"/>
  <c r="S16" i="1"/>
  <c r="R16" i="1"/>
  <c r="O16" i="1"/>
  <c r="N16" i="1"/>
  <c r="M16" i="1"/>
  <c r="K16" i="1"/>
  <c r="H16" i="1"/>
  <c r="G16" i="1"/>
  <c r="F16" i="1"/>
  <c r="E16" i="1"/>
  <c r="D16" i="1"/>
  <c r="S15" i="1"/>
  <c r="R15" i="1"/>
  <c r="O15" i="1"/>
  <c r="N15" i="1"/>
  <c r="M15" i="1"/>
  <c r="K15" i="1"/>
  <c r="H15" i="1"/>
  <c r="G15" i="1"/>
  <c r="F15" i="1"/>
  <c r="E15" i="1"/>
  <c r="D15" i="1"/>
  <c r="S14" i="1"/>
  <c r="R14" i="1"/>
  <c r="O14" i="1"/>
  <c r="N14" i="1"/>
  <c r="M14" i="1"/>
  <c r="K14" i="1"/>
  <c r="H14" i="1"/>
  <c r="G14" i="1"/>
  <c r="F14" i="1"/>
  <c r="E14" i="1"/>
  <c r="D14" i="1"/>
  <c r="S13" i="1"/>
  <c r="R13" i="1"/>
  <c r="O13" i="1"/>
  <c r="N13" i="1"/>
  <c r="M13" i="1"/>
  <c r="K13" i="1"/>
  <c r="H13" i="1"/>
  <c r="G13" i="1"/>
  <c r="F13" i="1"/>
  <c r="E13" i="1"/>
  <c r="D13" i="1"/>
  <c r="S12" i="1"/>
  <c r="R12" i="1"/>
  <c r="O12" i="1"/>
  <c r="N12" i="1"/>
  <c r="M12" i="1"/>
  <c r="K12" i="1"/>
  <c r="H12" i="1"/>
  <c r="G12" i="1"/>
  <c r="F12" i="1"/>
  <c r="E12" i="1"/>
  <c r="D12" i="1"/>
  <c r="S11" i="1"/>
  <c r="R11" i="1"/>
  <c r="O11" i="1"/>
  <c r="N11" i="1"/>
  <c r="M11" i="1"/>
  <c r="K11" i="1"/>
  <c r="H11" i="1"/>
  <c r="G11" i="1"/>
  <c r="F11" i="1"/>
  <c r="E11" i="1"/>
  <c r="D11" i="1"/>
  <c r="S10" i="1"/>
  <c r="R10" i="1"/>
  <c r="O10" i="1"/>
  <c r="N10" i="1"/>
  <c r="M10" i="1"/>
  <c r="K10" i="1"/>
  <c r="H10" i="1"/>
  <c r="G10" i="1"/>
  <c r="F10" i="1"/>
  <c r="E10" i="1"/>
  <c r="D10" i="1"/>
  <c r="S9" i="1"/>
  <c r="R9" i="1"/>
  <c r="O9" i="1"/>
  <c r="N9" i="1"/>
  <c r="M9" i="1"/>
  <c r="K9" i="1"/>
  <c r="H9" i="1"/>
  <c r="G9" i="1"/>
  <c r="F9" i="1"/>
  <c r="E9" i="1"/>
  <c r="D9" i="1"/>
  <c r="S8" i="1"/>
  <c r="R8" i="1"/>
  <c r="O8" i="1"/>
  <c r="N8" i="1"/>
  <c r="M8" i="1"/>
  <c r="K8" i="1"/>
  <c r="H8" i="1"/>
  <c r="G8" i="1"/>
  <c r="F8" i="1"/>
  <c r="E8" i="1"/>
  <c r="D8" i="1"/>
  <c r="S7" i="1"/>
  <c r="R7" i="1"/>
  <c r="O7" i="1"/>
  <c r="N7" i="1"/>
  <c r="M7" i="1"/>
  <c r="K7" i="1"/>
  <c r="H7" i="1"/>
  <c r="G7" i="1"/>
  <c r="F7" i="1"/>
  <c r="E7" i="1"/>
  <c r="D7" i="1"/>
  <c r="S6" i="1"/>
  <c r="R6" i="1"/>
  <c r="O6" i="1"/>
  <c r="N6" i="1"/>
  <c r="M6" i="1"/>
  <c r="K6" i="1"/>
  <c r="H6" i="1"/>
  <c r="G6" i="1"/>
  <c r="F6" i="1"/>
  <c r="E6" i="1"/>
  <c r="D6" i="1"/>
  <c r="S5" i="1"/>
  <c r="R5" i="1"/>
  <c r="O5" i="1"/>
  <c r="N5" i="1"/>
  <c r="M5" i="1"/>
  <c r="K5" i="1"/>
  <c r="H5" i="1"/>
  <c r="G5" i="1"/>
  <c r="F5" i="1"/>
  <c r="E5" i="1"/>
  <c r="D5" i="1"/>
  <c r="S4" i="1"/>
  <c r="R4" i="1"/>
  <c r="O4" i="1"/>
  <c r="N4" i="1"/>
  <c r="M4" i="1"/>
  <c r="K4" i="1"/>
  <c r="H4" i="1"/>
  <c r="G4" i="1"/>
  <c r="F4" i="1"/>
  <c r="E4" i="1"/>
  <c r="D4" i="1"/>
  <c r="S3" i="1"/>
  <c r="S22" i="1" s="1"/>
  <c r="R3" i="1"/>
  <c r="R22" i="1" s="1"/>
  <c r="O3" i="1"/>
  <c r="N3" i="1"/>
  <c r="M3" i="1"/>
  <c r="K3" i="1"/>
  <c r="H3" i="1"/>
  <c r="G3" i="1"/>
  <c r="F3" i="1"/>
  <c r="E3" i="1"/>
  <c r="D3" i="1"/>
  <c r="P13" i="1"/>
  <c r="C6" i="7"/>
  <c r="Q6" i="7" s="1"/>
  <c r="C5" i="7"/>
  <c r="Q5" i="7" s="1"/>
  <c r="C4" i="7"/>
  <c r="Q4" i="7" s="1"/>
  <c r="P3" i="7"/>
  <c r="I3" i="7"/>
  <c r="P2" i="7"/>
  <c r="I7" i="1"/>
  <c r="I10" i="1"/>
  <c r="I12" i="1"/>
  <c r="T43" i="1" l="1"/>
  <c r="U43" i="1"/>
  <c r="S43" i="1"/>
  <c r="O43" i="1"/>
  <c r="K43" i="1"/>
  <c r="G43" i="1"/>
  <c r="R43" i="1"/>
  <c r="N43" i="1"/>
  <c r="J43" i="1"/>
  <c r="F43" i="1"/>
  <c r="Q43" i="1"/>
  <c r="M43" i="1"/>
  <c r="I43" i="1"/>
  <c r="E43" i="1"/>
  <c r="P43" i="1"/>
  <c r="L43" i="1"/>
  <c r="H43" i="1"/>
  <c r="D43" i="1"/>
  <c r="C3" i="7"/>
  <c r="Q3" i="7" s="1"/>
  <c r="C2" i="7"/>
  <c r="Q2" i="7" s="1"/>
  <c r="C5" i="1"/>
  <c r="Q5" i="1" s="1"/>
  <c r="C8" i="1"/>
  <c r="Q8" i="1" s="1"/>
  <c r="C9" i="1"/>
  <c r="Q9" i="1" s="1"/>
  <c r="C7" i="1"/>
  <c r="Q7" i="1" s="1"/>
  <c r="C14" i="1"/>
  <c r="Q14" i="1" s="1"/>
  <c r="C10" i="1"/>
  <c r="Q10" i="1" s="1"/>
  <c r="C6" i="1"/>
  <c r="Q6" i="1" s="1"/>
  <c r="C12" i="1"/>
  <c r="Q12" i="1" s="1"/>
  <c r="C11" i="1"/>
  <c r="Q11" i="1" s="1"/>
  <c r="I20" i="1"/>
  <c r="P16" i="1"/>
  <c r="P4" i="1"/>
  <c r="P22" i="1" l="1"/>
  <c r="I19" i="1" l="1"/>
  <c r="I18" i="1"/>
  <c r="C20" i="1" l="1"/>
  <c r="Q20" i="1" s="1"/>
  <c r="C19" i="1"/>
  <c r="Q19" i="1" s="1"/>
  <c r="C18" i="1"/>
  <c r="Q18" i="1" s="1"/>
  <c r="C6" i="2" l="1"/>
  <c r="U34" i="1" l="1"/>
  <c r="T34" i="1"/>
  <c r="S34" i="1"/>
  <c r="Q34" i="1"/>
  <c r="Y36" i="1"/>
  <c r="T44" i="1" l="1"/>
  <c r="O48" i="1"/>
  <c r="O54" i="1" s="1"/>
  <c r="O49" i="1"/>
  <c r="O55" i="1" s="1"/>
  <c r="U44" i="1"/>
  <c r="J54" i="1"/>
  <c r="O51" i="1" l="1"/>
  <c r="R34" i="1"/>
  <c r="S44" i="1" s="1"/>
  <c r="G7" i="2" l="1"/>
  <c r="C7" i="2" l="1"/>
  <c r="G6" i="2" l="1"/>
  <c r="B8" i="2"/>
  <c r="R44" i="1" l="1"/>
  <c r="P34" i="1"/>
  <c r="N34" i="1"/>
  <c r="O34" i="1"/>
  <c r="M49" i="1" l="1"/>
  <c r="M55" i="1" s="1"/>
  <c r="M48" i="1"/>
  <c r="P44" i="1"/>
  <c r="Q44" i="1"/>
  <c r="O44" i="1"/>
  <c r="M54" i="1" l="1"/>
  <c r="O52" i="1"/>
  <c r="Y35" i="1"/>
  <c r="M34" i="1"/>
  <c r="L34" i="1"/>
  <c r="K48" i="1" l="1"/>
  <c r="N44" i="1"/>
  <c r="M44" i="1"/>
  <c r="K49" i="1"/>
  <c r="K55" i="1" s="1"/>
  <c r="I34" i="1"/>
  <c r="K34" i="1"/>
  <c r="L44" i="1" s="1"/>
  <c r="H34" i="1"/>
  <c r="M52" i="1" l="1"/>
  <c r="K54" i="1"/>
  <c r="M51" i="1"/>
  <c r="K44" i="1"/>
  <c r="H48" i="1"/>
  <c r="K52" i="1" l="1"/>
  <c r="H54" i="1"/>
  <c r="H49" i="1"/>
  <c r="H55" i="1" s="1"/>
  <c r="O22" i="1"/>
  <c r="C43" i="1"/>
  <c r="K51" i="1" l="1"/>
  <c r="F49" i="1" l="1"/>
  <c r="F55" i="1" s="1"/>
  <c r="D49" i="1"/>
  <c r="D55" i="1" s="1"/>
  <c r="G34" i="1"/>
  <c r="F34" i="1" l="1"/>
  <c r="I44" i="1" s="1"/>
  <c r="D34" i="1"/>
  <c r="G44" i="1" s="1"/>
  <c r="E34" i="1"/>
  <c r="H44" i="1" s="1"/>
  <c r="F48" i="1" l="1"/>
  <c r="C34" i="1"/>
  <c r="F44" i="1" s="1"/>
  <c r="H53" i="1" l="1"/>
  <c r="F54" i="1"/>
  <c r="D48" i="1"/>
  <c r="D54" i="1" s="1"/>
  <c r="G4" i="2"/>
  <c r="G3" i="2"/>
  <c r="F51" i="1" l="1"/>
  <c r="H51" i="1"/>
  <c r="N22" i="1"/>
  <c r="M22" i="1"/>
  <c r="L22" i="1"/>
  <c r="M23" i="1" l="1"/>
  <c r="I16" i="1"/>
  <c r="I13" i="1"/>
  <c r="C4" i="2"/>
  <c r="C3" i="2"/>
  <c r="I15" i="1"/>
  <c r="I17" i="1"/>
  <c r="I3" i="1"/>
  <c r="I4" i="1"/>
  <c r="I22" i="1" l="1"/>
  <c r="C8" i="2"/>
  <c r="K22" i="1"/>
  <c r="H22" i="1"/>
  <c r="C17" i="1"/>
  <c r="Q17" i="1" s="1"/>
  <c r="C13" i="1"/>
  <c r="Q13" i="1" s="1"/>
  <c r="C16" i="1"/>
  <c r="Q16" i="1" s="1"/>
  <c r="C15" i="1"/>
  <c r="Q15" i="1" s="1"/>
  <c r="F22" i="1"/>
  <c r="G22" i="1"/>
  <c r="D22" i="1"/>
  <c r="E22" i="1"/>
  <c r="C4" i="1"/>
  <c r="C3" i="1"/>
  <c r="Q4" i="1" l="1"/>
  <c r="Q3" i="1"/>
  <c r="C22" i="1"/>
  <c r="Q22" i="1" l="1"/>
  <c r="C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tc={7140DA5E-8767-4B48-862D-F63BB896F5CB}</author>
    <author>tc={B5C44C99-EBD4-4D8D-A4BA-038536D26CB1}</author>
    <author>tc={DCB09D38-4482-4B2A-B0AC-8D6477B7E6F9}</author>
    <author>tc={BECE8343-31DD-462E-B19A-F3F4D268ACE8}</author>
    <author>tc={33C562F5-9E69-4399-9E5E-CEB32321158F}</author>
    <author>tc={1F7E932A-BF3A-4D02-8BC6-75DEC660828D}</author>
    <author>tc={8BDC82C6-8C0F-4564-A08E-BB547937F587}</author>
    <author>tc={B912FDAC-75E6-4857-9A67-6C66CABEE77A}</author>
  </authors>
  <commentList>
    <comment ref="N1" authorId="0" shapeId="0" xr:uid="{7140DA5E-8767-4B48-862D-F63BB896F5CB}">
      <text>
        <t>[Threaded comment]
Your version of Excel allows you to read this threaded comment; however, any edits to it will get removed if the file is opened in a newer version of Excel. Learn more: https://go.microsoft.com/fwlink/?linkid=870924
Comment:
    Santeon is done &amp; iSolved testing with the Client</t>
      </text>
    </comment>
    <comment ref="C6" authorId="1" shapeId="0" xr:uid="{B5C44C99-EBD4-4D8D-A4BA-038536D26CB1}">
      <text>
        <t>[Threaded comment]
Your version of Excel allows you to read this threaded comment; however, any edits to it will get removed if the file is opened in a newer version of Excel. Learn more: https://go.microsoft.com/fwlink/?linkid=870924
Comment:
    On Maternity Leave since mid September 2025
Reply:
    Back from Leave on 1/18/2026</t>
      </text>
    </comment>
    <comment ref="D54" authorId="2" shapeId="0" xr:uid="{DCB09D38-4482-4B2A-B0AC-8D6477B7E6F9}">
      <text>
        <t>[Threaded comment]
Your version of Excel allows you to read this threaded comment; however, any edits to it will get removed if the file is opened in a newer version of Excel. Learn more: https://go.microsoft.com/fwlink/?linkid=870924
Comment:
    Q1 - 2025</t>
      </text>
    </comment>
    <comment ref="F54" authorId="3" shapeId="0" xr:uid="{BECE8343-31DD-462E-B19A-F3F4D268ACE8}">
      <text>
        <t>[Threaded comment]
Your version of Excel allows you to read this threaded comment; however, any edits to it will get removed if the file is opened in a newer version of Excel. Learn more: https://go.microsoft.com/fwlink/?linkid=870924
Comment:
    Q2 - 2025</t>
      </text>
    </comment>
    <comment ref="H54" authorId="4" shapeId="0" xr:uid="{33C562F5-9E69-4399-9E5E-CEB32321158F}">
      <text>
        <t>[Threaded comment]
Your version of Excel allows you to read this threaded comment; however, any edits to it will get removed if the file is opened in a newer version of Excel. Learn more: https://go.microsoft.com/fwlink/?linkid=870924
Comment:
    Q3 - 2025</t>
      </text>
    </comment>
    <comment ref="K54" authorId="5" shapeId="0" xr:uid="{1F7E932A-BF3A-4D02-8BC6-75DEC660828D}">
      <text>
        <t>[Threaded comment]
Your version of Excel allows you to read this threaded comment; however, any edits to it will get removed if the file is opened in a newer version of Excel. Learn more: https://go.microsoft.com/fwlink/?linkid=870924
Comment:
    Q4 - 2025</t>
      </text>
    </comment>
    <comment ref="M54" authorId="6" shapeId="0" xr:uid="{8BDC82C6-8C0F-4564-A08E-BB547937F587}">
      <text>
        <t>[Threaded comment]
Your version of Excel allows you to read this threaded comment; however, any edits to it will get removed if the file is opened in a newer version of Excel. Learn more: https://go.microsoft.com/fwlink/?linkid=870924
Comment:
    Q1 - 2026</t>
      </text>
    </comment>
    <comment ref="O54" authorId="7" shapeId="0" xr:uid="{B912FDAC-75E6-4857-9A67-6C66CABEE77A}">
      <text>
        <t>[Threaded comment]
Your version of Excel allows you to read this threaded comment; however, any edits to it will get removed if the file is opened in a newer version of Excel. Learn more: https://go.microsoft.com/fwlink/?linkid=870924
Comment:
    Q2 - 2026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<sst xmlns="http://schemas.openxmlformats.org/spreadsheetml/2006/main" count="145" uniqueCount="85">
  <si>
    <t>Employee Name</t>
  </si>
  <si>
    <t>Testing</t>
  </si>
  <si>
    <t>Latest Assignment Date</t>
  </si>
  <si>
    <t>Mina Adel</t>
  </si>
  <si>
    <t>Mina George</t>
  </si>
  <si>
    <t>Not Started</t>
  </si>
  <si>
    <t>Forms</t>
  </si>
  <si>
    <t>Expected Queue</t>
  </si>
  <si>
    <t>Mina Kamil</t>
  </si>
  <si>
    <t>Current WorkLoad 
(InProgress)</t>
  </si>
  <si>
    <t>Dataset Validation</t>
  </si>
  <si>
    <t>Actual Mapping</t>
  </si>
  <si>
    <t>Ahmed Ali</t>
  </si>
  <si>
    <t>Amr Salah</t>
  </si>
  <si>
    <t>Alaa Yehia</t>
  </si>
  <si>
    <t>Andrew Ramy</t>
  </si>
  <si>
    <t>Aya Fathy</t>
  </si>
  <si>
    <t>Totals</t>
  </si>
  <si>
    <t>Hazem Rostom</t>
  </si>
  <si>
    <t>Joseph Atef</t>
  </si>
  <si>
    <t>Ready For Production</t>
  </si>
  <si>
    <t>Mahmoud Ashraf</t>
  </si>
  <si>
    <t>Marwan Tawfik</t>
  </si>
  <si>
    <t>Mirna Azmy</t>
  </si>
  <si>
    <t>Nada Ashraf</t>
  </si>
  <si>
    <t>Noha Moustafa</t>
  </si>
  <si>
    <t>Omnia Abdelaziz</t>
  </si>
  <si>
    <t>Reem Radwan</t>
  </si>
  <si>
    <t>zeyad khaled</t>
  </si>
  <si>
    <t>Zeyad khaled</t>
  </si>
  <si>
    <t>Abdulrahman Tarek</t>
  </si>
  <si>
    <t>Lourina Edmon</t>
  </si>
  <si>
    <t>Sandra Adel</t>
  </si>
  <si>
    <t>Awaiting Assignments</t>
  </si>
  <si>
    <t>Karen Ramy</t>
  </si>
  <si>
    <t>Karim Tarek</t>
  </si>
  <si>
    <t>Month Input</t>
  </si>
  <si>
    <t>In Progress</t>
  </si>
  <si>
    <t>Total</t>
  </si>
  <si>
    <t>Cancelled</t>
  </si>
  <si>
    <t>On Hold</t>
  </si>
  <si>
    <t>Blocked</t>
  </si>
  <si>
    <t>Total input</t>
  </si>
  <si>
    <t>Forms
Mapping</t>
  </si>
  <si>
    <t>Forms
Testing</t>
  </si>
  <si>
    <t>Child CRs</t>
  </si>
  <si>
    <t>Month Output</t>
  </si>
  <si>
    <t>First Production File Date</t>
  </si>
  <si>
    <t>Production Date</t>
  </si>
  <si>
    <t>Current Total InProgress Queue</t>
  </si>
  <si>
    <t>Quarter Summary</t>
  </si>
  <si>
    <t>Input Queue</t>
  </si>
  <si>
    <t>Output Queue</t>
  </si>
  <si>
    <t>Q1</t>
  </si>
  <si>
    <t>Q2</t>
  </si>
  <si>
    <t>Total Queue / Analyst</t>
  </si>
  <si>
    <t>Child CRs in Production</t>
  </si>
  <si>
    <t>Actual Prod Number</t>
  </si>
  <si>
    <t xml:space="preserve">Forms Production </t>
  </si>
  <si>
    <t>Production (Live)</t>
  </si>
  <si>
    <t>Child CRs
InProgress</t>
  </si>
  <si>
    <t>% compared to of previous quarter input</t>
  </si>
  <si>
    <t>Josephine Ossama</t>
  </si>
  <si>
    <t>Mark Albert</t>
  </si>
  <si>
    <t>Q3</t>
  </si>
  <si>
    <t>Total (Migrations)</t>
  </si>
  <si>
    <t>Q4</t>
  </si>
  <si>
    <t>Rasha Wadie</t>
  </si>
  <si>
    <t>Q1 (2026)</t>
  </si>
  <si>
    <t>Total CRs  (2025)</t>
  </si>
  <si>
    <t>Hady Sherif</t>
  </si>
  <si>
    <t>Total CRs  (2026)</t>
  </si>
  <si>
    <t>Quarter Average input</t>
  </si>
  <si>
    <t>Total Forms</t>
  </si>
  <si>
    <t>Forms
Migration Testing
(Ready for Production)</t>
  </si>
  <si>
    <t>Quarter Average Output</t>
  </si>
  <si>
    <t>Q2 (2026)</t>
  </si>
  <si>
    <t>Canceled Forms</t>
  </si>
  <si>
    <t>Total Live Queue</t>
  </si>
  <si>
    <t>Child CRs
Live</t>
  </si>
  <si>
    <t>Disabled Production</t>
  </si>
  <si>
    <t>Giulie Alaa</t>
  </si>
  <si>
    <t>Poula Moheb</t>
  </si>
  <si>
    <t>Adham Akram</t>
  </si>
  <si>
    <t>Mai Atef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</si>
</sst>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.5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5" tint="0.3999755851924192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9" tint="0.59999389629810485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9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3" borderId="1" xfId="0" applyFill="1" applyBorder="1"/>
    <xf numFmtId="14" fontId="0" fillId="3" borderId="1" xfId="0" applyNumberFormat="1" applyFill="1" applyBorder="1"/>
    <xf numFmtId="0" fontId="3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0" fillId="0" borderId="0" xfId="0" applyNumberFormat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/>
    <xf numFmtId="14" fontId="0" fillId="0" borderId="0" xfId="0" applyNumberFormat="1" applyAlignment="1">
      <alignment horizontal="center"/>
    </xf>
    <xf numFmtId="0" fontId="2" fillId="3" borderId="1" xfId="0" applyFont="1" applyFill="1" applyBorder="1"/>
    <xf numFmtId="14" fontId="4" fillId="2" borderId="1" xfId="0" applyNumberFormat="1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center" wrapText="1"/>
    </xf>
    <xf numFmtId="14" fontId="0" fillId="3" borderId="3" xfId="0" applyNumberFormat="1" applyFill="1" applyBorder="1" applyAlignment="1">
      <alignment horizontal="center"/>
    </xf>
    <xf numFmtId="14" fontId="5" fillId="3" borderId="0" xfId="0" applyNumberFormat="1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4" fontId="7" fillId="3" borderId="4" xfId="0" applyNumberFormat="1" applyFont="1" applyFill="1" applyBorder="1" applyAlignment="1">
      <alignment horizontal="center" vertical="center"/>
    </xf>
    <xf numFmtId="0" fontId="8" fillId="0" borderId="0" xfId="0" applyFont="1"/>
    <xf numFmtId="0" fontId="8" fillId="4" borderId="0" xfId="0" applyFont="1" applyFill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6" borderId="1" xfId="0" applyFont="1" applyFill="1" applyBorder="1"/>
    <xf numFmtId="0" fontId="0" fillId="0" borderId="0" xfId="0" applyAlignment="1">
      <alignment horizontal="center"/>
    </xf>
    <xf numFmtId="17" fontId="2" fillId="7" borderId="0" xfId="0" applyNumberFormat="1" applyFont="1" applyFill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2" fillId="8" borderId="0" xfId="0" applyFont="1" applyFill="1"/>
    <xf numFmtId="0" fontId="0" fillId="8" borderId="0" xfId="0" applyFill="1"/>
    <xf numFmtId="17" fontId="2" fillId="8" borderId="0" xfId="0" applyNumberFormat="1" applyFont="1" applyFill="1" applyAlignment="1">
      <alignment horizontal="center"/>
    </xf>
    <xf numFmtId="0" fontId="0" fillId="3" borderId="0" xfId="0" applyFill="1"/>
    <xf numFmtId="0" fontId="2" fillId="5" borderId="0" xfId="0" applyFont="1" applyFill="1"/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4" fontId="0" fillId="3" borderId="0" xfId="0" applyNumberFormat="1" applyFill="1"/>
    <xf numFmtId="0" fontId="11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2" fillId="4" borderId="0" xfId="0" applyFont="1" applyFill="1" applyAlignment="1">
      <alignment horizontal="center"/>
    </xf>
    <xf numFmtId="0" fontId="0" fillId="3" borderId="0" xfId="0" applyFill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9" fontId="13" fillId="0" borderId="0" xfId="1" applyFont="1" applyFill="1" applyAlignment="1">
      <alignment horizontal="center" wrapText="1"/>
    </xf>
    <xf numFmtId="0" fontId="0" fillId="9" borderId="0" xfId="0" applyFill="1" applyAlignment="1">
      <alignment horizontal="center"/>
    </xf>
    <xf numFmtId="9" fontId="0" fillId="0" borderId="0" xfId="1" applyFont="1" applyAlignment="1">
      <alignment horizontal="center"/>
    </xf>
    <xf numFmtId="0" fontId="7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11" borderId="0" xfId="0" applyFont="1" applyFill="1"/>
    <xf numFmtId="0" fontId="0" fillId="11" borderId="0" xfId="0" applyFill="1"/>
    <xf numFmtId="0" fontId="3" fillId="11" borderId="0" xfId="0" applyFont="1" applyFill="1" applyAlignment="1">
      <alignment horizontal="center" wrapText="1"/>
    </xf>
    <xf numFmtId="0" fontId="2" fillId="3" borderId="5" xfId="0" applyFont="1" applyFill="1" applyBorder="1"/>
    <xf numFmtId="14" fontId="0" fillId="6" borderId="0" xfId="0" applyNumberFormat="1" applyFill="1" applyAlignment="1">
      <alignment horizontal="center"/>
    </xf>
    <xf numFmtId="0" fontId="11" fillId="2" borderId="0" xfId="0" applyFont="1" applyFill="1" applyAlignment="1">
      <alignment horizontal="center" vertical="center" wrapText="1"/>
    </xf>
    <xf numFmtId="0" fontId="15" fillId="0" borderId="0" xfId="0" applyFont="1"/>
    <xf numFmtId="0" fontId="14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3" borderId="0" xfId="0" applyFont="1" applyFill="1"/>
    <xf numFmtId="0" fontId="7" fillId="3" borderId="0" xfId="0" applyFont="1" applyFill="1" applyAlignment="1">
      <alignment horizontal="center"/>
    </xf>
    <xf numFmtId="0" fontId="2" fillId="5" borderId="1" xfId="0" applyFont="1" applyFill="1" applyBorder="1"/>
    <xf numFmtId="0" fontId="2" fillId="5" borderId="5" xfId="0" applyFont="1" applyFill="1" applyBorder="1"/>
    <xf numFmtId="0" fontId="2" fillId="0" borderId="5" xfId="0" applyFont="1" applyBorder="1"/>
    <xf numFmtId="0" fontId="16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5" borderId="0" xfId="0" applyNumberFormat="1" applyFill="1" applyAlignment="1">
      <alignment horizontal="center"/>
    </xf>
    <xf numFmtId="14" fontId="0" fillId="5" borderId="4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14" fontId="0" fillId="5" borderId="0" xfId="0" applyNumberFormat="1" applyFill="1"/>
    <xf numFmtId="0" fontId="2" fillId="5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1" xfId="0" applyBorder="1"/>
    <xf numFmtId="0" fontId="0" fillId="6" borderId="1" xfId="0" applyFill="1" applyBorder="1"/>
    <xf numFmtId="14" fontId="0" fillId="3" borderId="2" xfId="0" applyNumberFormat="1" applyFill="1" applyBorder="1"/>
    <xf numFmtId="0" fontId="0" fillId="0" borderId="0" xfId="0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  <color rgb="FFC0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rim\Downloads\ConnectivityRequests_2026-07-15%2009_18_25_1784107105.xlsx" TargetMode="External"/><Relationship Id="rId1" Type="http://schemas.openxmlformats.org/officeDocument/2006/relationships/externalLinkPath" Target="ConnectivityRequests_2026-07-15%2009_18_25_17841071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DI"/>
      <sheetName val="Summary"/>
    </sheetNames>
    <sheetDataSet>
      <sheetData sheetId="0">
        <row r="2">
          <cell r="I2" t="str">
            <v>EDI</v>
          </cell>
          <cell r="N2" t="str">
            <v>Pending Start</v>
          </cell>
          <cell r="O2" t="str">
            <v>No</v>
          </cell>
          <cell r="Q2" t="str">
            <v>Not Started</v>
          </cell>
          <cell r="R2">
            <v>46217.756527777783</v>
          </cell>
          <cell r="U2" t="str">
            <v>Lindsay Hudacik</v>
          </cell>
        </row>
        <row r="3">
          <cell r="I3" t="str">
            <v>EDI</v>
          </cell>
          <cell r="N3" t="str">
            <v>Pending Start</v>
          </cell>
          <cell r="O3" t="str">
            <v>No</v>
          </cell>
          <cell r="Q3" t="str">
            <v>Not Started</v>
          </cell>
          <cell r="R3">
            <v>46217.567777777767</v>
          </cell>
          <cell r="U3" t="str">
            <v>Lindsay Hudacik</v>
          </cell>
        </row>
        <row r="4">
          <cell r="I4" t="str">
            <v>EDI</v>
          </cell>
          <cell r="N4" t="str">
            <v>Requirements Gathering</v>
          </cell>
          <cell r="O4" t="str">
            <v>No</v>
          </cell>
          <cell r="Q4" t="str">
            <v>In Progress</v>
          </cell>
          <cell r="R4">
            <v>46216.906157407408</v>
          </cell>
          <cell r="S4" t="str">
            <v>Mai Atef</v>
          </cell>
          <cell r="T4">
            <v>46217</v>
          </cell>
          <cell r="U4" t="str">
            <v>Gregory Dubec</v>
          </cell>
        </row>
        <row r="5">
          <cell r="I5" t="str">
            <v>EDI</v>
          </cell>
          <cell r="N5" t="str">
            <v>Requirements Gathering</v>
          </cell>
          <cell r="O5" t="str">
            <v>No</v>
          </cell>
          <cell r="Q5" t="str">
            <v>In Progress</v>
          </cell>
          <cell r="R5">
            <v>46216.666527777779</v>
          </cell>
          <cell r="S5" t="str">
            <v>Hady Sherif</v>
          </cell>
          <cell r="T5">
            <v>46217</v>
          </cell>
          <cell r="U5" t="str">
            <v>Jay Lang</v>
          </cell>
        </row>
        <row r="6">
          <cell r="I6" t="str">
            <v>EDI</v>
          </cell>
          <cell r="N6" t="str">
            <v>Pending Start</v>
          </cell>
          <cell r="O6" t="str">
            <v>Everything Benefits</v>
          </cell>
          <cell r="P6" t="str">
            <v>Phase 1 - Map Built</v>
          </cell>
          <cell r="Q6" t="str">
            <v>Not Started</v>
          </cell>
          <cell r="R6">
            <v>46213.811296296299</v>
          </cell>
          <cell r="U6" t="str">
            <v>Tracey Hicks</v>
          </cell>
        </row>
        <row r="7">
          <cell r="I7" t="str">
            <v>EDI</v>
          </cell>
          <cell r="N7" t="str">
            <v>Pending Start</v>
          </cell>
          <cell r="O7" t="str">
            <v>Everything Benefits</v>
          </cell>
          <cell r="P7" t="str">
            <v>Phase 1 - Map Built</v>
          </cell>
          <cell r="Q7" t="str">
            <v>Not Started</v>
          </cell>
          <cell r="R7">
            <v>46213.783263888887</v>
          </cell>
          <cell r="U7" t="str">
            <v>Tracey Hicks</v>
          </cell>
        </row>
        <row r="8">
          <cell r="I8" t="str">
            <v>EDI</v>
          </cell>
          <cell r="N8" t="str">
            <v>Pending Start</v>
          </cell>
          <cell r="O8" t="str">
            <v>Everything Benefits</v>
          </cell>
          <cell r="P8" t="str">
            <v>Phase 1 - Map Built</v>
          </cell>
          <cell r="Q8" t="str">
            <v>Not Started</v>
          </cell>
          <cell r="R8">
            <v>46213.783263888887</v>
          </cell>
          <cell r="U8" t="str">
            <v>Tracey Hicks</v>
          </cell>
        </row>
        <row r="9">
          <cell r="I9" t="str">
            <v>EDI</v>
          </cell>
          <cell r="N9" t="str">
            <v>Pending Start</v>
          </cell>
          <cell r="O9" t="str">
            <v>Everything Benefits</v>
          </cell>
          <cell r="P9" t="str">
            <v>Phase 1 - Map Built</v>
          </cell>
          <cell r="Q9" t="str">
            <v>Not Started</v>
          </cell>
          <cell r="R9">
            <v>46213.742025462961</v>
          </cell>
          <cell r="U9" t="str">
            <v>KJ Ampy</v>
          </cell>
        </row>
        <row r="10">
          <cell r="I10" t="str">
            <v>EDI</v>
          </cell>
          <cell r="N10" t="str">
            <v>Pending Start</v>
          </cell>
          <cell r="O10" t="str">
            <v>Everything Benefits</v>
          </cell>
          <cell r="P10" t="str">
            <v>Phase 1 - Map Built</v>
          </cell>
          <cell r="Q10" t="str">
            <v>Cancelled</v>
          </cell>
          <cell r="R10">
            <v>46213.7419212963</v>
          </cell>
          <cell r="U10" t="str">
            <v>KJ Ampy</v>
          </cell>
        </row>
        <row r="11">
          <cell r="I11" t="str">
            <v>EDI</v>
          </cell>
          <cell r="N11" t="str">
            <v>Pending Start</v>
          </cell>
          <cell r="O11" t="str">
            <v>Everything Benefits</v>
          </cell>
          <cell r="P11" t="str">
            <v>Phase 1 - Map Built</v>
          </cell>
          <cell r="Q11" t="str">
            <v>Not Started</v>
          </cell>
          <cell r="R11">
            <v>46213.657743055563</v>
          </cell>
          <cell r="U11" t="str">
            <v>Liv Hessling</v>
          </cell>
        </row>
        <row r="12">
          <cell r="I12" t="str">
            <v>EDI</v>
          </cell>
          <cell r="N12" t="str">
            <v>Pending Start</v>
          </cell>
          <cell r="O12" t="str">
            <v>Everything Benefits</v>
          </cell>
          <cell r="P12" t="str">
            <v>Phase 1 - Map Built</v>
          </cell>
          <cell r="Q12" t="str">
            <v>Not Started</v>
          </cell>
          <cell r="R12">
            <v>46213.657731481479</v>
          </cell>
          <cell r="U12" t="str">
            <v>Liv Hessling</v>
          </cell>
        </row>
        <row r="13">
          <cell r="I13" t="str">
            <v>EDI</v>
          </cell>
          <cell r="N13" t="str">
            <v>Pending Start</v>
          </cell>
          <cell r="O13" t="str">
            <v>Everything Benefits</v>
          </cell>
          <cell r="P13" t="str">
            <v>Phase 1 - Map Built</v>
          </cell>
          <cell r="Q13" t="str">
            <v>Not Started</v>
          </cell>
          <cell r="R13">
            <v>46213.657719907409</v>
          </cell>
          <cell r="U13" t="str">
            <v>Liv Hessling</v>
          </cell>
        </row>
        <row r="14">
          <cell r="I14" t="str">
            <v>EDI</v>
          </cell>
          <cell r="N14" t="str">
            <v>Pending Start</v>
          </cell>
          <cell r="O14" t="str">
            <v>Everything Benefits</v>
          </cell>
          <cell r="P14" t="str">
            <v>Phase 1 - Map Built</v>
          </cell>
          <cell r="Q14" t="str">
            <v>Not Started</v>
          </cell>
          <cell r="R14">
            <v>46213.65625</v>
          </cell>
          <cell r="U14" t="str">
            <v>Sean Torres</v>
          </cell>
        </row>
        <row r="15">
          <cell r="I15" t="str">
            <v>EDI</v>
          </cell>
          <cell r="N15" t="str">
            <v>Pending Start</v>
          </cell>
          <cell r="O15" t="str">
            <v>Everything Benefits</v>
          </cell>
          <cell r="P15" t="str">
            <v>Phase 1 - Map Built</v>
          </cell>
          <cell r="Q15" t="str">
            <v>Not Started</v>
          </cell>
          <cell r="R15">
            <v>46213.652129629627</v>
          </cell>
          <cell r="U15" t="str">
            <v>Liv Hessling</v>
          </cell>
        </row>
        <row r="16">
          <cell r="I16" t="str">
            <v>EDI</v>
          </cell>
          <cell r="N16" t="str">
            <v>Pending Start</v>
          </cell>
          <cell r="O16" t="str">
            <v>Everything Benefits</v>
          </cell>
          <cell r="P16" t="str">
            <v>Phase 1 - Map Built</v>
          </cell>
          <cell r="Q16" t="str">
            <v>Not Started</v>
          </cell>
          <cell r="R16">
            <v>46213.652118055557</v>
          </cell>
          <cell r="U16" t="str">
            <v>Liv Hessling</v>
          </cell>
        </row>
        <row r="17">
          <cell r="I17" t="str">
            <v>EDI</v>
          </cell>
          <cell r="N17" t="str">
            <v>Pending Start</v>
          </cell>
          <cell r="O17" t="str">
            <v>Everything Benefits</v>
          </cell>
          <cell r="P17" t="str">
            <v>Phase 1 - Map Built</v>
          </cell>
          <cell r="Q17" t="str">
            <v>Not Started</v>
          </cell>
          <cell r="R17">
            <v>46213.644999999997</v>
          </cell>
          <cell r="U17" t="str">
            <v>Liv Hessling</v>
          </cell>
        </row>
        <row r="18">
          <cell r="I18" t="str">
            <v>EDI</v>
          </cell>
          <cell r="N18" t="str">
            <v>Pending Start</v>
          </cell>
          <cell r="O18" t="str">
            <v>Everything Benefits</v>
          </cell>
          <cell r="P18" t="str">
            <v>Phase 1 - Map Built</v>
          </cell>
          <cell r="Q18" t="str">
            <v>Not Started</v>
          </cell>
          <cell r="R18">
            <v>46213.644988425927</v>
          </cell>
          <cell r="U18" t="str">
            <v>Liv Hessling</v>
          </cell>
        </row>
        <row r="19">
          <cell r="I19" t="str">
            <v>EDI</v>
          </cell>
          <cell r="N19" t="str">
            <v>Pending Start</v>
          </cell>
          <cell r="O19" t="str">
            <v>Everything Benefits</v>
          </cell>
          <cell r="P19" t="str">
            <v>Phase 1 - Map Built</v>
          </cell>
          <cell r="Q19" t="str">
            <v>Pending</v>
          </cell>
          <cell r="R19">
            <v>46213.632557870369</v>
          </cell>
          <cell r="U19" t="str">
            <v>Tracey Hicks</v>
          </cell>
        </row>
        <row r="20">
          <cell r="I20" t="str">
            <v>EDI</v>
          </cell>
          <cell r="N20" t="str">
            <v>Pending Start</v>
          </cell>
          <cell r="O20" t="str">
            <v>Everything Benefits</v>
          </cell>
          <cell r="P20" t="str">
            <v>Phase 1 - Map Built</v>
          </cell>
          <cell r="Q20" t="str">
            <v>Pending</v>
          </cell>
          <cell r="R20">
            <v>46213.6325462963</v>
          </cell>
          <cell r="U20" t="str">
            <v>Tracey Hicks</v>
          </cell>
        </row>
        <row r="21">
          <cell r="I21" t="str">
            <v>EDI</v>
          </cell>
          <cell r="N21" t="str">
            <v>Pending Start</v>
          </cell>
          <cell r="O21" t="str">
            <v>Everything Benefits</v>
          </cell>
          <cell r="P21" t="str">
            <v>Phase 1 - Map Built</v>
          </cell>
          <cell r="Q21" t="str">
            <v>Not Started</v>
          </cell>
          <cell r="R21">
            <v>46213.624027777783</v>
          </cell>
          <cell r="U21" t="str">
            <v>Tracey Hicks</v>
          </cell>
        </row>
        <row r="22">
          <cell r="I22" t="str">
            <v>EDI</v>
          </cell>
          <cell r="N22" t="str">
            <v>Pending Start</v>
          </cell>
          <cell r="O22" t="str">
            <v>Everything Benefits</v>
          </cell>
          <cell r="P22" t="str">
            <v>Phase 1 - Map Built</v>
          </cell>
          <cell r="Q22" t="str">
            <v>Not Started</v>
          </cell>
          <cell r="R22">
            <v>46213.616435185177</v>
          </cell>
          <cell r="U22" t="str">
            <v>Patrick Dillon</v>
          </cell>
        </row>
        <row r="23">
          <cell r="I23" t="str">
            <v>EDI</v>
          </cell>
          <cell r="N23" t="str">
            <v>Pending Start</v>
          </cell>
          <cell r="O23" t="str">
            <v>Everything Benefits</v>
          </cell>
          <cell r="P23" t="str">
            <v>Phase 1 - Map Built</v>
          </cell>
          <cell r="Q23" t="str">
            <v>Not Started</v>
          </cell>
          <cell r="R23">
            <v>46213.616435185177</v>
          </cell>
          <cell r="U23" t="str">
            <v>Patrick Dillon</v>
          </cell>
        </row>
        <row r="24">
          <cell r="I24" t="str">
            <v>EDI</v>
          </cell>
          <cell r="N24" t="str">
            <v>Pending Start</v>
          </cell>
          <cell r="O24" t="str">
            <v>Everything Benefits</v>
          </cell>
          <cell r="P24" t="str">
            <v>Phase 1 - Map Built</v>
          </cell>
          <cell r="Q24" t="str">
            <v>Not Started</v>
          </cell>
          <cell r="R24">
            <v>46213.616423611107</v>
          </cell>
          <cell r="U24" t="str">
            <v>Patrick Dillon</v>
          </cell>
        </row>
        <row r="25">
          <cell r="I25" t="str">
            <v>EDI</v>
          </cell>
          <cell r="N25" t="str">
            <v>Pending Start</v>
          </cell>
          <cell r="O25" t="str">
            <v>Everything Benefits</v>
          </cell>
          <cell r="P25" t="str">
            <v>Phase 1 - Map Built</v>
          </cell>
          <cell r="Q25" t="str">
            <v>Not Started</v>
          </cell>
          <cell r="R25">
            <v>46213.607199074067</v>
          </cell>
          <cell r="U25" t="str">
            <v>Brittany Hughson</v>
          </cell>
        </row>
        <row r="26">
          <cell r="I26" t="str">
            <v>EDI</v>
          </cell>
          <cell r="N26" t="str">
            <v>Pending Start</v>
          </cell>
          <cell r="O26" t="str">
            <v>Everything Benefits</v>
          </cell>
          <cell r="P26" t="str">
            <v>Phase 1 - Map Built</v>
          </cell>
          <cell r="Q26" t="str">
            <v>Not Started</v>
          </cell>
          <cell r="R26">
            <v>46213.607187499998</v>
          </cell>
          <cell r="U26" t="str">
            <v>Brittany Hughson</v>
          </cell>
        </row>
        <row r="27">
          <cell r="I27" t="str">
            <v>EDI</v>
          </cell>
          <cell r="N27" t="str">
            <v>Requirements Gathering</v>
          </cell>
          <cell r="O27" t="str">
            <v>No</v>
          </cell>
          <cell r="Q27" t="str">
            <v>In Progress</v>
          </cell>
          <cell r="R27">
            <v>46213.590937499997</v>
          </cell>
          <cell r="S27" t="str">
            <v>Mai Atef</v>
          </cell>
          <cell r="T27">
            <v>46217</v>
          </cell>
          <cell r="U27" t="str">
            <v>Jay Lang</v>
          </cell>
        </row>
        <row r="28">
          <cell r="I28" t="str">
            <v>EDI</v>
          </cell>
          <cell r="L28">
            <v>5082</v>
          </cell>
          <cell r="N28" t="str">
            <v>Testing</v>
          </cell>
          <cell r="O28" t="str">
            <v>No</v>
          </cell>
          <cell r="Q28" t="str">
            <v>In Progress</v>
          </cell>
          <cell r="R28">
            <v>46213.077407407407</v>
          </cell>
          <cell r="S28" t="str">
            <v>Mark Albert</v>
          </cell>
          <cell r="T28">
            <v>46215</v>
          </cell>
          <cell r="U28" t="str">
            <v>Trish Kalinczok</v>
          </cell>
        </row>
        <row r="29">
          <cell r="I29" t="str">
            <v>EDI</v>
          </cell>
          <cell r="N29" t="str">
            <v>Requirements Gathering</v>
          </cell>
          <cell r="O29" t="str">
            <v>Everything Benefits</v>
          </cell>
          <cell r="P29" t="str">
            <v>Phase 1 - Map Built</v>
          </cell>
          <cell r="Q29" t="str">
            <v>In Progress</v>
          </cell>
          <cell r="R29">
            <v>46212.819641203707</v>
          </cell>
          <cell r="S29" t="str">
            <v>Sandra Adel</v>
          </cell>
          <cell r="T29">
            <v>46217</v>
          </cell>
          <cell r="U29" t="str">
            <v>Brittany Hughson</v>
          </cell>
        </row>
        <row r="30">
          <cell r="I30" t="str">
            <v>EDI</v>
          </cell>
          <cell r="N30" t="str">
            <v>Requirements Gathering</v>
          </cell>
          <cell r="O30" t="str">
            <v>Everything Benefits</v>
          </cell>
          <cell r="P30" t="str">
            <v>Phase 1 - Map Built</v>
          </cell>
          <cell r="Q30" t="str">
            <v>In Progress</v>
          </cell>
          <cell r="R30">
            <v>46212.81962962963</v>
          </cell>
          <cell r="S30" t="str">
            <v>Sandra Adel</v>
          </cell>
          <cell r="T30">
            <v>46217</v>
          </cell>
          <cell r="U30" t="str">
            <v>Brittany Hughson</v>
          </cell>
        </row>
        <row r="31">
          <cell r="I31" t="str">
            <v>EDI</v>
          </cell>
          <cell r="N31" t="str">
            <v>Requirements Gathering</v>
          </cell>
          <cell r="O31" t="str">
            <v>Everything Benefits</v>
          </cell>
          <cell r="P31" t="str">
            <v>Phase 1 - Map Built</v>
          </cell>
          <cell r="Q31" t="str">
            <v>In Progress</v>
          </cell>
          <cell r="R31">
            <v>46212.819618055553</v>
          </cell>
          <cell r="S31" t="str">
            <v>Sandra Adel</v>
          </cell>
          <cell r="T31">
            <v>46217</v>
          </cell>
          <cell r="U31" t="str">
            <v>Brittany Hughson</v>
          </cell>
        </row>
        <row r="32">
          <cell r="I32" t="str">
            <v>EDI</v>
          </cell>
          <cell r="N32" t="str">
            <v>Requirements Gathering</v>
          </cell>
          <cell r="O32" t="str">
            <v>Everything Benefits</v>
          </cell>
          <cell r="P32" t="str">
            <v>Phase 1 - Map Built</v>
          </cell>
          <cell r="Q32" t="str">
            <v>In Progress</v>
          </cell>
          <cell r="R32">
            <v>46212.819618055553</v>
          </cell>
          <cell r="S32" t="str">
            <v>Sandra Adel</v>
          </cell>
          <cell r="T32">
            <v>46217</v>
          </cell>
          <cell r="U32" t="str">
            <v>Brittany Hughson</v>
          </cell>
        </row>
        <row r="33">
          <cell r="I33" t="str">
            <v>EDI</v>
          </cell>
          <cell r="N33" t="str">
            <v>Requirements Gathering</v>
          </cell>
          <cell r="O33" t="str">
            <v>Everything Benefits</v>
          </cell>
          <cell r="P33" t="str">
            <v>Phase 1 - Map Built</v>
          </cell>
          <cell r="Q33" t="str">
            <v>In Progress</v>
          </cell>
          <cell r="R33">
            <v>46212.812916666669</v>
          </cell>
          <cell r="S33" t="str">
            <v>Sandra Adel</v>
          </cell>
          <cell r="T33">
            <v>46216</v>
          </cell>
          <cell r="U33" t="str">
            <v>Melissa Burton</v>
          </cell>
        </row>
        <row r="34">
          <cell r="I34" t="str">
            <v>EDI</v>
          </cell>
          <cell r="N34" t="str">
            <v>Requirements Gathering</v>
          </cell>
          <cell r="O34" t="str">
            <v>Everything Benefits</v>
          </cell>
          <cell r="P34" t="str">
            <v>Phase 1 - Map Built</v>
          </cell>
          <cell r="Q34" t="str">
            <v>In Progress</v>
          </cell>
          <cell r="R34">
            <v>46212.812905092593</v>
          </cell>
          <cell r="S34" t="str">
            <v>Sandra Adel</v>
          </cell>
          <cell r="T34">
            <v>46216</v>
          </cell>
          <cell r="U34" t="str">
            <v>Melissa Burton</v>
          </cell>
        </row>
        <row r="35">
          <cell r="I35" t="str">
            <v>EDI</v>
          </cell>
          <cell r="N35" t="str">
            <v>Requirements Gathering</v>
          </cell>
          <cell r="O35" t="str">
            <v>Everything Benefits</v>
          </cell>
          <cell r="P35" t="str">
            <v>Phase 1 - Map Built</v>
          </cell>
          <cell r="Q35" t="str">
            <v>In Progress</v>
          </cell>
          <cell r="R35">
            <v>46212.812893518523</v>
          </cell>
          <cell r="S35" t="str">
            <v>Sandra Adel</v>
          </cell>
          <cell r="T35">
            <v>46216</v>
          </cell>
          <cell r="U35" t="str">
            <v>Melissa Burton</v>
          </cell>
        </row>
        <row r="36">
          <cell r="I36" t="str">
            <v>EDI</v>
          </cell>
          <cell r="N36" t="str">
            <v>Requirements Gathering</v>
          </cell>
          <cell r="O36" t="str">
            <v>No</v>
          </cell>
          <cell r="Q36" t="str">
            <v>In Progress</v>
          </cell>
          <cell r="R36">
            <v>46212.803842592592</v>
          </cell>
          <cell r="S36" t="str">
            <v>Hady Sherif</v>
          </cell>
          <cell r="T36">
            <v>46215</v>
          </cell>
          <cell r="U36" t="str">
            <v>Gregory Dubec</v>
          </cell>
        </row>
        <row r="37">
          <cell r="I37" t="str">
            <v>EDI</v>
          </cell>
          <cell r="N37" t="str">
            <v>Requirements Gathering</v>
          </cell>
          <cell r="O37" t="str">
            <v>No</v>
          </cell>
          <cell r="Q37" t="str">
            <v>In Progress</v>
          </cell>
          <cell r="R37">
            <v>46212.803831018522</v>
          </cell>
          <cell r="S37" t="str">
            <v>Hady Sherif</v>
          </cell>
          <cell r="T37">
            <v>46215</v>
          </cell>
          <cell r="U37" t="str">
            <v>Gregory Dubec</v>
          </cell>
        </row>
        <row r="38">
          <cell r="I38" t="str">
            <v>EDI</v>
          </cell>
          <cell r="N38" t="str">
            <v>Requirements Gathering</v>
          </cell>
          <cell r="O38" t="str">
            <v>Everything Benefits</v>
          </cell>
          <cell r="P38" t="str">
            <v>Phase 1 - Map Built</v>
          </cell>
          <cell r="Q38" t="str">
            <v>In Progress</v>
          </cell>
          <cell r="R38">
            <v>46212.793749999997</v>
          </cell>
          <cell r="S38" t="str">
            <v>Sandra Adel</v>
          </cell>
          <cell r="T38">
            <v>46216</v>
          </cell>
          <cell r="U38" t="str">
            <v>KJ Ampy</v>
          </cell>
        </row>
        <row r="39">
          <cell r="I39" t="str">
            <v>EDI</v>
          </cell>
          <cell r="N39" t="str">
            <v>Requirements Gathering</v>
          </cell>
          <cell r="O39" t="str">
            <v>Everything Benefits</v>
          </cell>
          <cell r="P39" t="str">
            <v>Phase 1 - Map Built</v>
          </cell>
          <cell r="Q39" t="str">
            <v>In Progress</v>
          </cell>
          <cell r="R39">
            <v>46212.786874999998</v>
          </cell>
          <cell r="S39" t="str">
            <v>Sandra Adel</v>
          </cell>
          <cell r="T39">
            <v>46216</v>
          </cell>
          <cell r="U39" t="str">
            <v>KJ Ampy</v>
          </cell>
        </row>
        <row r="40">
          <cell r="I40" t="str">
            <v>EDI</v>
          </cell>
          <cell r="N40" t="str">
            <v>Requirements Gathering</v>
          </cell>
          <cell r="O40" t="str">
            <v>Everything Benefits</v>
          </cell>
          <cell r="P40" t="str">
            <v>Phase 1 - Map Built</v>
          </cell>
          <cell r="Q40" t="str">
            <v>In Progress</v>
          </cell>
          <cell r="R40">
            <v>46212.786863425928</v>
          </cell>
          <cell r="S40" t="str">
            <v>Sandra Adel</v>
          </cell>
          <cell r="T40">
            <v>46216</v>
          </cell>
          <cell r="U40" t="str">
            <v>KJ Ampy</v>
          </cell>
        </row>
        <row r="41">
          <cell r="I41" t="str">
            <v>EDI</v>
          </cell>
          <cell r="N41" t="str">
            <v>Requirements Gathering</v>
          </cell>
          <cell r="O41" t="str">
            <v>No</v>
          </cell>
          <cell r="Q41" t="str">
            <v>In Progress</v>
          </cell>
          <cell r="R41">
            <v>46212.720567129632</v>
          </cell>
          <cell r="S41" t="str">
            <v>Hady Sherif</v>
          </cell>
          <cell r="T41">
            <v>46215</v>
          </cell>
          <cell r="U41" t="str">
            <v>Rhettsmey Meak</v>
          </cell>
        </row>
        <row r="42">
          <cell r="I42" t="str">
            <v>EDI</v>
          </cell>
          <cell r="N42" t="str">
            <v>Requirements Gathering</v>
          </cell>
          <cell r="O42" t="str">
            <v>No</v>
          </cell>
          <cell r="Q42" t="str">
            <v>In Progress</v>
          </cell>
          <cell r="R42">
            <v>46212.703599537039</v>
          </cell>
          <cell r="S42" t="str">
            <v>Hady Sherif</v>
          </cell>
          <cell r="T42">
            <v>46215</v>
          </cell>
          <cell r="U42" t="str">
            <v>Rhettsmey Meak</v>
          </cell>
        </row>
        <row r="43">
          <cell r="I43" t="str">
            <v>EDI</v>
          </cell>
          <cell r="N43" t="str">
            <v>Requirements Gathering</v>
          </cell>
          <cell r="O43" t="str">
            <v>Everything Benefits</v>
          </cell>
          <cell r="P43" t="str">
            <v>Phase 1 - Map Built</v>
          </cell>
          <cell r="Q43" t="str">
            <v>In Progress</v>
          </cell>
          <cell r="R43">
            <v>46212.609710648147</v>
          </cell>
          <cell r="S43" t="str">
            <v>Sandra Adel</v>
          </cell>
          <cell r="T43">
            <v>46216</v>
          </cell>
          <cell r="U43" t="str">
            <v>Trish Kalinczok</v>
          </cell>
        </row>
        <row r="44">
          <cell r="I44" t="str">
            <v>EDI</v>
          </cell>
          <cell r="N44" t="str">
            <v>Requirements Gathering</v>
          </cell>
          <cell r="O44" t="str">
            <v>Everything Benefits</v>
          </cell>
          <cell r="P44" t="str">
            <v>Phase 1 - Map Built</v>
          </cell>
          <cell r="Q44" t="str">
            <v>In Progress</v>
          </cell>
          <cell r="R44">
            <v>46212.609699074077</v>
          </cell>
          <cell r="S44" t="str">
            <v>Sandra Adel</v>
          </cell>
          <cell r="T44">
            <v>46216</v>
          </cell>
          <cell r="U44" t="str">
            <v>Trish Kalinczok</v>
          </cell>
        </row>
        <row r="45">
          <cell r="I45" t="str">
            <v>EDI</v>
          </cell>
          <cell r="N45" t="str">
            <v>Requirements Gathering</v>
          </cell>
          <cell r="O45" t="str">
            <v>Everything Benefits</v>
          </cell>
          <cell r="P45" t="str">
            <v>Phase 1 - Map Built</v>
          </cell>
          <cell r="Q45" t="str">
            <v>In Progress</v>
          </cell>
          <cell r="R45">
            <v>46212.609699074077</v>
          </cell>
          <cell r="S45" t="str">
            <v>Sandra Adel</v>
          </cell>
          <cell r="T45">
            <v>46216</v>
          </cell>
          <cell r="U45" t="str">
            <v>Trish Kalinczok</v>
          </cell>
        </row>
        <row r="46">
          <cell r="I46" t="str">
            <v>EDI</v>
          </cell>
          <cell r="N46" t="str">
            <v>Requirements Gathering</v>
          </cell>
          <cell r="O46" t="str">
            <v>No</v>
          </cell>
          <cell r="Q46" t="str">
            <v>In Progress</v>
          </cell>
          <cell r="R46">
            <v>46211.78707175926</v>
          </cell>
          <cell r="S46" t="str">
            <v>Hady Sherif</v>
          </cell>
          <cell r="T46">
            <v>46215</v>
          </cell>
          <cell r="U46" t="str">
            <v>Melissa Burton</v>
          </cell>
        </row>
        <row r="47">
          <cell r="I47" t="str">
            <v>EDI</v>
          </cell>
          <cell r="N47" t="str">
            <v>Requirements Gathering</v>
          </cell>
          <cell r="O47" t="str">
            <v>Everything Benefits</v>
          </cell>
          <cell r="P47" t="str">
            <v>Phase 1 - Map Built</v>
          </cell>
          <cell r="Q47" t="str">
            <v>In Progress</v>
          </cell>
          <cell r="R47">
            <v>46211.670787037037</v>
          </cell>
          <cell r="S47" t="str">
            <v>Sandra Adel</v>
          </cell>
          <cell r="T47">
            <v>46215</v>
          </cell>
          <cell r="U47" t="str">
            <v>Sarah Kempf</v>
          </cell>
        </row>
        <row r="48">
          <cell r="I48" t="str">
            <v>EDI</v>
          </cell>
          <cell r="N48" t="str">
            <v>Requirements Gathering</v>
          </cell>
          <cell r="O48" t="str">
            <v>Everything Benefits</v>
          </cell>
          <cell r="P48" t="str">
            <v>Phase 1 - Map Built</v>
          </cell>
          <cell r="Q48" t="str">
            <v>In Progress</v>
          </cell>
          <cell r="R48">
            <v>46211.670775462961</v>
          </cell>
          <cell r="S48" t="str">
            <v>Sandra Adel</v>
          </cell>
          <cell r="T48">
            <v>46215</v>
          </cell>
          <cell r="U48" t="str">
            <v>Sarah Kempf</v>
          </cell>
        </row>
        <row r="49">
          <cell r="I49" t="str">
            <v>EDI</v>
          </cell>
          <cell r="N49" t="str">
            <v>Pending Start</v>
          </cell>
          <cell r="O49" t="str">
            <v>Everything Benefits</v>
          </cell>
          <cell r="P49" t="str">
            <v>Phase 1 - Map Built</v>
          </cell>
          <cell r="Q49" t="str">
            <v>Cancelled</v>
          </cell>
          <cell r="R49">
            <v>46211.670775462961</v>
          </cell>
          <cell r="U49" t="str">
            <v>Sarah Kempf</v>
          </cell>
        </row>
        <row r="50">
          <cell r="I50" t="str">
            <v>EDI</v>
          </cell>
          <cell r="N50" t="str">
            <v>Requirements Gathering</v>
          </cell>
          <cell r="O50" t="str">
            <v>Everything Benefits</v>
          </cell>
          <cell r="P50" t="str">
            <v>Phase 1 - Map Built</v>
          </cell>
          <cell r="Q50" t="str">
            <v>In Progress</v>
          </cell>
          <cell r="R50">
            <v>46211.670763888891</v>
          </cell>
          <cell r="S50" t="str">
            <v>Sandra Adel</v>
          </cell>
          <cell r="T50">
            <v>46215</v>
          </cell>
          <cell r="U50" t="str">
            <v>Sarah Kempf</v>
          </cell>
        </row>
        <row r="51">
          <cell r="I51" t="str">
            <v>EDI</v>
          </cell>
          <cell r="N51" t="str">
            <v>Requirements Gathering</v>
          </cell>
          <cell r="O51" t="str">
            <v>Everything Benefits</v>
          </cell>
          <cell r="P51" t="str">
            <v>Phase 1 - Map Built</v>
          </cell>
          <cell r="Q51" t="str">
            <v>In Progress</v>
          </cell>
          <cell r="R51">
            <v>46211.670752314807</v>
          </cell>
          <cell r="S51" t="str">
            <v>Sandra Adel</v>
          </cell>
          <cell r="T51">
            <v>46215</v>
          </cell>
          <cell r="U51" t="str">
            <v>Sarah Kempf</v>
          </cell>
        </row>
        <row r="52">
          <cell r="I52" t="str">
            <v>EDI</v>
          </cell>
          <cell r="N52" t="str">
            <v>Requirements Gathering</v>
          </cell>
          <cell r="O52" t="str">
            <v>Everything Benefits</v>
          </cell>
          <cell r="P52" t="str">
            <v>Phase 1 - Map Built</v>
          </cell>
          <cell r="Q52" t="str">
            <v>In Progress</v>
          </cell>
          <cell r="R52">
            <v>46211.670752314807</v>
          </cell>
          <cell r="S52" t="str">
            <v>Sandra Adel</v>
          </cell>
          <cell r="T52">
            <v>46215</v>
          </cell>
          <cell r="U52" t="str">
            <v>Sarah Kempf</v>
          </cell>
        </row>
        <row r="53">
          <cell r="I53" t="str">
            <v>EDI</v>
          </cell>
          <cell r="N53" t="str">
            <v>Requirements Gathering</v>
          </cell>
          <cell r="O53" t="str">
            <v>Everything Benefits</v>
          </cell>
          <cell r="P53" t="str">
            <v>Phase 1 - Map Built</v>
          </cell>
          <cell r="Q53" t="str">
            <v>In Progress</v>
          </cell>
          <cell r="R53">
            <v>46211.641400462962</v>
          </cell>
          <cell r="S53" t="str">
            <v>Sandra Adel</v>
          </cell>
          <cell r="T53">
            <v>46215</v>
          </cell>
          <cell r="U53" t="str">
            <v>KJ Ampy</v>
          </cell>
        </row>
        <row r="54">
          <cell r="I54" t="str">
            <v>EDI</v>
          </cell>
          <cell r="N54" t="str">
            <v>Requirements Gathering</v>
          </cell>
          <cell r="O54" t="str">
            <v>Everything Benefits</v>
          </cell>
          <cell r="P54" t="str">
            <v>Phase 1 - Map Built</v>
          </cell>
          <cell r="Q54" t="str">
            <v>In Progress</v>
          </cell>
          <cell r="R54">
            <v>46211.641388888893</v>
          </cell>
          <cell r="S54" t="str">
            <v>Sandra Adel</v>
          </cell>
          <cell r="T54">
            <v>46215</v>
          </cell>
          <cell r="U54" t="str">
            <v>KJ Ampy</v>
          </cell>
        </row>
        <row r="55">
          <cell r="I55" t="str">
            <v>EDI</v>
          </cell>
          <cell r="N55" t="str">
            <v>Requirements Gathering</v>
          </cell>
          <cell r="O55" t="str">
            <v>Everything Benefits</v>
          </cell>
          <cell r="P55" t="str">
            <v>Phase 1 - Map Built</v>
          </cell>
          <cell r="Q55" t="str">
            <v>In Progress</v>
          </cell>
          <cell r="R55">
            <v>46211.641377314823</v>
          </cell>
          <cell r="S55" t="str">
            <v>Sandra Adel</v>
          </cell>
          <cell r="T55">
            <v>46215</v>
          </cell>
          <cell r="U55" t="str">
            <v>KJ Ampy</v>
          </cell>
        </row>
        <row r="56">
          <cell r="I56" t="str">
            <v>EDI</v>
          </cell>
          <cell r="N56" t="str">
            <v>Requirements Gathering</v>
          </cell>
          <cell r="O56" t="str">
            <v>No</v>
          </cell>
          <cell r="Q56" t="str">
            <v>In Progress</v>
          </cell>
          <cell r="R56">
            <v>46211.585462962961</v>
          </cell>
          <cell r="S56" t="str">
            <v>Mai Atef</v>
          </cell>
          <cell r="T56">
            <v>46215</v>
          </cell>
          <cell r="U56" t="str">
            <v>Gregory Dubec</v>
          </cell>
        </row>
        <row r="57">
          <cell r="I57" t="str">
            <v>EDI</v>
          </cell>
          <cell r="N57" t="str">
            <v>Requirements Gathering</v>
          </cell>
          <cell r="O57" t="str">
            <v>No</v>
          </cell>
          <cell r="Q57" t="str">
            <v>In Progress</v>
          </cell>
          <cell r="R57">
            <v>46211.585462962961</v>
          </cell>
          <cell r="S57" t="str">
            <v>Mai Atef</v>
          </cell>
          <cell r="T57">
            <v>46215</v>
          </cell>
          <cell r="U57" t="str">
            <v>Gregory Dubec</v>
          </cell>
        </row>
        <row r="58">
          <cell r="I58" t="str">
            <v>EDI</v>
          </cell>
          <cell r="N58" t="str">
            <v>Requirements Gathering</v>
          </cell>
          <cell r="O58" t="str">
            <v>No</v>
          </cell>
          <cell r="Q58" t="str">
            <v>In Progress</v>
          </cell>
          <cell r="R58">
            <v>46211.585439814808</v>
          </cell>
          <cell r="S58" t="str">
            <v>Mai Atef</v>
          </cell>
          <cell r="T58">
            <v>46215</v>
          </cell>
          <cell r="U58" t="str">
            <v>Gregory Dubec</v>
          </cell>
        </row>
        <row r="59">
          <cell r="I59" t="str">
            <v>EDI</v>
          </cell>
          <cell r="N59" t="str">
            <v>Requirements Gathering</v>
          </cell>
          <cell r="O59" t="str">
            <v>Everything Benefits</v>
          </cell>
          <cell r="P59" t="str">
            <v>Phase 1 - Map Built</v>
          </cell>
          <cell r="Q59" t="str">
            <v>In Progress</v>
          </cell>
          <cell r="R59">
            <v>46210.82508101852</v>
          </cell>
          <cell r="S59" t="str">
            <v>Sandra Adel</v>
          </cell>
          <cell r="T59">
            <v>46211</v>
          </cell>
          <cell r="U59" t="str">
            <v>Christina Van Beck</v>
          </cell>
        </row>
        <row r="60">
          <cell r="I60" t="str">
            <v>EDI</v>
          </cell>
          <cell r="N60" t="str">
            <v>Requirements Gathering</v>
          </cell>
          <cell r="O60" t="str">
            <v>Everything Benefits</v>
          </cell>
          <cell r="P60" t="str">
            <v>Phase 1 - Map Built</v>
          </cell>
          <cell r="Q60" t="str">
            <v>In Progress</v>
          </cell>
          <cell r="R60">
            <v>46210.825069444443</v>
          </cell>
          <cell r="S60" t="str">
            <v>Sandra Adel</v>
          </cell>
          <cell r="T60">
            <v>46211</v>
          </cell>
          <cell r="U60" t="str">
            <v>Christina Van Beck</v>
          </cell>
        </row>
        <row r="61">
          <cell r="I61" t="str">
            <v>EDI</v>
          </cell>
          <cell r="N61" t="str">
            <v>Requirements Gathering</v>
          </cell>
          <cell r="O61" t="str">
            <v>Everything Benefits</v>
          </cell>
          <cell r="P61" t="str">
            <v>Phase 1 - Map Built</v>
          </cell>
          <cell r="Q61" t="str">
            <v>In Progress</v>
          </cell>
          <cell r="R61">
            <v>46210.825057870366</v>
          </cell>
          <cell r="S61" t="str">
            <v>Sandra Adel</v>
          </cell>
          <cell r="T61">
            <v>46211</v>
          </cell>
          <cell r="U61" t="str">
            <v>Christina Van Beck</v>
          </cell>
        </row>
        <row r="62">
          <cell r="I62" t="str">
            <v>EDI</v>
          </cell>
          <cell r="N62" t="str">
            <v>Resource Assignment</v>
          </cell>
          <cell r="O62" t="str">
            <v>No</v>
          </cell>
          <cell r="Q62" t="str">
            <v>In Progress</v>
          </cell>
          <cell r="R62">
            <v>46210.755752314813</v>
          </cell>
          <cell r="S62" t="str">
            <v>Rasha Wadie</v>
          </cell>
          <cell r="T62">
            <v>46217</v>
          </cell>
          <cell r="U62" t="str">
            <v>Misty Shannon</v>
          </cell>
          <cell r="Y62">
            <v>46217</v>
          </cell>
        </row>
        <row r="63">
          <cell r="I63" t="str">
            <v>EDI</v>
          </cell>
          <cell r="N63" t="str">
            <v>Requirements Gathering</v>
          </cell>
          <cell r="O63" t="str">
            <v>No</v>
          </cell>
          <cell r="Q63" t="str">
            <v>In Progress</v>
          </cell>
          <cell r="R63">
            <v>46210.755740740737</v>
          </cell>
          <cell r="S63" t="str">
            <v>Mai Atef</v>
          </cell>
          <cell r="T63">
            <v>46212</v>
          </cell>
          <cell r="U63" t="str">
            <v>Misty Shannon</v>
          </cell>
        </row>
        <row r="64">
          <cell r="I64" t="str">
            <v>EDI</v>
          </cell>
          <cell r="N64" t="str">
            <v>Resource Assignment</v>
          </cell>
          <cell r="O64" t="str">
            <v>No</v>
          </cell>
          <cell r="Q64" t="str">
            <v>In Progress</v>
          </cell>
          <cell r="R64">
            <v>46210.727037037039</v>
          </cell>
          <cell r="S64" t="str">
            <v>Rasha Wadie</v>
          </cell>
          <cell r="T64">
            <v>46216</v>
          </cell>
          <cell r="U64" t="str">
            <v>Lindsay Hudacik</v>
          </cell>
          <cell r="Y64">
            <v>46216</v>
          </cell>
        </row>
        <row r="65">
          <cell r="I65" t="str">
            <v>EDI</v>
          </cell>
          <cell r="N65" t="str">
            <v>Resource Assignment</v>
          </cell>
          <cell r="O65" t="str">
            <v>No</v>
          </cell>
          <cell r="Q65" t="str">
            <v>In Progress</v>
          </cell>
          <cell r="R65">
            <v>46209.65353009259</v>
          </cell>
          <cell r="S65" t="str">
            <v>Rasha Wadie</v>
          </cell>
          <cell r="T65">
            <v>46215</v>
          </cell>
          <cell r="U65" t="str">
            <v>Joel Costanzo</v>
          </cell>
          <cell r="Y65">
            <v>46215</v>
          </cell>
        </row>
        <row r="66">
          <cell r="I66" t="str">
            <v>EDI</v>
          </cell>
          <cell r="N66" t="str">
            <v>Pending Start</v>
          </cell>
          <cell r="O66" t="str">
            <v>No</v>
          </cell>
          <cell r="Q66" t="str">
            <v>Not Started</v>
          </cell>
          <cell r="R66">
            <v>46209.580775462957</v>
          </cell>
          <cell r="U66" t="str">
            <v>KJ Ampy</v>
          </cell>
        </row>
        <row r="67">
          <cell r="I67" t="str">
            <v>EDI</v>
          </cell>
          <cell r="L67">
            <v>5048</v>
          </cell>
          <cell r="N67" t="str">
            <v>Dataset Validation</v>
          </cell>
          <cell r="O67" t="str">
            <v>No</v>
          </cell>
          <cell r="Q67" t="str">
            <v>Cancelled</v>
          </cell>
          <cell r="R67">
            <v>46208.781215277777</v>
          </cell>
          <cell r="S67" t="str">
            <v>Andrew Ramy</v>
          </cell>
          <cell r="T67">
            <v>46208</v>
          </cell>
          <cell r="U67" t="str">
            <v>Tyler  Raposa</v>
          </cell>
        </row>
        <row r="68">
          <cell r="I68" t="str">
            <v>EDI</v>
          </cell>
          <cell r="L68">
            <v>5062</v>
          </cell>
          <cell r="N68" t="str">
            <v>Mapping</v>
          </cell>
          <cell r="O68" t="str">
            <v>No</v>
          </cell>
          <cell r="Q68" t="str">
            <v>In Progress</v>
          </cell>
          <cell r="R68">
            <v>46208.663564814808</v>
          </cell>
          <cell r="S68" t="str">
            <v>Reem Radwan</v>
          </cell>
          <cell r="T68">
            <v>46209</v>
          </cell>
          <cell r="U68" t="str">
            <v>Trish Kalinczok</v>
          </cell>
          <cell r="Y68">
            <v>46209</v>
          </cell>
        </row>
        <row r="69">
          <cell r="I69" t="str">
            <v>EDI</v>
          </cell>
          <cell r="L69">
            <v>5081</v>
          </cell>
          <cell r="N69" t="str">
            <v>Mapping</v>
          </cell>
          <cell r="O69" t="str">
            <v>No</v>
          </cell>
          <cell r="Q69" t="str">
            <v>In Progress</v>
          </cell>
          <cell r="R69">
            <v>46205.609375</v>
          </cell>
          <cell r="S69" t="str">
            <v>Giulie Alaa</v>
          </cell>
          <cell r="T69">
            <v>46215</v>
          </cell>
          <cell r="U69" t="str">
            <v>Rhettsmey Meak</v>
          </cell>
          <cell r="Y69">
            <v>46215</v>
          </cell>
        </row>
        <row r="70">
          <cell r="I70" t="str">
            <v>Forms</v>
          </cell>
          <cell r="L70" t="str">
            <v>[5068]</v>
          </cell>
          <cell r="N70" t="str">
            <v>Testing</v>
          </cell>
          <cell r="O70" t="str">
            <v>No</v>
          </cell>
          <cell r="Q70" t="str">
            <v>In Progress</v>
          </cell>
          <cell r="R70">
            <v>46204.84306712963</v>
          </cell>
          <cell r="S70" t="str">
            <v>Aya Fathy</v>
          </cell>
          <cell r="T70">
            <v>46210</v>
          </cell>
          <cell r="U70" t="str">
            <v>A Aramirez</v>
          </cell>
        </row>
        <row r="71">
          <cell r="I71" t="str">
            <v>Forms</v>
          </cell>
          <cell r="L71" t="str">
            <v>[5076]</v>
          </cell>
          <cell r="N71" t="str">
            <v>Mapping</v>
          </cell>
          <cell r="O71" t="str">
            <v>No</v>
          </cell>
          <cell r="Q71" t="str">
            <v>In Progress</v>
          </cell>
          <cell r="R71">
            <v>46204.843055555553</v>
          </cell>
          <cell r="S71" t="str">
            <v>Alaa Yehia</v>
          </cell>
          <cell r="T71">
            <v>46210</v>
          </cell>
          <cell r="U71" t="str">
            <v>A Aramirez</v>
          </cell>
        </row>
        <row r="72">
          <cell r="I72" t="str">
            <v>Forms</v>
          </cell>
          <cell r="N72" t="str">
            <v>Dataset Validation</v>
          </cell>
          <cell r="O72" t="str">
            <v>No</v>
          </cell>
          <cell r="Q72" t="str">
            <v>In Progress</v>
          </cell>
          <cell r="R72">
            <v>46204.843043981477</v>
          </cell>
          <cell r="S72" t="str">
            <v>Alaa Yehia</v>
          </cell>
          <cell r="T72">
            <v>46210</v>
          </cell>
          <cell r="U72" t="str">
            <v>A Aramirez</v>
          </cell>
        </row>
        <row r="73">
          <cell r="I73" t="str">
            <v>EDI</v>
          </cell>
          <cell r="N73" t="str">
            <v>Dataset Validation</v>
          </cell>
          <cell r="O73" t="str">
            <v>No</v>
          </cell>
          <cell r="Q73" t="str">
            <v>In Progress</v>
          </cell>
          <cell r="R73">
            <v>46204.80972222222</v>
          </cell>
          <cell r="S73" t="str">
            <v>Reem Radwan</v>
          </cell>
          <cell r="T73">
            <v>46215</v>
          </cell>
          <cell r="U73" t="str">
            <v>Rhettsmey Meak</v>
          </cell>
          <cell r="Y73">
            <v>46212</v>
          </cell>
        </row>
        <row r="74">
          <cell r="I74" t="str">
            <v>EDI</v>
          </cell>
          <cell r="N74" t="str">
            <v>Resource Assignment</v>
          </cell>
          <cell r="O74" t="str">
            <v>No</v>
          </cell>
          <cell r="Q74" t="str">
            <v>In Progress</v>
          </cell>
          <cell r="R74">
            <v>46204.780358796299</v>
          </cell>
          <cell r="S74" t="str">
            <v>Rasha Wadie</v>
          </cell>
          <cell r="T74">
            <v>46215</v>
          </cell>
          <cell r="U74" t="str">
            <v>Rhettsmey Meak</v>
          </cell>
          <cell r="Y74">
            <v>46215</v>
          </cell>
        </row>
        <row r="75">
          <cell r="I75" t="str">
            <v>EDI</v>
          </cell>
          <cell r="N75" t="str">
            <v>Requirements Gathering</v>
          </cell>
          <cell r="O75" t="str">
            <v>No</v>
          </cell>
          <cell r="Q75" t="str">
            <v>In Progress</v>
          </cell>
          <cell r="R75">
            <v>46204.759456018517</v>
          </cell>
          <cell r="S75" t="str">
            <v>Hady Sherif</v>
          </cell>
          <cell r="T75">
            <v>46208</v>
          </cell>
          <cell r="U75" t="str">
            <v>Rhettsmey Meak</v>
          </cell>
        </row>
        <row r="76">
          <cell r="I76" t="str">
            <v>EDI</v>
          </cell>
          <cell r="N76" t="str">
            <v>Requirements Gathering</v>
          </cell>
          <cell r="O76" t="str">
            <v>No</v>
          </cell>
          <cell r="Q76" t="str">
            <v>In Progress</v>
          </cell>
          <cell r="R76">
            <v>46204.636319444442</v>
          </cell>
          <cell r="S76" t="str">
            <v>Hady Sherif</v>
          </cell>
          <cell r="T76">
            <v>46208</v>
          </cell>
          <cell r="U76" t="str">
            <v>Rhettsmey Meak</v>
          </cell>
        </row>
        <row r="77">
          <cell r="I77" t="str">
            <v>EDI</v>
          </cell>
          <cell r="N77" t="str">
            <v>Requirements Gathering</v>
          </cell>
          <cell r="O77" t="str">
            <v>No</v>
          </cell>
          <cell r="Q77" t="str">
            <v>In Progress</v>
          </cell>
          <cell r="R77">
            <v>46204.634710648148</v>
          </cell>
          <cell r="S77" t="str">
            <v>Hady Sherif</v>
          </cell>
          <cell r="T77">
            <v>46208</v>
          </cell>
          <cell r="U77" t="str">
            <v>Rhettsmey Meak</v>
          </cell>
        </row>
        <row r="78">
          <cell r="I78" t="str">
            <v>EDI</v>
          </cell>
          <cell r="N78" t="str">
            <v>Requirements Gathering</v>
          </cell>
          <cell r="O78" t="str">
            <v>No</v>
          </cell>
          <cell r="Q78" t="str">
            <v>In Progress</v>
          </cell>
          <cell r="R78">
            <v>46204.602337962962</v>
          </cell>
          <cell r="S78" t="str">
            <v>Hady Sherif</v>
          </cell>
          <cell r="T78">
            <v>46208</v>
          </cell>
          <cell r="U78" t="str">
            <v>Angie Winter</v>
          </cell>
        </row>
        <row r="79">
          <cell r="I79" t="str">
            <v>EDI</v>
          </cell>
          <cell r="N79" t="str">
            <v>Requirements Gathering</v>
          </cell>
          <cell r="O79" t="str">
            <v>No</v>
          </cell>
          <cell r="Q79" t="str">
            <v>Cancelled</v>
          </cell>
          <cell r="R79">
            <v>46203.840416666673</v>
          </cell>
          <cell r="S79" t="str">
            <v>Sandra Adel</v>
          </cell>
          <cell r="T79">
            <v>46208</v>
          </cell>
          <cell r="U79" t="str">
            <v>Benjamin Labowitz</v>
          </cell>
        </row>
        <row r="80">
          <cell r="I80" t="str">
            <v>EDI</v>
          </cell>
          <cell r="N80" t="str">
            <v>Requirements Gathering</v>
          </cell>
          <cell r="O80" t="str">
            <v>No</v>
          </cell>
          <cell r="Q80" t="str">
            <v>In Progress</v>
          </cell>
          <cell r="R80">
            <v>46203.792268518519</v>
          </cell>
          <cell r="S80" t="str">
            <v>Sandra Adel</v>
          </cell>
          <cell r="T80">
            <v>46208</v>
          </cell>
          <cell r="U80" t="str">
            <v>Christina Van Beck</v>
          </cell>
        </row>
        <row r="81">
          <cell r="I81" t="str">
            <v>EDI</v>
          </cell>
          <cell r="N81" t="str">
            <v>Resource Assignment</v>
          </cell>
          <cell r="O81" t="str">
            <v>No</v>
          </cell>
          <cell r="Q81" t="str">
            <v>In Progress</v>
          </cell>
          <cell r="R81">
            <v>46203.773101851853</v>
          </cell>
          <cell r="S81" t="str">
            <v>Rasha Wadie</v>
          </cell>
          <cell r="T81">
            <v>46217</v>
          </cell>
          <cell r="U81" t="str">
            <v>Rhettsmey Meak</v>
          </cell>
          <cell r="Y81">
            <v>46217</v>
          </cell>
        </row>
        <row r="82">
          <cell r="I82" t="str">
            <v>EDI</v>
          </cell>
          <cell r="N82" t="str">
            <v>Requirements Gathering</v>
          </cell>
          <cell r="O82" t="str">
            <v>No</v>
          </cell>
          <cell r="Q82" t="str">
            <v>In Progress</v>
          </cell>
          <cell r="R82">
            <v>46203.770289351851</v>
          </cell>
          <cell r="S82" t="str">
            <v>Sandra Adel</v>
          </cell>
          <cell r="T82">
            <v>46204</v>
          </cell>
          <cell r="U82" t="str">
            <v>Rhettsmey Meak</v>
          </cell>
        </row>
        <row r="83">
          <cell r="I83" t="str">
            <v>EDI</v>
          </cell>
          <cell r="N83" t="str">
            <v>Requirements Gathering</v>
          </cell>
          <cell r="O83" t="str">
            <v>No</v>
          </cell>
          <cell r="Q83" t="str">
            <v>In Progress</v>
          </cell>
          <cell r="R83">
            <v>46203.769074074073</v>
          </cell>
          <cell r="S83" t="str">
            <v>Sandra Adel</v>
          </cell>
          <cell r="T83">
            <v>46204</v>
          </cell>
          <cell r="U83" t="str">
            <v>Rhettsmey Meak</v>
          </cell>
        </row>
        <row r="84">
          <cell r="I84" t="str">
            <v>EDI</v>
          </cell>
          <cell r="N84" t="str">
            <v>Requirements Gathering</v>
          </cell>
          <cell r="O84" t="str">
            <v>No</v>
          </cell>
          <cell r="Q84" t="str">
            <v>In Progress</v>
          </cell>
          <cell r="R84">
            <v>46203.758692129632</v>
          </cell>
          <cell r="S84" t="str">
            <v>Sandra Adel</v>
          </cell>
          <cell r="T84">
            <v>46204</v>
          </cell>
          <cell r="U84" t="str">
            <v>Rhettsmey Meak</v>
          </cell>
        </row>
        <row r="85">
          <cell r="I85" t="str">
            <v>EDI</v>
          </cell>
          <cell r="N85" t="str">
            <v>Requirements Gathering</v>
          </cell>
          <cell r="O85" t="str">
            <v>No</v>
          </cell>
          <cell r="Q85" t="str">
            <v>In Progress</v>
          </cell>
          <cell r="R85">
            <v>46203.737928240742</v>
          </cell>
          <cell r="S85" t="str">
            <v>Hady Sherif</v>
          </cell>
          <cell r="T85">
            <v>46204</v>
          </cell>
          <cell r="U85" t="str">
            <v>Rhettsmey Meak</v>
          </cell>
        </row>
        <row r="86">
          <cell r="I86" t="str">
            <v>EDI</v>
          </cell>
          <cell r="N86" t="str">
            <v>Requirements Gathering</v>
          </cell>
          <cell r="O86" t="str">
            <v>No</v>
          </cell>
          <cell r="Q86" t="str">
            <v>In Progress</v>
          </cell>
          <cell r="R86">
            <v>46203.735138888893</v>
          </cell>
          <cell r="S86" t="str">
            <v>Hady Sherif</v>
          </cell>
          <cell r="T86">
            <v>46204</v>
          </cell>
          <cell r="U86" t="str">
            <v>Rhettsmey Meak</v>
          </cell>
        </row>
        <row r="87">
          <cell r="I87" t="str">
            <v>EDI</v>
          </cell>
          <cell r="N87" t="str">
            <v>Requirements Gathering</v>
          </cell>
          <cell r="O87" t="str">
            <v>No</v>
          </cell>
          <cell r="Q87" t="str">
            <v>In Progress</v>
          </cell>
          <cell r="R87">
            <v>46203.576099537036</v>
          </cell>
          <cell r="S87" t="str">
            <v>Sandra Adel</v>
          </cell>
          <cell r="T87">
            <v>46204</v>
          </cell>
          <cell r="U87" t="str">
            <v>Gregory Dubec</v>
          </cell>
        </row>
        <row r="88">
          <cell r="I88" t="str">
            <v>EDI</v>
          </cell>
          <cell r="N88" t="str">
            <v>Pending Start</v>
          </cell>
          <cell r="O88" t="str">
            <v>Everything Benefits</v>
          </cell>
          <cell r="P88" t="str">
            <v>Phase 1 - Map Built</v>
          </cell>
          <cell r="Q88" t="str">
            <v>Not Started</v>
          </cell>
          <cell r="R88">
            <v>46202.904363425929</v>
          </cell>
          <cell r="U88" t="str">
            <v>Trish Kalinczok</v>
          </cell>
        </row>
        <row r="89">
          <cell r="I89" t="str">
            <v>EDI</v>
          </cell>
          <cell r="N89" t="str">
            <v>Requirements Gathering</v>
          </cell>
          <cell r="O89" t="str">
            <v>Everything Benefits</v>
          </cell>
          <cell r="P89" t="str">
            <v>Phase 1 - Map Built</v>
          </cell>
          <cell r="Q89" t="str">
            <v>In Progress</v>
          </cell>
          <cell r="R89">
            <v>46202.894016203703</v>
          </cell>
          <cell r="S89" t="str">
            <v>Sandra Adel</v>
          </cell>
          <cell r="T89">
            <v>46208</v>
          </cell>
          <cell r="U89" t="str">
            <v>Christina Van Beck</v>
          </cell>
        </row>
        <row r="90">
          <cell r="I90" t="str">
            <v>EDI</v>
          </cell>
          <cell r="N90" t="str">
            <v>Resource Assignment</v>
          </cell>
          <cell r="O90" t="str">
            <v>Everything Benefits</v>
          </cell>
          <cell r="P90" t="str">
            <v>Phase 1 - Map Built</v>
          </cell>
          <cell r="Q90" t="str">
            <v>In Progress</v>
          </cell>
          <cell r="R90">
            <v>46202.894004629627</v>
          </cell>
          <cell r="S90" t="str">
            <v>Rasha Wadie</v>
          </cell>
          <cell r="T90">
            <v>46216</v>
          </cell>
          <cell r="U90" t="str">
            <v>Christina Van Beck</v>
          </cell>
          <cell r="Y90">
            <v>46216</v>
          </cell>
        </row>
        <row r="91">
          <cell r="I91" t="str">
            <v>EDI</v>
          </cell>
          <cell r="L91">
            <v>5064</v>
          </cell>
          <cell r="N91" t="str">
            <v>Mapping</v>
          </cell>
          <cell r="O91" t="str">
            <v>eBenefits Network</v>
          </cell>
          <cell r="P91" t="str">
            <v>Phase 1 - Map Built</v>
          </cell>
          <cell r="Q91" t="str">
            <v>In Progress</v>
          </cell>
          <cell r="R91">
            <v>46199.872060185182</v>
          </cell>
          <cell r="S91" t="str">
            <v>Josephine Ossama</v>
          </cell>
          <cell r="T91">
            <v>46208</v>
          </cell>
          <cell r="U91" t="str">
            <v>Trish Kalinczok</v>
          </cell>
          <cell r="Y91">
            <v>46203</v>
          </cell>
        </row>
        <row r="92">
          <cell r="I92" t="str">
            <v>EDI</v>
          </cell>
          <cell r="L92">
            <v>5056</v>
          </cell>
          <cell r="N92" t="str">
            <v>Production</v>
          </cell>
          <cell r="O92" t="str">
            <v>No</v>
          </cell>
          <cell r="Q92" t="str">
            <v>Live</v>
          </cell>
          <cell r="R92">
            <v>46199.823275462957</v>
          </cell>
          <cell r="S92" t="str">
            <v>Alaa Yehia</v>
          </cell>
          <cell r="T92">
            <v>46202</v>
          </cell>
          <cell r="U92" t="str">
            <v>Trish Kalinczok</v>
          </cell>
          <cell r="W92">
            <v>46211</v>
          </cell>
          <cell r="AC92">
            <v>46211</v>
          </cell>
        </row>
        <row r="93">
          <cell r="I93" t="str">
            <v>EDI</v>
          </cell>
          <cell r="L93">
            <v>5049</v>
          </cell>
          <cell r="N93" t="str">
            <v>Production</v>
          </cell>
          <cell r="O93" t="str">
            <v>No</v>
          </cell>
          <cell r="Q93" t="str">
            <v>Live</v>
          </cell>
          <cell r="R93">
            <v>46199.802824074082</v>
          </cell>
          <cell r="S93" t="str">
            <v>Alaa Yehia</v>
          </cell>
          <cell r="T93">
            <v>46202</v>
          </cell>
          <cell r="U93" t="str">
            <v>Trish Kalinczok</v>
          </cell>
          <cell r="W93">
            <v>46211</v>
          </cell>
          <cell r="AC93">
            <v>46211</v>
          </cell>
        </row>
        <row r="94">
          <cell r="I94" t="str">
            <v>EDI</v>
          </cell>
          <cell r="N94" t="str">
            <v>Dataset Validation</v>
          </cell>
          <cell r="O94" t="str">
            <v>No</v>
          </cell>
          <cell r="Q94" t="str">
            <v>In Progress</v>
          </cell>
          <cell r="R94">
            <v>46199.695949074077</v>
          </cell>
          <cell r="S94" t="str">
            <v>Andrew Ramy</v>
          </cell>
          <cell r="T94">
            <v>46215</v>
          </cell>
          <cell r="U94" t="str">
            <v>Joel Costanzo</v>
          </cell>
          <cell r="Y94">
            <v>46204</v>
          </cell>
        </row>
        <row r="95">
          <cell r="I95" t="str">
            <v>EDI</v>
          </cell>
          <cell r="N95" t="str">
            <v>Requirements Gathering</v>
          </cell>
          <cell r="O95" t="str">
            <v>No</v>
          </cell>
          <cell r="Q95" t="str">
            <v>In Progress</v>
          </cell>
          <cell r="R95">
            <v>46199.659062500003</v>
          </cell>
          <cell r="S95" t="str">
            <v>Hady Sherif</v>
          </cell>
          <cell r="T95">
            <v>46202</v>
          </cell>
          <cell r="U95" t="str">
            <v>Jennifer Seivert</v>
          </cell>
        </row>
        <row r="96">
          <cell r="I96" t="str">
            <v>EDI</v>
          </cell>
          <cell r="N96" t="str">
            <v>Requirements Gathering</v>
          </cell>
          <cell r="O96" t="str">
            <v>No</v>
          </cell>
          <cell r="Q96" t="str">
            <v>In Progress</v>
          </cell>
          <cell r="R96">
            <v>46198.83221064815</v>
          </cell>
          <cell r="S96" t="str">
            <v>Hady Sherif</v>
          </cell>
          <cell r="T96">
            <v>46202</v>
          </cell>
          <cell r="U96" t="str">
            <v>Gregory Dubec</v>
          </cell>
        </row>
        <row r="97">
          <cell r="I97" t="str">
            <v>EDI</v>
          </cell>
          <cell r="N97" t="str">
            <v>Requirements Gathering</v>
          </cell>
          <cell r="O97" t="str">
            <v>No</v>
          </cell>
          <cell r="Q97" t="str">
            <v>In Progress</v>
          </cell>
          <cell r="R97">
            <v>46198.832199074073</v>
          </cell>
          <cell r="S97" t="str">
            <v>Hady Sherif</v>
          </cell>
          <cell r="T97">
            <v>46202</v>
          </cell>
          <cell r="U97" t="str">
            <v>Gregory Dubec</v>
          </cell>
        </row>
        <row r="98">
          <cell r="I98" t="str">
            <v>EDI</v>
          </cell>
          <cell r="N98" t="str">
            <v>Resource Assignment</v>
          </cell>
          <cell r="O98" t="str">
            <v>No</v>
          </cell>
          <cell r="Q98" t="str">
            <v>In Progress</v>
          </cell>
          <cell r="R98">
            <v>46198.687951388893</v>
          </cell>
          <cell r="S98" t="str">
            <v>Rasha Wadie</v>
          </cell>
          <cell r="T98">
            <v>46217</v>
          </cell>
          <cell r="U98" t="str">
            <v>KJ Ampy</v>
          </cell>
          <cell r="Y98">
            <v>46217</v>
          </cell>
        </row>
        <row r="99">
          <cell r="I99" t="str">
            <v>EDI</v>
          </cell>
          <cell r="L99">
            <v>5073</v>
          </cell>
          <cell r="N99" t="str">
            <v>Requirements Gathering</v>
          </cell>
          <cell r="O99" t="str">
            <v>No</v>
          </cell>
          <cell r="Q99" t="str">
            <v>In Progress</v>
          </cell>
          <cell r="R99">
            <v>46197.870706018519</v>
          </cell>
          <cell r="S99" t="str">
            <v>Karim Tarek</v>
          </cell>
          <cell r="T99">
            <v>46198</v>
          </cell>
          <cell r="U99" t="str">
            <v>Gregory Dubec</v>
          </cell>
        </row>
        <row r="100">
          <cell r="I100" t="str">
            <v>EDI</v>
          </cell>
          <cell r="N100" t="str">
            <v>Resource Assignment</v>
          </cell>
          <cell r="O100" t="str">
            <v>Everything Benefits</v>
          </cell>
          <cell r="P100" t="str">
            <v>Phase 1 - Map Built</v>
          </cell>
          <cell r="Q100" t="str">
            <v>In Progress</v>
          </cell>
          <cell r="R100">
            <v>46197.82675925926</v>
          </cell>
          <cell r="S100" t="str">
            <v>Rasha Wadie</v>
          </cell>
          <cell r="T100">
            <v>46216</v>
          </cell>
          <cell r="U100" t="str">
            <v>Rebecca Gilbert</v>
          </cell>
          <cell r="Y100">
            <v>46216</v>
          </cell>
        </row>
        <row r="101">
          <cell r="I101" t="str">
            <v>EDI</v>
          </cell>
          <cell r="N101" t="str">
            <v>Resource Assignment</v>
          </cell>
          <cell r="O101" t="str">
            <v>Everything Benefits</v>
          </cell>
          <cell r="P101" t="str">
            <v>Phase 1 - Map Built</v>
          </cell>
          <cell r="Q101" t="str">
            <v>In Progress</v>
          </cell>
          <cell r="R101">
            <v>46197.82675925926</v>
          </cell>
          <cell r="S101" t="str">
            <v>Rasha Wadie</v>
          </cell>
          <cell r="T101">
            <v>46216</v>
          </cell>
          <cell r="U101" t="str">
            <v>Rebecca Gilbert</v>
          </cell>
          <cell r="Y101">
            <v>46216</v>
          </cell>
        </row>
        <row r="102">
          <cell r="I102" t="str">
            <v>EDI</v>
          </cell>
          <cell r="N102" t="str">
            <v>Resource Assignment</v>
          </cell>
          <cell r="O102" t="str">
            <v>Everything Benefits</v>
          </cell>
          <cell r="P102" t="str">
            <v>Phase 1 - Map Built</v>
          </cell>
          <cell r="Q102" t="str">
            <v>In Progress</v>
          </cell>
          <cell r="R102">
            <v>46197.826747685183</v>
          </cell>
          <cell r="S102" t="str">
            <v>Rasha Wadie</v>
          </cell>
          <cell r="T102">
            <v>46216</v>
          </cell>
          <cell r="U102" t="str">
            <v>Rebecca Gilbert</v>
          </cell>
          <cell r="Y102">
            <v>46216</v>
          </cell>
        </row>
        <row r="103">
          <cell r="I103" t="str">
            <v>EDI</v>
          </cell>
          <cell r="N103" t="str">
            <v>Resource Assignment</v>
          </cell>
          <cell r="O103" t="str">
            <v>No</v>
          </cell>
          <cell r="Q103" t="str">
            <v>In Progress</v>
          </cell>
          <cell r="R103">
            <v>46197.785937499997</v>
          </cell>
          <cell r="S103" t="str">
            <v>Rasha Wadie</v>
          </cell>
          <cell r="T103">
            <v>46216</v>
          </cell>
          <cell r="U103" t="str">
            <v>Jennifer Seivert</v>
          </cell>
          <cell r="Y103">
            <v>46216</v>
          </cell>
        </row>
        <row r="104">
          <cell r="I104" t="str">
            <v>EDI</v>
          </cell>
          <cell r="N104" t="str">
            <v>Requirements Gathering</v>
          </cell>
          <cell r="O104" t="str">
            <v>No</v>
          </cell>
          <cell r="Q104" t="str">
            <v>In Progress</v>
          </cell>
          <cell r="R104">
            <v>46197.668078703697</v>
          </cell>
          <cell r="S104" t="str">
            <v>Karim Tarek</v>
          </cell>
          <cell r="T104">
            <v>46198</v>
          </cell>
          <cell r="U104" t="str">
            <v>Rebecca Gilbert</v>
          </cell>
        </row>
        <row r="105">
          <cell r="I105" t="str">
            <v>EDI</v>
          </cell>
          <cell r="N105" t="str">
            <v>Resource Assignment</v>
          </cell>
          <cell r="O105" t="str">
            <v>No</v>
          </cell>
          <cell r="Q105" t="str">
            <v>In Progress</v>
          </cell>
          <cell r="R105">
            <v>46197.573750000003</v>
          </cell>
          <cell r="S105" t="str">
            <v>Rasha Wadie</v>
          </cell>
          <cell r="T105">
            <v>46215</v>
          </cell>
          <cell r="U105" t="str">
            <v>Rhettsmey Meak</v>
          </cell>
          <cell r="Y105">
            <v>46215</v>
          </cell>
        </row>
        <row r="106">
          <cell r="I106" t="str">
            <v>EDI</v>
          </cell>
          <cell r="N106" t="str">
            <v>Requirements Gathering</v>
          </cell>
          <cell r="O106" t="str">
            <v>No</v>
          </cell>
          <cell r="Q106" t="str">
            <v>In Progress</v>
          </cell>
          <cell r="R106">
            <v>46197.541296296287</v>
          </cell>
          <cell r="S106" t="str">
            <v>Karim Tarek</v>
          </cell>
          <cell r="T106">
            <v>46198</v>
          </cell>
          <cell r="U106" t="str">
            <v>Carolina Tanoue</v>
          </cell>
        </row>
        <row r="107">
          <cell r="I107" t="str">
            <v>EDI</v>
          </cell>
          <cell r="L107">
            <v>5060</v>
          </cell>
          <cell r="N107" t="str">
            <v>Mapping</v>
          </cell>
          <cell r="O107" t="str">
            <v>No</v>
          </cell>
          <cell r="Q107" t="str">
            <v>In Progress</v>
          </cell>
          <cell r="R107">
            <v>46196.723020833328</v>
          </cell>
          <cell r="S107" t="str">
            <v>Adham Akram</v>
          </cell>
          <cell r="T107">
            <v>46208</v>
          </cell>
          <cell r="U107" t="str">
            <v>Jennifer Seivert</v>
          </cell>
          <cell r="Y107">
            <v>46203</v>
          </cell>
        </row>
        <row r="108">
          <cell r="I108" t="str">
            <v>EDI</v>
          </cell>
          <cell r="N108" t="str">
            <v>Resource Assignment</v>
          </cell>
          <cell r="O108" t="str">
            <v>No</v>
          </cell>
          <cell r="Q108" t="str">
            <v>In Progress</v>
          </cell>
          <cell r="R108">
            <v>46196.662233796298</v>
          </cell>
          <cell r="S108" t="str">
            <v>Rasha Wadie</v>
          </cell>
          <cell r="T108">
            <v>46216</v>
          </cell>
          <cell r="U108" t="str">
            <v>Jennifer Seivert</v>
          </cell>
          <cell r="Y108">
            <v>46216</v>
          </cell>
        </row>
        <row r="109">
          <cell r="I109" t="str">
            <v>EDI</v>
          </cell>
          <cell r="N109" t="str">
            <v>Dataset Validation</v>
          </cell>
          <cell r="O109" t="str">
            <v>No</v>
          </cell>
          <cell r="Q109" t="str">
            <v>In Progress</v>
          </cell>
          <cell r="R109">
            <v>46195.864502314813</v>
          </cell>
          <cell r="S109" t="str">
            <v>Alaa Yehia</v>
          </cell>
          <cell r="T109">
            <v>46215</v>
          </cell>
          <cell r="U109" t="str">
            <v>Carolina Tanoue</v>
          </cell>
          <cell r="Y109">
            <v>46208</v>
          </cell>
        </row>
        <row r="110">
          <cell r="I110" t="str">
            <v>EDI</v>
          </cell>
          <cell r="N110" t="str">
            <v>Requirements Gathering</v>
          </cell>
          <cell r="O110" t="str">
            <v>No</v>
          </cell>
          <cell r="Q110" t="str">
            <v>In Progress</v>
          </cell>
          <cell r="R110">
            <v>46195.84542824074</v>
          </cell>
          <cell r="S110" t="str">
            <v>Hady Sherif</v>
          </cell>
          <cell r="T110">
            <v>46198</v>
          </cell>
          <cell r="U110" t="str">
            <v>Lonnie Celestin</v>
          </cell>
        </row>
        <row r="111">
          <cell r="I111" t="str">
            <v>EDI</v>
          </cell>
          <cell r="N111" t="str">
            <v>Resource Assignment</v>
          </cell>
          <cell r="O111" t="str">
            <v>No</v>
          </cell>
          <cell r="Q111" t="str">
            <v>In Progress</v>
          </cell>
          <cell r="R111">
            <v>46195.645624999997</v>
          </cell>
          <cell r="S111" t="str">
            <v>Rasha Wadie</v>
          </cell>
          <cell r="T111">
            <v>46216</v>
          </cell>
          <cell r="U111" t="str">
            <v>Melanie Rhine</v>
          </cell>
          <cell r="Y111">
            <v>46216</v>
          </cell>
        </row>
        <row r="112">
          <cell r="I112" t="str">
            <v>EDI</v>
          </cell>
          <cell r="N112" t="str">
            <v>Requirements Gathering</v>
          </cell>
          <cell r="O112" t="str">
            <v>No</v>
          </cell>
          <cell r="Q112" t="str">
            <v>In Progress</v>
          </cell>
          <cell r="R112">
            <v>46195.645613425928</v>
          </cell>
          <cell r="S112" t="str">
            <v>Sandra Adel</v>
          </cell>
          <cell r="T112">
            <v>46197</v>
          </cell>
          <cell r="U112" t="str">
            <v>Melanie Rhine</v>
          </cell>
        </row>
        <row r="113">
          <cell r="I113" t="str">
            <v>EDI</v>
          </cell>
          <cell r="N113" t="str">
            <v>Resource Assignment</v>
          </cell>
          <cell r="O113" t="str">
            <v>No</v>
          </cell>
          <cell r="Q113" t="str">
            <v>In Progress</v>
          </cell>
          <cell r="R113">
            <v>46195.645613425928</v>
          </cell>
          <cell r="S113" t="str">
            <v>Rasha Wadie</v>
          </cell>
          <cell r="T113">
            <v>46216</v>
          </cell>
          <cell r="U113" t="str">
            <v>Melanie Rhine</v>
          </cell>
          <cell r="Y113">
            <v>46216</v>
          </cell>
        </row>
        <row r="114">
          <cell r="I114" t="str">
            <v>EDI</v>
          </cell>
          <cell r="N114" t="str">
            <v>Requirements Gathering</v>
          </cell>
          <cell r="O114" t="str">
            <v>No</v>
          </cell>
          <cell r="Q114" t="str">
            <v>Cancelled</v>
          </cell>
          <cell r="R114">
            <v>46192.682453703703</v>
          </cell>
          <cell r="S114" t="str">
            <v>Karim Tarek</v>
          </cell>
          <cell r="T114">
            <v>46196</v>
          </cell>
          <cell r="U114" t="str">
            <v>Benjamin Labowitz</v>
          </cell>
        </row>
        <row r="115">
          <cell r="I115" t="str">
            <v>EDI</v>
          </cell>
          <cell r="N115" t="str">
            <v>Resource Assignment</v>
          </cell>
          <cell r="O115" t="str">
            <v>No</v>
          </cell>
          <cell r="Q115" t="str">
            <v>Cancelled</v>
          </cell>
          <cell r="R115">
            <v>46192.656481481477</v>
          </cell>
          <cell r="S115" t="str">
            <v>Rasha Wadie</v>
          </cell>
          <cell r="T115">
            <v>46208</v>
          </cell>
          <cell r="U115" t="str">
            <v>Benjamin Labowitz</v>
          </cell>
          <cell r="Y115">
            <v>46208</v>
          </cell>
        </row>
        <row r="116">
          <cell r="I116" t="str">
            <v>EDI</v>
          </cell>
          <cell r="N116" t="str">
            <v>Resource Assignment</v>
          </cell>
          <cell r="O116" t="str">
            <v>No</v>
          </cell>
          <cell r="Q116" t="str">
            <v>Cancelled</v>
          </cell>
          <cell r="R116">
            <v>46192.656458333331</v>
          </cell>
          <cell r="S116" t="str">
            <v>Rasha Wadie</v>
          </cell>
          <cell r="T116">
            <v>46208</v>
          </cell>
          <cell r="U116" t="str">
            <v>Benjamin Labowitz</v>
          </cell>
          <cell r="Y116">
            <v>46208</v>
          </cell>
        </row>
        <row r="117">
          <cell r="I117" t="str">
            <v>EDI</v>
          </cell>
          <cell r="N117" t="str">
            <v>Requirements Gathering</v>
          </cell>
          <cell r="O117" t="str">
            <v>No</v>
          </cell>
          <cell r="Q117" t="str">
            <v>In Progress</v>
          </cell>
          <cell r="R117">
            <v>46191.629606481481</v>
          </cell>
          <cell r="S117" t="str">
            <v>Karim Tarek</v>
          </cell>
          <cell r="T117">
            <v>46196</v>
          </cell>
          <cell r="U117" t="str">
            <v>Peter Abdelmalek</v>
          </cell>
        </row>
        <row r="118">
          <cell r="I118" t="str">
            <v>EDI</v>
          </cell>
          <cell r="L118">
            <v>5054</v>
          </cell>
          <cell r="N118" t="str">
            <v>Mapping</v>
          </cell>
          <cell r="O118" t="str">
            <v>No</v>
          </cell>
          <cell r="Q118" t="str">
            <v>In Progress</v>
          </cell>
          <cell r="R118">
            <v>46190.730995370373</v>
          </cell>
          <cell r="S118" t="str">
            <v>Karen Ramy</v>
          </cell>
          <cell r="T118">
            <v>46204</v>
          </cell>
          <cell r="U118" t="str">
            <v>Shelly Knox</v>
          </cell>
          <cell r="Y118">
            <v>46201</v>
          </cell>
        </row>
        <row r="119">
          <cell r="I119" t="str">
            <v>EDI</v>
          </cell>
          <cell r="L119">
            <v>5053</v>
          </cell>
          <cell r="N119" t="str">
            <v>Mapping</v>
          </cell>
          <cell r="O119" t="str">
            <v>No</v>
          </cell>
          <cell r="Q119" t="str">
            <v>In Progress</v>
          </cell>
          <cell r="R119">
            <v>46190.730983796297</v>
          </cell>
          <cell r="S119" t="str">
            <v>Karen Ramy</v>
          </cell>
          <cell r="T119">
            <v>46204</v>
          </cell>
          <cell r="U119" t="str">
            <v>Shelly Knox</v>
          </cell>
          <cell r="Y119">
            <v>46197</v>
          </cell>
        </row>
        <row r="120">
          <cell r="I120" t="str">
            <v>EDI</v>
          </cell>
          <cell r="N120" t="str">
            <v>Requirements Gathering</v>
          </cell>
          <cell r="O120" t="str">
            <v>No</v>
          </cell>
          <cell r="Q120" t="str">
            <v>In Progress</v>
          </cell>
          <cell r="R120">
            <v>46190.730983796297</v>
          </cell>
          <cell r="S120" t="str">
            <v>Hady Sherif</v>
          </cell>
          <cell r="T120">
            <v>46196</v>
          </cell>
          <cell r="U120" t="str">
            <v>Shelly Knox</v>
          </cell>
        </row>
        <row r="121">
          <cell r="I121" t="str">
            <v>EDI</v>
          </cell>
          <cell r="L121">
            <v>5052</v>
          </cell>
          <cell r="N121" t="str">
            <v>Mapping</v>
          </cell>
          <cell r="O121" t="str">
            <v>No</v>
          </cell>
          <cell r="Q121" t="str">
            <v>In Progress</v>
          </cell>
          <cell r="R121">
            <v>46190.73097222222</v>
          </cell>
          <cell r="S121" t="str">
            <v>Karen Ramy</v>
          </cell>
          <cell r="T121">
            <v>46204</v>
          </cell>
          <cell r="U121" t="str">
            <v>Shelly Knox</v>
          </cell>
          <cell r="Y121">
            <v>46197</v>
          </cell>
        </row>
        <row r="122">
          <cell r="I122" t="str">
            <v>EDI</v>
          </cell>
          <cell r="L122">
            <v>5078</v>
          </cell>
          <cell r="N122" t="str">
            <v>Mapping</v>
          </cell>
          <cell r="O122" t="str">
            <v>No</v>
          </cell>
          <cell r="Q122" t="str">
            <v>In Progress</v>
          </cell>
          <cell r="R122">
            <v>46189.817141203697</v>
          </cell>
          <cell r="S122" t="str">
            <v>Josephine Ossama</v>
          </cell>
          <cell r="T122">
            <v>46215</v>
          </cell>
          <cell r="U122" t="str">
            <v>Gregory Dubec</v>
          </cell>
          <cell r="Y122">
            <v>46209</v>
          </cell>
        </row>
        <row r="123">
          <cell r="I123" t="str">
            <v>EDI</v>
          </cell>
          <cell r="N123" t="str">
            <v>Requirements Gathering</v>
          </cell>
          <cell r="O123" t="str">
            <v>No</v>
          </cell>
          <cell r="Q123" t="str">
            <v>In Progress</v>
          </cell>
          <cell r="R123">
            <v>46189.817129629628</v>
          </cell>
          <cell r="S123" t="str">
            <v>Hady Sherif</v>
          </cell>
          <cell r="T123">
            <v>46190</v>
          </cell>
          <cell r="U123" t="str">
            <v>Gregory Dubec</v>
          </cell>
        </row>
        <row r="124">
          <cell r="I124" t="str">
            <v>EDI</v>
          </cell>
          <cell r="N124" t="str">
            <v>Requirements Gathering</v>
          </cell>
          <cell r="O124" t="str">
            <v>No</v>
          </cell>
          <cell r="Q124" t="str">
            <v>In Progress</v>
          </cell>
          <cell r="R124">
            <v>46189.817083333342</v>
          </cell>
          <cell r="S124" t="str">
            <v>Hady Sherif</v>
          </cell>
          <cell r="T124">
            <v>46216</v>
          </cell>
          <cell r="U124" t="str">
            <v>Gregory Dubec</v>
          </cell>
          <cell r="Y124">
            <v>46212</v>
          </cell>
        </row>
        <row r="125">
          <cell r="I125" t="str">
            <v>EDI</v>
          </cell>
          <cell r="L125">
            <v>5046</v>
          </cell>
          <cell r="N125" t="str">
            <v>Testing</v>
          </cell>
          <cell r="O125" t="str">
            <v>No</v>
          </cell>
          <cell r="Q125" t="str">
            <v>In Progress</v>
          </cell>
          <cell r="R125">
            <v>46189.784571759257</v>
          </cell>
          <cell r="S125" t="str">
            <v>Giulie Alaa</v>
          </cell>
          <cell r="T125">
            <v>46208</v>
          </cell>
          <cell r="U125" t="str">
            <v>Tammy Davies</v>
          </cell>
          <cell r="Y125">
            <v>46201</v>
          </cell>
        </row>
        <row r="126">
          <cell r="I126" t="str">
            <v>EDI</v>
          </cell>
          <cell r="N126" t="str">
            <v>Requirements Gathering</v>
          </cell>
          <cell r="O126" t="str">
            <v>No</v>
          </cell>
          <cell r="Q126" t="str">
            <v>In Progress</v>
          </cell>
          <cell r="R126">
            <v>46189.752465277779</v>
          </cell>
          <cell r="S126" t="str">
            <v>Hady Sherif</v>
          </cell>
          <cell r="T126">
            <v>46190</v>
          </cell>
          <cell r="U126" t="str">
            <v>Lindsay Hudacik</v>
          </cell>
        </row>
        <row r="127">
          <cell r="I127" t="str">
            <v>EDI</v>
          </cell>
          <cell r="N127" t="str">
            <v>Dataset Validation</v>
          </cell>
          <cell r="O127" t="str">
            <v>No</v>
          </cell>
          <cell r="Q127" t="str">
            <v>In Progress</v>
          </cell>
          <cell r="R127">
            <v>46189.752453703702</v>
          </cell>
          <cell r="S127" t="str">
            <v>Adham Akram</v>
          </cell>
          <cell r="T127">
            <v>46215</v>
          </cell>
          <cell r="U127" t="str">
            <v>Lindsay Hudacik</v>
          </cell>
          <cell r="Y127">
            <v>46212</v>
          </cell>
        </row>
        <row r="128">
          <cell r="I128" t="str">
            <v>EDI</v>
          </cell>
          <cell r="L128">
            <v>5057</v>
          </cell>
          <cell r="N128" t="str">
            <v>Mapping</v>
          </cell>
          <cell r="O128" t="str">
            <v>No</v>
          </cell>
          <cell r="Q128" t="str">
            <v>In Progress</v>
          </cell>
          <cell r="R128">
            <v>46189.734039351853</v>
          </cell>
          <cell r="S128" t="str">
            <v>Aya Fathy</v>
          </cell>
          <cell r="T128">
            <v>46204</v>
          </cell>
          <cell r="U128" t="str">
            <v>Trish Kalinczok</v>
          </cell>
          <cell r="Y128">
            <v>46197</v>
          </cell>
        </row>
        <row r="129">
          <cell r="I129" t="str">
            <v>EDI</v>
          </cell>
          <cell r="L129">
            <v>5058</v>
          </cell>
          <cell r="N129" t="str">
            <v>Mapping</v>
          </cell>
          <cell r="O129" t="str">
            <v>No</v>
          </cell>
          <cell r="Q129" t="str">
            <v>In Progress</v>
          </cell>
          <cell r="R129">
            <v>46189.734027777777</v>
          </cell>
          <cell r="S129" t="str">
            <v>Aya Fathy</v>
          </cell>
          <cell r="T129">
            <v>46204</v>
          </cell>
          <cell r="U129" t="str">
            <v>Trish Kalinczok</v>
          </cell>
          <cell r="Y129">
            <v>46197</v>
          </cell>
        </row>
        <row r="130">
          <cell r="I130" t="str">
            <v>EDI</v>
          </cell>
          <cell r="N130" t="str">
            <v>Requirements Gathering</v>
          </cell>
          <cell r="O130" t="str">
            <v>No</v>
          </cell>
          <cell r="Q130" t="str">
            <v>In Progress</v>
          </cell>
          <cell r="R130">
            <v>46189.704618055563</v>
          </cell>
          <cell r="S130" t="str">
            <v>Karim Tarek</v>
          </cell>
          <cell r="T130">
            <v>46190</v>
          </cell>
          <cell r="U130" t="str">
            <v>Gregory Dubec</v>
          </cell>
        </row>
        <row r="131">
          <cell r="I131" t="str">
            <v>EDI</v>
          </cell>
          <cell r="L131">
            <v>5031</v>
          </cell>
          <cell r="N131" t="str">
            <v>Production</v>
          </cell>
          <cell r="O131" t="str">
            <v>No</v>
          </cell>
          <cell r="Q131" t="str">
            <v>Live</v>
          </cell>
          <cell r="R131">
            <v>46189.594131944446</v>
          </cell>
          <cell r="S131" t="str">
            <v>Mark Albert</v>
          </cell>
          <cell r="T131">
            <v>46201</v>
          </cell>
          <cell r="U131" t="str">
            <v>Rebecca Gilbert</v>
          </cell>
          <cell r="V131">
            <v>46209</v>
          </cell>
          <cell r="W131">
            <v>46218</v>
          </cell>
          <cell r="Y131">
            <v>46196</v>
          </cell>
          <cell r="AC131">
            <v>46217</v>
          </cell>
        </row>
        <row r="132">
          <cell r="I132" t="str">
            <v>EDI</v>
          </cell>
          <cell r="L132">
            <v>5059</v>
          </cell>
          <cell r="N132" t="str">
            <v>Testing</v>
          </cell>
          <cell r="O132" t="str">
            <v>No</v>
          </cell>
          <cell r="Q132" t="str">
            <v>In Progress</v>
          </cell>
          <cell r="R132">
            <v>46188.869872685187</v>
          </cell>
          <cell r="S132" t="str">
            <v>Mark Albert</v>
          </cell>
          <cell r="T132">
            <v>46208</v>
          </cell>
          <cell r="U132" t="str">
            <v>Trish Kalinczok</v>
          </cell>
          <cell r="Y132">
            <v>46203</v>
          </cell>
        </row>
        <row r="133">
          <cell r="I133" t="str">
            <v>EDI</v>
          </cell>
          <cell r="N133" t="str">
            <v>Resource Assignment</v>
          </cell>
          <cell r="O133" t="str">
            <v>No</v>
          </cell>
          <cell r="Q133" t="str">
            <v>In Progress</v>
          </cell>
          <cell r="R133">
            <v>46188.86986111111</v>
          </cell>
          <cell r="S133" t="str">
            <v>Rasha Wadie</v>
          </cell>
          <cell r="T133">
            <v>46217</v>
          </cell>
          <cell r="U133" t="str">
            <v>Trish Kalinczok</v>
          </cell>
          <cell r="Y133">
            <v>46217</v>
          </cell>
        </row>
        <row r="134">
          <cell r="I134" t="str">
            <v>EDI</v>
          </cell>
          <cell r="L134">
            <v>5055</v>
          </cell>
          <cell r="N134" t="str">
            <v>Testing</v>
          </cell>
          <cell r="O134" t="str">
            <v>Everything Benefits</v>
          </cell>
          <cell r="P134" t="str">
            <v>Migration Testing</v>
          </cell>
          <cell r="Q134" t="str">
            <v>In Progress</v>
          </cell>
          <cell r="R134">
            <v>46188.847083333327</v>
          </cell>
          <cell r="S134" t="str">
            <v>Andrew Ramy</v>
          </cell>
          <cell r="T134">
            <v>46208</v>
          </cell>
          <cell r="U134" t="str">
            <v>Trish Kalinczok</v>
          </cell>
          <cell r="V134">
            <v>46216</v>
          </cell>
          <cell r="Y134">
            <v>46203</v>
          </cell>
        </row>
        <row r="135">
          <cell r="I135" t="str">
            <v>EDI</v>
          </cell>
          <cell r="L135">
            <v>5072</v>
          </cell>
          <cell r="N135" t="str">
            <v>Testing</v>
          </cell>
          <cell r="O135" t="str">
            <v>Everything Benefits</v>
          </cell>
          <cell r="P135" t="str">
            <v>Migration Testing</v>
          </cell>
          <cell r="Q135" t="str">
            <v>In Progress</v>
          </cell>
          <cell r="R135">
            <v>46188.847060185188</v>
          </cell>
          <cell r="S135" t="str">
            <v>Andrew Ramy</v>
          </cell>
          <cell r="T135">
            <v>46208</v>
          </cell>
          <cell r="U135" t="str">
            <v>Trish Kalinczok</v>
          </cell>
          <cell r="Y135">
            <v>46203</v>
          </cell>
        </row>
        <row r="136">
          <cell r="I136" t="str">
            <v>EDI</v>
          </cell>
          <cell r="N136" t="str">
            <v>Requirements Gathering</v>
          </cell>
          <cell r="O136" t="str">
            <v>No</v>
          </cell>
          <cell r="Q136" t="str">
            <v>In Progress</v>
          </cell>
          <cell r="R136">
            <v>46188.77957175926</v>
          </cell>
          <cell r="S136" t="str">
            <v>Sandra Adel</v>
          </cell>
          <cell r="T136">
            <v>46190</v>
          </cell>
          <cell r="U136" t="str">
            <v>Gregory Dubec</v>
          </cell>
        </row>
        <row r="137">
          <cell r="I137" t="str">
            <v>EDI</v>
          </cell>
          <cell r="L137">
            <v>4980</v>
          </cell>
          <cell r="N137" t="str">
            <v>Dataset Validation</v>
          </cell>
          <cell r="O137" t="str">
            <v>No</v>
          </cell>
          <cell r="Q137" t="str">
            <v>Cancelled</v>
          </cell>
          <cell r="R137">
            <v>46185.927060185182</v>
          </cell>
          <cell r="S137" t="str">
            <v>Dina Medhat</v>
          </cell>
          <cell r="T137">
            <v>46188</v>
          </cell>
          <cell r="U137" t="str">
            <v>Lindsay Hudacik</v>
          </cell>
          <cell r="V137">
            <v>46204</v>
          </cell>
        </row>
        <row r="138">
          <cell r="I138" t="str">
            <v>EDI</v>
          </cell>
          <cell r="L138">
            <v>4980</v>
          </cell>
          <cell r="N138" t="str">
            <v>Dataset Validation</v>
          </cell>
          <cell r="O138" t="str">
            <v>No</v>
          </cell>
          <cell r="Q138" t="str">
            <v>Cancelled</v>
          </cell>
          <cell r="R138">
            <v>46185.927037037043</v>
          </cell>
          <cell r="S138" t="str">
            <v>Dina Medhat</v>
          </cell>
          <cell r="T138">
            <v>46188</v>
          </cell>
          <cell r="U138" t="str">
            <v>Lindsay Hudacik</v>
          </cell>
          <cell r="V138">
            <v>46204</v>
          </cell>
        </row>
        <row r="139">
          <cell r="I139" t="str">
            <v>EDI</v>
          </cell>
          <cell r="L139">
            <v>4980</v>
          </cell>
          <cell r="N139" t="str">
            <v>Dataset Validation</v>
          </cell>
          <cell r="O139" t="str">
            <v>No</v>
          </cell>
          <cell r="Q139" t="str">
            <v>Cancelled</v>
          </cell>
          <cell r="R139">
            <v>46185.92701388889</v>
          </cell>
          <cell r="S139" t="str">
            <v>Dina Medhat</v>
          </cell>
          <cell r="T139">
            <v>46188</v>
          </cell>
          <cell r="U139" t="str">
            <v>Lindsay Hudacik</v>
          </cell>
          <cell r="V139">
            <v>46204</v>
          </cell>
        </row>
        <row r="140">
          <cell r="I140" t="str">
            <v>EDI</v>
          </cell>
          <cell r="L140">
            <v>4980</v>
          </cell>
          <cell r="N140" t="str">
            <v>Dataset Validation</v>
          </cell>
          <cell r="O140" t="str">
            <v>No</v>
          </cell>
          <cell r="Q140" t="str">
            <v>In Progress</v>
          </cell>
          <cell r="R140">
            <v>46185.922222222223</v>
          </cell>
          <cell r="S140" t="str">
            <v>Dina Medhat</v>
          </cell>
          <cell r="T140">
            <v>46188</v>
          </cell>
          <cell r="U140" t="str">
            <v>Lindsay Hudacik</v>
          </cell>
          <cell r="V140">
            <v>46204</v>
          </cell>
        </row>
        <row r="141">
          <cell r="I141" t="str">
            <v>EDI</v>
          </cell>
          <cell r="L141">
            <v>4980</v>
          </cell>
          <cell r="N141" t="str">
            <v>Dataset Validation</v>
          </cell>
          <cell r="O141" t="str">
            <v>No</v>
          </cell>
          <cell r="Q141" t="str">
            <v>In Progress</v>
          </cell>
          <cell r="R141">
            <v>46185.922222222223</v>
          </cell>
          <cell r="S141" t="str">
            <v>Dina Medhat</v>
          </cell>
          <cell r="T141">
            <v>46188</v>
          </cell>
          <cell r="U141" t="str">
            <v>Lindsay Hudacik</v>
          </cell>
          <cell r="V141">
            <v>46204</v>
          </cell>
        </row>
        <row r="142">
          <cell r="I142" t="str">
            <v>EDI</v>
          </cell>
          <cell r="L142">
            <v>4980</v>
          </cell>
          <cell r="N142" t="str">
            <v>Dataset Validation</v>
          </cell>
          <cell r="O142" t="str">
            <v>No</v>
          </cell>
          <cell r="Q142" t="str">
            <v>In Progress</v>
          </cell>
          <cell r="R142">
            <v>46185.922199074077</v>
          </cell>
          <cell r="S142" t="str">
            <v>Dina Medhat</v>
          </cell>
          <cell r="T142">
            <v>46188</v>
          </cell>
          <cell r="U142" t="str">
            <v>Lindsay Hudacik</v>
          </cell>
          <cell r="V142">
            <v>46204</v>
          </cell>
        </row>
        <row r="143">
          <cell r="I143" t="str">
            <v>EDI</v>
          </cell>
          <cell r="L143">
            <v>4980</v>
          </cell>
          <cell r="N143" t="str">
            <v>Dataset Validation</v>
          </cell>
          <cell r="O143" t="str">
            <v>No</v>
          </cell>
          <cell r="Q143" t="str">
            <v>In Progress</v>
          </cell>
          <cell r="R143">
            <v>46185.9221875</v>
          </cell>
          <cell r="S143" t="str">
            <v>Dina Medhat</v>
          </cell>
          <cell r="T143">
            <v>46188</v>
          </cell>
          <cell r="U143" t="str">
            <v>Lindsay Hudacik</v>
          </cell>
          <cell r="V143">
            <v>46204</v>
          </cell>
        </row>
        <row r="144">
          <cell r="I144" t="str">
            <v>EDI</v>
          </cell>
          <cell r="L144">
            <v>4980</v>
          </cell>
          <cell r="N144" t="str">
            <v>Dataset Validation</v>
          </cell>
          <cell r="O144" t="str">
            <v>No</v>
          </cell>
          <cell r="Q144" t="str">
            <v>In Progress</v>
          </cell>
          <cell r="R144">
            <v>46185.922175925924</v>
          </cell>
          <cell r="S144" t="str">
            <v>Dina Medhat</v>
          </cell>
          <cell r="T144">
            <v>46188</v>
          </cell>
          <cell r="U144" t="str">
            <v>Lindsay Hudacik</v>
          </cell>
          <cell r="V144">
            <v>46204</v>
          </cell>
        </row>
        <row r="145">
          <cell r="I145" t="str">
            <v>EDI</v>
          </cell>
          <cell r="L145">
            <v>4980</v>
          </cell>
          <cell r="N145" t="str">
            <v>Dataset Validation</v>
          </cell>
          <cell r="O145" t="str">
            <v>No</v>
          </cell>
          <cell r="Q145" t="str">
            <v>In Progress</v>
          </cell>
          <cell r="R145">
            <v>46185.922164351847</v>
          </cell>
          <cell r="S145" t="str">
            <v>Dina Medhat</v>
          </cell>
          <cell r="T145">
            <v>46188</v>
          </cell>
          <cell r="U145" t="str">
            <v>Lindsay Hudacik</v>
          </cell>
          <cell r="V145">
            <v>46204</v>
          </cell>
        </row>
        <row r="146">
          <cell r="I146" t="str">
            <v>EDI</v>
          </cell>
          <cell r="L146">
            <v>4980</v>
          </cell>
          <cell r="N146" t="str">
            <v>Dataset Validation</v>
          </cell>
          <cell r="O146" t="str">
            <v>No</v>
          </cell>
          <cell r="Q146" t="str">
            <v>In Progress</v>
          </cell>
          <cell r="R146">
            <v>46185.922152777777</v>
          </cell>
          <cell r="S146" t="str">
            <v>Dina Medhat</v>
          </cell>
          <cell r="T146">
            <v>46188</v>
          </cell>
          <cell r="U146" t="str">
            <v>Lindsay Hudacik</v>
          </cell>
          <cell r="V146">
            <v>46204</v>
          </cell>
        </row>
        <row r="147">
          <cell r="I147" t="str">
            <v>EDI</v>
          </cell>
          <cell r="L147">
            <v>4980</v>
          </cell>
          <cell r="N147" t="str">
            <v>Dataset Validation</v>
          </cell>
          <cell r="O147" t="str">
            <v>No</v>
          </cell>
          <cell r="Q147" t="str">
            <v>In Progress</v>
          </cell>
          <cell r="R147">
            <v>46185.9221412037</v>
          </cell>
          <cell r="S147" t="str">
            <v>Dina Medhat</v>
          </cell>
          <cell r="T147">
            <v>46188</v>
          </cell>
          <cell r="U147" t="str">
            <v>Lindsay Hudacik</v>
          </cell>
          <cell r="V147">
            <v>46204</v>
          </cell>
        </row>
        <row r="148">
          <cell r="I148" t="str">
            <v>EDI</v>
          </cell>
          <cell r="L148">
            <v>4980</v>
          </cell>
          <cell r="N148" t="str">
            <v>Dataset Validation</v>
          </cell>
          <cell r="O148" t="str">
            <v>No</v>
          </cell>
          <cell r="Q148" t="str">
            <v>In Progress</v>
          </cell>
          <cell r="R148">
            <v>46185.922129629631</v>
          </cell>
          <cell r="S148" t="str">
            <v>Dina Medhat</v>
          </cell>
          <cell r="T148">
            <v>46188</v>
          </cell>
          <cell r="U148" t="str">
            <v>Lindsay Hudacik</v>
          </cell>
          <cell r="V148">
            <v>46204</v>
          </cell>
        </row>
        <row r="149">
          <cell r="I149" t="str">
            <v>EDI</v>
          </cell>
          <cell r="L149">
            <v>4980</v>
          </cell>
          <cell r="N149" t="str">
            <v>Dataset Validation</v>
          </cell>
          <cell r="O149" t="str">
            <v>No</v>
          </cell>
          <cell r="Q149" t="str">
            <v>In Progress</v>
          </cell>
          <cell r="R149">
            <v>46185.922118055547</v>
          </cell>
          <cell r="S149" t="str">
            <v>Dina Medhat</v>
          </cell>
          <cell r="T149">
            <v>46188</v>
          </cell>
          <cell r="U149" t="str">
            <v>Lindsay Hudacik</v>
          </cell>
          <cell r="V149">
            <v>46204</v>
          </cell>
        </row>
        <row r="150">
          <cell r="I150" t="str">
            <v>EDI</v>
          </cell>
          <cell r="L150">
            <v>4980</v>
          </cell>
          <cell r="N150" t="str">
            <v>Dataset Validation</v>
          </cell>
          <cell r="O150" t="str">
            <v>No</v>
          </cell>
          <cell r="Q150" t="str">
            <v>In Progress</v>
          </cell>
          <cell r="R150">
            <v>46185.922118055547</v>
          </cell>
          <cell r="S150" t="str">
            <v>Dina Medhat</v>
          </cell>
          <cell r="T150">
            <v>46188</v>
          </cell>
          <cell r="U150" t="str">
            <v>Lindsay Hudacik</v>
          </cell>
          <cell r="V150">
            <v>46204</v>
          </cell>
        </row>
        <row r="151">
          <cell r="I151" t="str">
            <v>EDI</v>
          </cell>
          <cell r="L151">
            <v>4980</v>
          </cell>
          <cell r="N151" t="str">
            <v>Dataset Validation</v>
          </cell>
          <cell r="O151" t="str">
            <v>No</v>
          </cell>
          <cell r="Q151" t="str">
            <v>In Progress</v>
          </cell>
          <cell r="R151">
            <v>46185.91542824074</v>
          </cell>
          <cell r="S151" t="str">
            <v>Dina Medhat</v>
          </cell>
          <cell r="T151">
            <v>46188</v>
          </cell>
          <cell r="U151" t="str">
            <v>Lindsay Hudacik</v>
          </cell>
          <cell r="V151">
            <v>46204</v>
          </cell>
        </row>
        <row r="152">
          <cell r="I152" t="str">
            <v>EDI</v>
          </cell>
          <cell r="L152">
            <v>4980</v>
          </cell>
          <cell r="N152" t="str">
            <v>Testing</v>
          </cell>
          <cell r="O152" t="str">
            <v>No</v>
          </cell>
          <cell r="Q152" t="str">
            <v>In Progress</v>
          </cell>
          <cell r="R152">
            <v>46185.912835648152</v>
          </cell>
          <cell r="S152" t="str">
            <v>Peter Abdelmalek</v>
          </cell>
          <cell r="T152">
            <v>46188</v>
          </cell>
          <cell r="U152" t="str">
            <v>Lindsay Hudacik</v>
          </cell>
          <cell r="V152">
            <v>46204</v>
          </cell>
        </row>
        <row r="153">
          <cell r="I153" t="str">
            <v>EDI</v>
          </cell>
          <cell r="L153">
            <v>5065</v>
          </cell>
          <cell r="N153" t="str">
            <v>Mapping</v>
          </cell>
          <cell r="O153" t="str">
            <v>No</v>
          </cell>
          <cell r="Q153" t="str">
            <v>In Progress</v>
          </cell>
          <cell r="R153">
            <v>46185.896099537043</v>
          </cell>
          <cell r="S153" t="str">
            <v>Josephine Ossama</v>
          </cell>
          <cell r="T153">
            <v>46201</v>
          </cell>
          <cell r="U153" t="str">
            <v>Trish Kalinczok</v>
          </cell>
          <cell r="Y153">
            <v>46197</v>
          </cell>
        </row>
        <row r="154">
          <cell r="I154" t="str">
            <v>EDI</v>
          </cell>
          <cell r="L154">
            <v>5026</v>
          </cell>
          <cell r="N154" t="str">
            <v>Testing</v>
          </cell>
          <cell r="O154" t="str">
            <v>No</v>
          </cell>
          <cell r="Q154" t="str">
            <v>In Progress</v>
          </cell>
          <cell r="R154">
            <v>46185.847002314818</v>
          </cell>
          <cell r="S154" t="str">
            <v>Alaa Yehia</v>
          </cell>
          <cell r="T154">
            <v>46201</v>
          </cell>
          <cell r="U154" t="str">
            <v>Joel Costanzo</v>
          </cell>
          <cell r="V154">
            <v>46210</v>
          </cell>
          <cell r="Y154">
            <v>46198</v>
          </cell>
        </row>
        <row r="155">
          <cell r="I155" t="str">
            <v>EDI</v>
          </cell>
          <cell r="N155" t="str">
            <v>Dataset Validation</v>
          </cell>
          <cell r="O155" t="str">
            <v>No</v>
          </cell>
          <cell r="Q155" t="str">
            <v>In Progress</v>
          </cell>
          <cell r="R155">
            <v>46184.886041666658</v>
          </cell>
          <cell r="S155" t="str">
            <v>Zeyad Khaled</v>
          </cell>
          <cell r="T155">
            <v>46215</v>
          </cell>
          <cell r="U155" t="str">
            <v>Gregory Dubec</v>
          </cell>
          <cell r="Y155">
            <v>46208</v>
          </cell>
        </row>
        <row r="156">
          <cell r="I156" t="str">
            <v>EDI</v>
          </cell>
          <cell r="L156">
            <v>5077</v>
          </cell>
          <cell r="N156" t="str">
            <v>Dataset Validation</v>
          </cell>
          <cell r="O156" t="str">
            <v>No</v>
          </cell>
          <cell r="Q156" t="str">
            <v>In Progress</v>
          </cell>
          <cell r="R156">
            <v>46184.68986111111</v>
          </cell>
          <cell r="S156" t="str">
            <v>Ahmed Ali</v>
          </cell>
          <cell r="T156">
            <v>46215</v>
          </cell>
          <cell r="U156" t="str">
            <v>Amy Bergstrom</v>
          </cell>
          <cell r="Y156">
            <v>46208</v>
          </cell>
        </row>
        <row r="157">
          <cell r="I157" t="str">
            <v>EDI</v>
          </cell>
          <cell r="N157" t="str">
            <v>Resource Assignment</v>
          </cell>
          <cell r="O157" t="str">
            <v>No</v>
          </cell>
          <cell r="Q157" t="str">
            <v>In Progress</v>
          </cell>
          <cell r="R157">
            <v>46184.689849537041</v>
          </cell>
          <cell r="S157" t="str">
            <v>Rasha Wadie</v>
          </cell>
          <cell r="T157">
            <v>46217</v>
          </cell>
          <cell r="U157" t="str">
            <v>Amy Bergstrom</v>
          </cell>
          <cell r="Y157">
            <v>46217</v>
          </cell>
        </row>
        <row r="158">
          <cell r="I158" t="str">
            <v>EDI</v>
          </cell>
          <cell r="L158">
            <v>5083</v>
          </cell>
          <cell r="N158" t="str">
            <v>Mapping</v>
          </cell>
          <cell r="O158" t="str">
            <v>No</v>
          </cell>
          <cell r="Q158" t="str">
            <v>In Progress</v>
          </cell>
          <cell r="R158">
            <v>46184.626944444448</v>
          </cell>
          <cell r="S158" t="str">
            <v>Omnia Abdelaziz</v>
          </cell>
          <cell r="T158">
            <v>46215</v>
          </cell>
          <cell r="U158" t="str">
            <v>Rhettsmey Meak</v>
          </cell>
          <cell r="Y158">
            <v>46215</v>
          </cell>
        </row>
        <row r="159">
          <cell r="I159" t="str">
            <v>EDI</v>
          </cell>
          <cell r="N159" t="str">
            <v>Requirements Gathering</v>
          </cell>
          <cell r="O159" t="str">
            <v>No</v>
          </cell>
          <cell r="Q159" t="str">
            <v>In Progress</v>
          </cell>
          <cell r="R159">
            <v>46184.622870370367</v>
          </cell>
          <cell r="S159" t="str">
            <v>Hady Sherif</v>
          </cell>
          <cell r="T159">
            <v>46188</v>
          </cell>
          <cell r="U159" t="str">
            <v>Rhettsmey Meak</v>
          </cell>
        </row>
        <row r="160">
          <cell r="I160" t="str">
            <v>EDI</v>
          </cell>
          <cell r="N160" t="str">
            <v>Requirements Gathering</v>
          </cell>
          <cell r="O160" t="str">
            <v>No</v>
          </cell>
          <cell r="Q160" t="str">
            <v>In Progress</v>
          </cell>
          <cell r="R160">
            <v>46184.615173611113</v>
          </cell>
          <cell r="S160" t="str">
            <v>Hady Sherif</v>
          </cell>
          <cell r="T160">
            <v>46188</v>
          </cell>
          <cell r="U160" t="str">
            <v>Rhettsmey Meak</v>
          </cell>
        </row>
        <row r="161">
          <cell r="I161" t="str">
            <v>EDI</v>
          </cell>
          <cell r="L161">
            <v>5024</v>
          </cell>
          <cell r="N161" t="str">
            <v>Testing</v>
          </cell>
          <cell r="O161" t="str">
            <v>No</v>
          </cell>
          <cell r="Q161" t="str">
            <v>In Progress</v>
          </cell>
          <cell r="R161">
            <v>46183.788807870369</v>
          </cell>
          <cell r="S161" t="str">
            <v>Reem Radwan</v>
          </cell>
          <cell r="T161">
            <v>46201</v>
          </cell>
          <cell r="U161" t="str">
            <v>Jay Lang</v>
          </cell>
          <cell r="V161">
            <v>46216</v>
          </cell>
          <cell r="Y161">
            <v>46197</v>
          </cell>
        </row>
        <row r="162">
          <cell r="I162" t="str">
            <v>EDI</v>
          </cell>
          <cell r="L162">
            <v>5041</v>
          </cell>
          <cell r="N162" t="str">
            <v>Mapping</v>
          </cell>
          <cell r="O162" t="str">
            <v>No</v>
          </cell>
          <cell r="Q162" t="str">
            <v>In Progress</v>
          </cell>
          <cell r="R162">
            <v>46183.776643518519</v>
          </cell>
          <cell r="S162" t="str">
            <v>Omnia Abdelaziz</v>
          </cell>
          <cell r="T162">
            <v>46204</v>
          </cell>
          <cell r="U162" t="str">
            <v>Carolina Tanoue</v>
          </cell>
          <cell r="Y162">
            <v>46202</v>
          </cell>
        </row>
        <row r="163">
          <cell r="I163" t="str">
            <v>EDI</v>
          </cell>
          <cell r="L163">
            <v>5075</v>
          </cell>
          <cell r="N163" t="str">
            <v>Mapping</v>
          </cell>
          <cell r="O163" t="str">
            <v>No</v>
          </cell>
          <cell r="Q163" t="str">
            <v>In Progress</v>
          </cell>
          <cell r="R163">
            <v>46183.772662037038</v>
          </cell>
          <cell r="S163" t="str">
            <v>Zeyad Khaled</v>
          </cell>
          <cell r="T163">
            <v>46201</v>
          </cell>
          <cell r="U163" t="str">
            <v>Jennifer Seivert</v>
          </cell>
          <cell r="Y163">
            <v>46196</v>
          </cell>
        </row>
        <row r="164">
          <cell r="I164" t="str">
            <v>EDI</v>
          </cell>
          <cell r="N164" t="str">
            <v>Requirements Gathering</v>
          </cell>
          <cell r="O164" t="str">
            <v>No</v>
          </cell>
          <cell r="Q164" t="str">
            <v>In Progress</v>
          </cell>
          <cell r="R164">
            <v>46183.772662037038</v>
          </cell>
          <cell r="S164" t="str">
            <v>Hady Sherif</v>
          </cell>
          <cell r="T164">
            <v>46184</v>
          </cell>
          <cell r="U164" t="str">
            <v>Jennifer Seivert</v>
          </cell>
        </row>
        <row r="165">
          <cell r="I165" t="str">
            <v>EDI</v>
          </cell>
          <cell r="L165">
            <v>5032</v>
          </cell>
          <cell r="N165" t="str">
            <v>Testing</v>
          </cell>
          <cell r="O165" t="str">
            <v>No</v>
          </cell>
          <cell r="Q165" t="str">
            <v>In Progress</v>
          </cell>
          <cell r="R165">
            <v>46183.641770833332</v>
          </cell>
          <cell r="S165" t="str">
            <v>Omnia Abdelaziz</v>
          </cell>
          <cell r="T165">
            <v>46201</v>
          </cell>
          <cell r="U165" t="str">
            <v>Rebecca Gilbert</v>
          </cell>
          <cell r="Y165">
            <v>46195</v>
          </cell>
        </row>
        <row r="166">
          <cell r="I166" t="str">
            <v>EDI</v>
          </cell>
          <cell r="L166">
            <v>5038</v>
          </cell>
          <cell r="N166" t="str">
            <v>Testing</v>
          </cell>
          <cell r="O166" t="str">
            <v>No</v>
          </cell>
          <cell r="Q166" t="str">
            <v>In Progress</v>
          </cell>
          <cell r="R166">
            <v>46183.641759259262</v>
          </cell>
          <cell r="S166" t="str">
            <v>Aya Fathy</v>
          </cell>
          <cell r="T166">
            <v>46201</v>
          </cell>
          <cell r="U166" t="str">
            <v>Rebecca Gilbert</v>
          </cell>
          <cell r="V166">
            <v>46217</v>
          </cell>
          <cell r="Y166">
            <v>46196</v>
          </cell>
        </row>
        <row r="167">
          <cell r="I167" t="str">
            <v>EDI</v>
          </cell>
          <cell r="L167">
            <v>5036</v>
          </cell>
          <cell r="N167" t="str">
            <v>Production</v>
          </cell>
          <cell r="O167" t="str">
            <v>No</v>
          </cell>
          <cell r="Q167" t="str">
            <v>Live</v>
          </cell>
          <cell r="R167">
            <v>46183.641747685193</v>
          </cell>
          <cell r="S167" t="str">
            <v>Aya Fathy</v>
          </cell>
          <cell r="T167">
            <v>46201</v>
          </cell>
          <cell r="U167" t="str">
            <v>Rebecca Gilbert</v>
          </cell>
          <cell r="V167">
            <v>46203</v>
          </cell>
          <cell r="W167">
            <v>46218</v>
          </cell>
          <cell r="Y167">
            <v>46196</v>
          </cell>
          <cell r="AC167">
            <v>46217</v>
          </cell>
        </row>
        <row r="168">
          <cell r="I168" t="str">
            <v>EDI</v>
          </cell>
          <cell r="L168">
            <v>5035</v>
          </cell>
          <cell r="N168" t="str">
            <v>Production</v>
          </cell>
          <cell r="O168" t="str">
            <v>No</v>
          </cell>
          <cell r="Q168" t="str">
            <v>Live</v>
          </cell>
          <cell r="R168">
            <v>46183.641747685193</v>
          </cell>
          <cell r="S168" t="str">
            <v>Aya Fathy</v>
          </cell>
          <cell r="T168">
            <v>46201</v>
          </cell>
          <cell r="U168" t="str">
            <v>Rebecca Gilbert</v>
          </cell>
          <cell r="V168">
            <v>46203</v>
          </cell>
          <cell r="Y168">
            <v>46196</v>
          </cell>
          <cell r="AC168">
            <v>46217</v>
          </cell>
        </row>
        <row r="169">
          <cell r="I169" t="str">
            <v>EDI</v>
          </cell>
          <cell r="L169">
            <v>5030</v>
          </cell>
          <cell r="N169" t="str">
            <v>Testing</v>
          </cell>
          <cell r="O169" t="str">
            <v>No</v>
          </cell>
          <cell r="Q169" t="str">
            <v>In Progress</v>
          </cell>
          <cell r="R169">
            <v>46183.641736111109</v>
          </cell>
          <cell r="S169" t="str">
            <v>Giulie Alaa</v>
          </cell>
          <cell r="T169">
            <v>46201</v>
          </cell>
          <cell r="U169" t="str">
            <v>Rebecca Gilbert</v>
          </cell>
          <cell r="Y169">
            <v>46197</v>
          </cell>
        </row>
        <row r="170">
          <cell r="I170" t="str">
            <v>EDI</v>
          </cell>
          <cell r="L170">
            <v>5071</v>
          </cell>
          <cell r="N170" t="str">
            <v>Mapping</v>
          </cell>
          <cell r="O170" t="str">
            <v>eBenefits Network</v>
          </cell>
          <cell r="P170" t="str">
            <v>Phase 1 - Map Built</v>
          </cell>
          <cell r="Q170" t="str">
            <v>In Progress</v>
          </cell>
          <cell r="R170">
            <v>46182.847824074073</v>
          </cell>
          <cell r="S170" t="str">
            <v>Omnia Abdelaziz</v>
          </cell>
          <cell r="T170">
            <v>46208</v>
          </cell>
          <cell r="U170" t="str">
            <v>Trish Kalinczok</v>
          </cell>
          <cell r="Y170">
            <v>46196</v>
          </cell>
        </row>
        <row r="171">
          <cell r="I171" t="str">
            <v>EDI</v>
          </cell>
          <cell r="N171" t="str">
            <v>Resource Assignment</v>
          </cell>
          <cell r="O171" t="str">
            <v>eBenefits Network</v>
          </cell>
          <cell r="P171" t="str">
            <v>Phase 1 - Map Built</v>
          </cell>
          <cell r="Q171" t="str">
            <v>Cancelled</v>
          </cell>
          <cell r="R171">
            <v>46182.847812499997</v>
          </cell>
          <cell r="S171" t="str">
            <v>Rasha Wadie</v>
          </cell>
          <cell r="T171">
            <v>46196</v>
          </cell>
          <cell r="U171" t="str">
            <v>Trish Kalinczok</v>
          </cell>
          <cell r="Y171">
            <v>46196</v>
          </cell>
        </row>
        <row r="172">
          <cell r="I172" t="str">
            <v>EDI</v>
          </cell>
          <cell r="N172" t="str">
            <v>Resource Assignment</v>
          </cell>
          <cell r="O172" t="str">
            <v>eBenefits Network</v>
          </cell>
          <cell r="P172" t="str">
            <v>Phase 1 - Map Built</v>
          </cell>
          <cell r="Q172" t="str">
            <v>In Progress</v>
          </cell>
          <cell r="R172">
            <v>46182.847800925927</v>
          </cell>
          <cell r="S172" t="str">
            <v>Rasha Wadie</v>
          </cell>
          <cell r="T172">
            <v>46216</v>
          </cell>
          <cell r="U172" t="str">
            <v>Trish Kalinczok</v>
          </cell>
          <cell r="Y172">
            <v>46216</v>
          </cell>
        </row>
        <row r="173">
          <cell r="I173" t="str">
            <v>EDI</v>
          </cell>
          <cell r="L173">
            <v>5037</v>
          </cell>
          <cell r="N173" t="str">
            <v>Mapping</v>
          </cell>
          <cell r="O173" t="str">
            <v>eBenefits Network</v>
          </cell>
          <cell r="P173" t="str">
            <v>Phase 1 - Map Built</v>
          </cell>
          <cell r="Q173" t="str">
            <v>In Progress</v>
          </cell>
          <cell r="R173">
            <v>46182.829930555563</v>
          </cell>
          <cell r="S173" t="str">
            <v>Zeyad Khaled</v>
          </cell>
          <cell r="T173">
            <v>46196</v>
          </cell>
          <cell r="U173" t="str">
            <v>Trish Kalinczok</v>
          </cell>
          <cell r="Y173">
            <v>46194</v>
          </cell>
        </row>
        <row r="174">
          <cell r="I174" t="str">
            <v>EDI</v>
          </cell>
          <cell r="L174">
            <v>5023</v>
          </cell>
          <cell r="N174" t="str">
            <v>Testing</v>
          </cell>
          <cell r="O174" t="str">
            <v>eBenefits Network</v>
          </cell>
          <cell r="P174" t="str">
            <v>Phase 3</v>
          </cell>
          <cell r="Q174" t="str">
            <v>In Progress</v>
          </cell>
          <cell r="R174">
            <v>46182.829918981479</v>
          </cell>
          <cell r="S174" t="str">
            <v>Giulie Alaa</v>
          </cell>
          <cell r="T174">
            <v>46197</v>
          </cell>
          <cell r="U174" t="str">
            <v>Trish Kalinczok</v>
          </cell>
          <cell r="V174">
            <v>46209</v>
          </cell>
          <cell r="Y174">
            <v>46194</v>
          </cell>
        </row>
        <row r="175">
          <cell r="I175" t="str">
            <v>EDI</v>
          </cell>
          <cell r="L175">
            <v>5020</v>
          </cell>
          <cell r="N175" t="str">
            <v>Mapping</v>
          </cell>
          <cell r="O175" t="str">
            <v>No</v>
          </cell>
          <cell r="Q175" t="str">
            <v>In Progress</v>
          </cell>
          <cell r="R175">
            <v>46182.736018518517</v>
          </cell>
          <cell r="S175" t="str">
            <v>Reem Radwan</v>
          </cell>
          <cell r="T175">
            <v>46194</v>
          </cell>
          <cell r="U175" t="str">
            <v>Rhettsmey Meak</v>
          </cell>
          <cell r="V175">
            <v>25569</v>
          </cell>
          <cell r="Y175">
            <v>46187</v>
          </cell>
        </row>
        <row r="176">
          <cell r="I176" t="str">
            <v>EDI</v>
          </cell>
          <cell r="L176">
            <v>5018</v>
          </cell>
          <cell r="N176" t="str">
            <v>Mapping</v>
          </cell>
          <cell r="O176" t="str">
            <v>eBenefits Network</v>
          </cell>
          <cell r="P176" t="str">
            <v>Phase 1 - Map Built</v>
          </cell>
          <cell r="Q176" t="str">
            <v>In Progress</v>
          </cell>
          <cell r="R176">
            <v>46182.734525462962</v>
          </cell>
          <cell r="S176" t="str">
            <v>Mirna Azmy</v>
          </cell>
          <cell r="T176">
            <v>46197</v>
          </cell>
          <cell r="U176" t="str">
            <v>Trish Kalinczok</v>
          </cell>
          <cell r="Y176">
            <v>46194</v>
          </cell>
        </row>
        <row r="177">
          <cell r="I177" t="str">
            <v>EDI</v>
          </cell>
          <cell r="L177">
            <v>5028</v>
          </cell>
          <cell r="N177" t="str">
            <v>Testing</v>
          </cell>
          <cell r="O177" t="str">
            <v>No</v>
          </cell>
          <cell r="Q177" t="str">
            <v>In Progress</v>
          </cell>
          <cell r="R177">
            <v>46182.731620370367</v>
          </cell>
          <cell r="S177" t="str">
            <v>Poula Moheb</v>
          </cell>
          <cell r="T177">
            <v>46201</v>
          </cell>
          <cell r="U177" t="str">
            <v>Rhettsmey Meak</v>
          </cell>
          <cell r="Y177">
            <v>46197</v>
          </cell>
        </row>
        <row r="178">
          <cell r="I178" t="str">
            <v>EDI</v>
          </cell>
          <cell r="L178">
            <v>5017</v>
          </cell>
          <cell r="N178" t="str">
            <v>Testing</v>
          </cell>
          <cell r="O178" t="str">
            <v>eBenefits Network</v>
          </cell>
          <cell r="P178" t="str">
            <v>Phase 3</v>
          </cell>
          <cell r="Q178" t="str">
            <v>In Progress</v>
          </cell>
          <cell r="R178">
            <v>46182.721620370372</v>
          </cell>
          <cell r="S178" t="str">
            <v>Mirna Azmy</v>
          </cell>
          <cell r="T178">
            <v>46197</v>
          </cell>
          <cell r="U178" t="str">
            <v>Trish Kalinczok</v>
          </cell>
          <cell r="V178">
            <v>46216</v>
          </cell>
          <cell r="Y178">
            <v>46194</v>
          </cell>
        </row>
        <row r="179">
          <cell r="I179" t="str">
            <v>EDI</v>
          </cell>
          <cell r="L179">
            <v>5027</v>
          </cell>
          <cell r="N179" t="str">
            <v>Mapping</v>
          </cell>
          <cell r="O179" t="str">
            <v>eBenefits Network</v>
          </cell>
          <cell r="P179" t="str">
            <v>Phase 2</v>
          </cell>
          <cell r="Q179" t="str">
            <v>In Progress</v>
          </cell>
          <cell r="R179">
            <v>46182.701724537037</v>
          </cell>
          <cell r="S179" t="str">
            <v>Alaa Yehia</v>
          </cell>
          <cell r="T179">
            <v>46196</v>
          </cell>
          <cell r="U179" t="str">
            <v>Trish Kalinczok</v>
          </cell>
          <cell r="Y179">
            <v>46194</v>
          </cell>
        </row>
        <row r="180">
          <cell r="I180" t="str">
            <v>Forms</v>
          </cell>
          <cell r="L180" t="str">
            <v>[5002]</v>
          </cell>
          <cell r="N180" t="str">
            <v>Mapping</v>
          </cell>
          <cell r="O180" t="str">
            <v>No</v>
          </cell>
          <cell r="Q180" t="str">
            <v>In Progress</v>
          </cell>
          <cell r="R180">
            <v>46182.665011574078</v>
          </cell>
          <cell r="S180" t="str">
            <v>Reem Radwan</v>
          </cell>
          <cell r="T180">
            <v>46188</v>
          </cell>
          <cell r="U180" t="str">
            <v>Jay Lang</v>
          </cell>
        </row>
        <row r="181">
          <cell r="I181" t="str">
            <v>EDI</v>
          </cell>
          <cell r="L181">
            <v>4996</v>
          </cell>
          <cell r="N181" t="str">
            <v>Requirements Gathering</v>
          </cell>
          <cell r="O181" t="str">
            <v>No</v>
          </cell>
          <cell r="Q181" t="str">
            <v>In Progress</v>
          </cell>
          <cell r="R181">
            <v>46181.690925925926</v>
          </cell>
          <cell r="S181" t="str">
            <v>Peter Abdelmalek</v>
          </cell>
          <cell r="T181">
            <v>46181</v>
          </cell>
          <cell r="U181" t="str">
            <v>Peter Abdelmalek</v>
          </cell>
        </row>
        <row r="182">
          <cell r="I182" t="str">
            <v>EDI</v>
          </cell>
          <cell r="L182">
            <v>4946</v>
          </cell>
          <cell r="N182" t="str">
            <v>Production</v>
          </cell>
          <cell r="O182" t="str">
            <v>No</v>
          </cell>
          <cell r="Q182" t="str">
            <v>Live</v>
          </cell>
          <cell r="R182">
            <v>46181.69091435185</v>
          </cell>
          <cell r="S182" t="str">
            <v>Peter Abdelmalek</v>
          </cell>
          <cell r="T182">
            <v>46181</v>
          </cell>
          <cell r="U182" t="str">
            <v>Peter Abdelmalek</v>
          </cell>
          <cell r="V182">
            <v>46183</v>
          </cell>
          <cell r="W182">
            <v>46195</v>
          </cell>
          <cell r="AC182">
            <v>46193</v>
          </cell>
        </row>
        <row r="183">
          <cell r="I183" t="str">
            <v>EDI</v>
          </cell>
          <cell r="L183">
            <v>5061</v>
          </cell>
          <cell r="N183" t="str">
            <v>Mapping</v>
          </cell>
          <cell r="O183" t="str">
            <v>No</v>
          </cell>
          <cell r="Q183" t="str">
            <v>In Progress</v>
          </cell>
          <cell r="R183">
            <v>46181.564826388887</v>
          </cell>
          <cell r="S183" t="str">
            <v>Reem Radwan</v>
          </cell>
          <cell r="T183">
            <v>46204</v>
          </cell>
          <cell r="U183" t="str">
            <v>Lonnie Celestin</v>
          </cell>
          <cell r="Y183">
            <v>46204</v>
          </cell>
        </row>
        <row r="184">
          <cell r="I184" t="str">
            <v>EDI</v>
          </cell>
          <cell r="L184">
            <v>5025</v>
          </cell>
          <cell r="N184" t="str">
            <v>Mapping</v>
          </cell>
          <cell r="O184" t="str">
            <v>No</v>
          </cell>
          <cell r="Q184" t="str">
            <v>In Progress</v>
          </cell>
          <cell r="R184">
            <v>46178.677175925928</v>
          </cell>
          <cell r="S184" t="str">
            <v>Alaa Yehia</v>
          </cell>
          <cell r="T184">
            <v>46194</v>
          </cell>
          <cell r="U184" t="str">
            <v>Jay Lang</v>
          </cell>
          <cell r="Y184">
            <v>46183</v>
          </cell>
        </row>
        <row r="185">
          <cell r="I185" t="str">
            <v>EDI</v>
          </cell>
          <cell r="L185">
            <v>5074</v>
          </cell>
          <cell r="N185" t="str">
            <v>Mapping</v>
          </cell>
          <cell r="O185" t="str">
            <v>No</v>
          </cell>
          <cell r="Q185" t="str">
            <v>In Progress</v>
          </cell>
          <cell r="R185">
            <v>46178.655960648153</v>
          </cell>
          <cell r="S185" t="str">
            <v>Poula Moheb</v>
          </cell>
          <cell r="T185">
            <v>46215</v>
          </cell>
          <cell r="U185" t="str">
            <v>Rhettsmey Meak</v>
          </cell>
          <cell r="Y185">
            <v>46210</v>
          </cell>
        </row>
        <row r="186">
          <cell r="I186" t="str">
            <v>EDI</v>
          </cell>
          <cell r="L186">
            <v>5033</v>
          </cell>
          <cell r="N186" t="str">
            <v>Testing</v>
          </cell>
          <cell r="O186" t="str">
            <v>No</v>
          </cell>
          <cell r="Q186" t="str">
            <v>In Progress</v>
          </cell>
          <cell r="R186">
            <v>46178.637835648151</v>
          </cell>
          <cell r="S186" t="str">
            <v>Adham Akram</v>
          </cell>
          <cell r="T186">
            <v>46201</v>
          </cell>
          <cell r="U186" t="str">
            <v>Rhettsmey Meak</v>
          </cell>
          <cell r="V186">
            <v>46217</v>
          </cell>
          <cell r="Y186">
            <v>46197</v>
          </cell>
        </row>
        <row r="187">
          <cell r="I187" t="str">
            <v>EDI</v>
          </cell>
          <cell r="L187">
            <v>5051</v>
          </cell>
          <cell r="N187" t="str">
            <v>Mapping</v>
          </cell>
          <cell r="O187" t="str">
            <v>No</v>
          </cell>
          <cell r="Q187" t="str">
            <v>In Progress</v>
          </cell>
          <cell r="R187">
            <v>46178.581273148149</v>
          </cell>
          <cell r="S187" t="str">
            <v>Karen Ramy</v>
          </cell>
          <cell r="T187">
            <v>46196</v>
          </cell>
          <cell r="U187" t="str">
            <v>Jay Lang</v>
          </cell>
          <cell r="Y187">
            <v>46196</v>
          </cell>
        </row>
        <row r="188">
          <cell r="I188" t="str">
            <v>EDI</v>
          </cell>
          <cell r="L188">
            <v>5050</v>
          </cell>
          <cell r="N188" t="str">
            <v>Mapping</v>
          </cell>
          <cell r="O188" t="str">
            <v>No</v>
          </cell>
          <cell r="Q188" t="str">
            <v>In Progress</v>
          </cell>
          <cell r="R188">
            <v>46178.580393518518</v>
          </cell>
          <cell r="S188" t="str">
            <v>Karen Ramy</v>
          </cell>
          <cell r="T188">
            <v>46196</v>
          </cell>
          <cell r="U188" t="str">
            <v>Jay Lang</v>
          </cell>
          <cell r="Y188">
            <v>46196</v>
          </cell>
        </row>
        <row r="189">
          <cell r="I189" t="str">
            <v>EDI</v>
          </cell>
          <cell r="L189">
            <v>5016</v>
          </cell>
          <cell r="N189" t="str">
            <v>Testing</v>
          </cell>
          <cell r="O189" t="str">
            <v>eBenefits Network</v>
          </cell>
          <cell r="P189" t="str">
            <v>Migration Testing</v>
          </cell>
          <cell r="Q189" t="str">
            <v>In Progress</v>
          </cell>
          <cell r="R189">
            <v>46177.847037037027</v>
          </cell>
          <cell r="S189" t="str">
            <v>Aya Fathy</v>
          </cell>
          <cell r="T189">
            <v>46196</v>
          </cell>
          <cell r="U189" t="str">
            <v>Trish Kalinczok</v>
          </cell>
          <cell r="Y189">
            <v>46194</v>
          </cell>
        </row>
        <row r="190">
          <cell r="I190" t="str">
            <v>EDI</v>
          </cell>
          <cell r="L190">
            <v>5013</v>
          </cell>
          <cell r="N190" t="str">
            <v>Mapping</v>
          </cell>
          <cell r="O190" t="str">
            <v>eBenefits Network</v>
          </cell>
          <cell r="P190" t="str">
            <v>Phase 1 - Map Built</v>
          </cell>
          <cell r="Q190" t="str">
            <v>In Progress</v>
          </cell>
          <cell r="R190">
            <v>46177.797662037039</v>
          </cell>
          <cell r="S190" t="str">
            <v>Mark Albert</v>
          </cell>
          <cell r="T190">
            <v>46194</v>
          </cell>
          <cell r="U190" t="str">
            <v>Trish Kalinczok</v>
          </cell>
          <cell r="Y190">
            <v>46183</v>
          </cell>
        </row>
        <row r="191">
          <cell r="I191" t="str">
            <v>EDI</v>
          </cell>
          <cell r="L191">
            <v>5021</v>
          </cell>
          <cell r="N191" t="str">
            <v>Testing</v>
          </cell>
          <cell r="O191" t="str">
            <v>eBenefits Network</v>
          </cell>
          <cell r="P191" t="str">
            <v>Migration Testing</v>
          </cell>
          <cell r="Q191" t="str">
            <v>In Progress</v>
          </cell>
          <cell r="R191">
            <v>46177.797638888893</v>
          </cell>
          <cell r="S191" t="str">
            <v>Josephine Ossama</v>
          </cell>
          <cell r="T191">
            <v>46194</v>
          </cell>
          <cell r="U191" t="str">
            <v>Trish Kalinczok</v>
          </cell>
          <cell r="V191">
            <v>46205</v>
          </cell>
          <cell r="Y191">
            <v>46183</v>
          </cell>
        </row>
        <row r="192">
          <cell r="I192" t="str">
            <v>EDI</v>
          </cell>
          <cell r="L192">
            <v>5012</v>
          </cell>
          <cell r="N192" t="str">
            <v>Mapping</v>
          </cell>
          <cell r="O192" t="str">
            <v>eBenefits Network</v>
          </cell>
          <cell r="P192" t="str">
            <v>Phase 1 - Map Built</v>
          </cell>
          <cell r="Q192" t="str">
            <v>In Progress</v>
          </cell>
          <cell r="R192">
            <v>46177.782534722217</v>
          </cell>
          <cell r="S192" t="str">
            <v>Mark Albert</v>
          </cell>
          <cell r="T192">
            <v>46196</v>
          </cell>
          <cell r="U192" t="str">
            <v>Trish Kalinczok</v>
          </cell>
          <cell r="Y192">
            <v>46194</v>
          </cell>
        </row>
        <row r="193">
          <cell r="I193" t="str">
            <v>EDI</v>
          </cell>
          <cell r="L193">
            <v>5010</v>
          </cell>
          <cell r="N193" t="str">
            <v>Testing</v>
          </cell>
          <cell r="O193" t="str">
            <v>No</v>
          </cell>
          <cell r="Q193" t="str">
            <v>In Progress</v>
          </cell>
          <cell r="R193">
            <v>46177.691296296303</v>
          </cell>
          <cell r="S193" t="str">
            <v>Poula Moheb</v>
          </cell>
          <cell r="T193">
            <v>46196</v>
          </cell>
          <cell r="U193" t="str">
            <v>Gregory Dubec</v>
          </cell>
          <cell r="Y193">
            <v>46196</v>
          </cell>
        </row>
        <row r="194">
          <cell r="I194" t="str">
            <v>EDI</v>
          </cell>
          <cell r="L194">
            <v>5009</v>
          </cell>
          <cell r="N194" t="str">
            <v>Mapping</v>
          </cell>
          <cell r="O194" t="str">
            <v>No</v>
          </cell>
          <cell r="Q194" t="str">
            <v>In Progress</v>
          </cell>
          <cell r="R194">
            <v>46176.846215277779</v>
          </cell>
          <cell r="S194" t="str">
            <v>Ahmed Ali</v>
          </cell>
          <cell r="T194">
            <v>46194</v>
          </cell>
          <cell r="U194" t="str">
            <v>Trish Kalinczok</v>
          </cell>
          <cell r="Y194">
            <v>46180</v>
          </cell>
        </row>
        <row r="195">
          <cell r="I195" t="str">
            <v>Forms</v>
          </cell>
          <cell r="L195" t="str">
            <v>[5003, 5042]</v>
          </cell>
          <cell r="N195" t="str">
            <v>Testing</v>
          </cell>
          <cell r="O195" t="str">
            <v>No</v>
          </cell>
          <cell r="Q195" t="str">
            <v>In Progress</v>
          </cell>
          <cell r="R195">
            <v>46176.817708333343</v>
          </cell>
          <cell r="S195" t="str">
            <v>Reem Radwan</v>
          </cell>
          <cell r="T195">
            <v>46188</v>
          </cell>
          <cell r="U195" t="str">
            <v>Benjamin Labowitz</v>
          </cell>
        </row>
        <row r="196">
          <cell r="I196" t="str">
            <v>EDI</v>
          </cell>
          <cell r="L196">
            <v>4940</v>
          </cell>
          <cell r="N196" t="str">
            <v>Production</v>
          </cell>
          <cell r="O196" t="str">
            <v>No</v>
          </cell>
          <cell r="Q196" t="str">
            <v>Live</v>
          </cell>
          <cell r="R196">
            <v>46176.783645833333</v>
          </cell>
          <cell r="S196" t="str">
            <v>Peter Abdelmalek</v>
          </cell>
          <cell r="T196">
            <v>46178</v>
          </cell>
          <cell r="U196" t="str">
            <v>Peter Abdelmalek</v>
          </cell>
          <cell r="V196">
            <v>46180</v>
          </cell>
          <cell r="W196">
            <v>46189</v>
          </cell>
          <cell r="AC196">
            <v>46183</v>
          </cell>
        </row>
        <row r="197">
          <cell r="I197" t="str">
            <v>EDI</v>
          </cell>
          <cell r="L197">
            <v>5008</v>
          </cell>
          <cell r="N197" t="str">
            <v>Testing</v>
          </cell>
          <cell r="O197" t="str">
            <v>eBenefits Network</v>
          </cell>
          <cell r="P197" t="str">
            <v>Migration Testing</v>
          </cell>
          <cell r="Q197" t="str">
            <v>In Progress</v>
          </cell>
          <cell r="R197">
            <v>46176.749247685177</v>
          </cell>
          <cell r="S197" t="str">
            <v>Andrew Ramy</v>
          </cell>
          <cell r="T197">
            <v>46194</v>
          </cell>
          <cell r="U197" t="str">
            <v>Trish Kalinczok</v>
          </cell>
          <cell r="V197">
            <v>46198</v>
          </cell>
          <cell r="Y197">
            <v>46183</v>
          </cell>
        </row>
        <row r="198">
          <cell r="I198" t="str">
            <v>EDI</v>
          </cell>
          <cell r="L198">
            <v>5039</v>
          </cell>
          <cell r="N198" t="str">
            <v>Mapping</v>
          </cell>
          <cell r="O198" t="str">
            <v>eBenefits Network</v>
          </cell>
          <cell r="P198" t="str">
            <v>Phase 1 - Map Built</v>
          </cell>
          <cell r="Q198" t="str">
            <v>In Progress</v>
          </cell>
          <cell r="R198">
            <v>46176.686388888891</v>
          </cell>
          <cell r="S198" t="str">
            <v>Zeyad Khaled</v>
          </cell>
          <cell r="T198">
            <v>46194</v>
          </cell>
          <cell r="U198" t="str">
            <v>Trish Kalinczok</v>
          </cell>
          <cell r="Y198">
            <v>46183</v>
          </cell>
        </row>
        <row r="199">
          <cell r="I199" t="str">
            <v>EDI</v>
          </cell>
          <cell r="L199">
            <v>5014</v>
          </cell>
          <cell r="N199" t="str">
            <v>Testing</v>
          </cell>
          <cell r="O199" t="str">
            <v>eBenefits Network</v>
          </cell>
          <cell r="P199" t="str">
            <v>Phase 3</v>
          </cell>
          <cell r="Q199" t="str">
            <v>In Progress</v>
          </cell>
          <cell r="R199">
            <v>46176.686377314807</v>
          </cell>
          <cell r="S199" t="str">
            <v>Aya Fathy</v>
          </cell>
          <cell r="T199">
            <v>46194</v>
          </cell>
          <cell r="U199" t="str">
            <v>Trish Kalinczok</v>
          </cell>
          <cell r="Y199">
            <v>46183</v>
          </cell>
        </row>
        <row r="200">
          <cell r="I200" t="str">
            <v>EDI</v>
          </cell>
          <cell r="L200">
            <v>5015</v>
          </cell>
          <cell r="N200" t="str">
            <v>Testing</v>
          </cell>
          <cell r="O200" t="str">
            <v>eBenefits Network</v>
          </cell>
          <cell r="P200" t="str">
            <v>Phase 2</v>
          </cell>
          <cell r="Q200" t="str">
            <v>In Progress</v>
          </cell>
          <cell r="R200">
            <v>46176.686365740738</v>
          </cell>
          <cell r="S200" t="str">
            <v>Aya Fathy</v>
          </cell>
          <cell r="T200">
            <v>46194</v>
          </cell>
          <cell r="U200" t="str">
            <v>Trish Kalinczok</v>
          </cell>
          <cell r="Y200">
            <v>46183</v>
          </cell>
        </row>
        <row r="201">
          <cell r="I201" t="str">
            <v>EDI</v>
          </cell>
          <cell r="L201">
            <v>4985</v>
          </cell>
          <cell r="N201" t="str">
            <v>Mapping</v>
          </cell>
          <cell r="O201" t="str">
            <v>eBenefits Network</v>
          </cell>
          <cell r="P201" t="str">
            <v>Phase 3</v>
          </cell>
          <cell r="Q201" t="str">
            <v>In Progress</v>
          </cell>
          <cell r="R201">
            <v>46176.686354166668</v>
          </cell>
          <cell r="S201" t="str">
            <v>Adham Akram</v>
          </cell>
          <cell r="T201">
            <v>46188</v>
          </cell>
          <cell r="U201" t="str">
            <v>Trish Kalinczok</v>
          </cell>
          <cell r="Y201">
            <v>46178</v>
          </cell>
        </row>
        <row r="202">
          <cell r="I202" t="str">
            <v>EDI</v>
          </cell>
          <cell r="L202">
            <v>5001</v>
          </cell>
          <cell r="N202" t="str">
            <v>Mapping</v>
          </cell>
          <cell r="O202" t="str">
            <v>eBenefits Network</v>
          </cell>
          <cell r="P202" t="str">
            <v>Phase 1 - Map Built</v>
          </cell>
          <cell r="Q202" t="str">
            <v>In Progress</v>
          </cell>
          <cell r="R202">
            <v>46176.686354166668</v>
          </cell>
          <cell r="S202" t="str">
            <v>Karen Ramy</v>
          </cell>
          <cell r="T202">
            <v>46194</v>
          </cell>
          <cell r="U202" t="str">
            <v>Trish Kalinczok</v>
          </cell>
          <cell r="Y202">
            <v>46178</v>
          </cell>
        </row>
        <row r="203">
          <cell r="I203" t="str">
            <v>EDI</v>
          </cell>
          <cell r="L203">
            <v>4980</v>
          </cell>
          <cell r="N203" t="str">
            <v>Dataset Validation</v>
          </cell>
          <cell r="O203" t="str">
            <v>No</v>
          </cell>
          <cell r="Q203" t="str">
            <v>Cancelled</v>
          </cell>
          <cell r="R203">
            <v>46176.639201388891</v>
          </cell>
          <cell r="S203" t="str">
            <v>Dina Medhat</v>
          </cell>
          <cell r="T203">
            <v>46188</v>
          </cell>
          <cell r="U203" t="str">
            <v>Lindsay Hudacik</v>
          </cell>
          <cell r="V203">
            <v>46204</v>
          </cell>
        </row>
        <row r="204">
          <cell r="I204" t="str">
            <v>EDI</v>
          </cell>
          <cell r="N204" t="str">
            <v>Pending Start</v>
          </cell>
          <cell r="O204" t="str">
            <v>No</v>
          </cell>
          <cell r="Q204" t="str">
            <v>Cancelled</v>
          </cell>
          <cell r="R204">
            <v>46176.576053240737</v>
          </cell>
          <cell r="U204" t="str">
            <v>Lindsay Hudacik</v>
          </cell>
        </row>
        <row r="205">
          <cell r="I205" t="str">
            <v>EDI</v>
          </cell>
          <cell r="N205" t="str">
            <v>Pending Start</v>
          </cell>
          <cell r="O205" t="str">
            <v>No</v>
          </cell>
          <cell r="Q205" t="str">
            <v>Cancelled</v>
          </cell>
          <cell r="R205">
            <v>46176.573819444442</v>
          </cell>
          <cell r="U205" t="str">
            <v>Lindsay Hudacik</v>
          </cell>
        </row>
        <row r="206">
          <cell r="I206" t="str">
            <v>EDI</v>
          </cell>
          <cell r="N206" t="str">
            <v>Pending Start</v>
          </cell>
          <cell r="O206" t="str">
            <v>No</v>
          </cell>
          <cell r="Q206" t="str">
            <v>Cancelled</v>
          </cell>
          <cell r="R206">
            <v>46176.570347222223</v>
          </cell>
          <cell r="U206" t="str">
            <v>Lindsay Hudacik</v>
          </cell>
        </row>
        <row r="207">
          <cell r="I207" t="str">
            <v>EDI</v>
          </cell>
          <cell r="L207">
            <v>4942</v>
          </cell>
          <cell r="N207" t="str">
            <v>Production</v>
          </cell>
          <cell r="O207" t="str">
            <v>No</v>
          </cell>
          <cell r="Q207" t="str">
            <v>Live</v>
          </cell>
          <cell r="R207">
            <v>46175.683136574073</v>
          </cell>
          <cell r="S207" t="str">
            <v>Alaa Yehia</v>
          </cell>
          <cell r="T207">
            <v>46178</v>
          </cell>
          <cell r="U207" t="str">
            <v>Tracey Hicks</v>
          </cell>
          <cell r="V207">
            <v>46181</v>
          </cell>
          <cell r="W207">
            <v>46198</v>
          </cell>
          <cell r="AC207">
            <v>46196</v>
          </cell>
        </row>
        <row r="208">
          <cell r="I208" t="str">
            <v>EDI</v>
          </cell>
          <cell r="N208" t="str">
            <v>Requirements Gathering</v>
          </cell>
          <cell r="O208" t="str">
            <v>No</v>
          </cell>
          <cell r="Q208" t="str">
            <v>In Progress</v>
          </cell>
          <cell r="R208">
            <v>46175.675092592603</v>
          </cell>
          <cell r="S208" t="str">
            <v>Sandra Adel</v>
          </cell>
          <cell r="T208">
            <v>46176</v>
          </cell>
          <cell r="U208" t="str">
            <v>Gregory Dubec</v>
          </cell>
        </row>
        <row r="209">
          <cell r="I209" t="str">
            <v>EDI</v>
          </cell>
          <cell r="N209" t="str">
            <v>Requirements Gathering</v>
          </cell>
          <cell r="O209" t="str">
            <v>No</v>
          </cell>
          <cell r="Q209" t="str">
            <v>In Progress</v>
          </cell>
          <cell r="R209">
            <v>46175.589618055557</v>
          </cell>
          <cell r="S209" t="str">
            <v>Sandra Adel</v>
          </cell>
          <cell r="T209">
            <v>46176</v>
          </cell>
          <cell r="U209" t="str">
            <v>Melissa Beck</v>
          </cell>
        </row>
        <row r="210">
          <cell r="I210" t="str">
            <v>EDI</v>
          </cell>
          <cell r="L210">
            <v>5006</v>
          </cell>
          <cell r="N210" t="str">
            <v>Testing</v>
          </cell>
          <cell r="O210" t="str">
            <v>eBenefits Network</v>
          </cell>
          <cell r="P210" t="str">
            <v>Migration Testing</v>
          </cell>
          <cell r="Q210" t="str">
            <v>In Progress</v>
          </cell>
          <cell r="R210">
            <v>46174.898668981477</v>
          </cell>
          <cell r="S210" t="str">
            <v>Omnia Abdelaziz</v>
          </cell>
          <cell r="T210">
            <v>46194</v>
          </cell>
          <cell r="U210" t="str">
            <v>Trish Kalinczok</v>
          </cell>
          <cell r="V210">
            <v>46204</v>
          </cell>
          <cell r="Y210">
            <v>46178</v>
          </cell>
        </row>
        <row r="211">
          <cell r="I211" t="str">
            <v>EDI</v>
          </cell>
          <cell r="L211">
            <v>5000</v>
          </cell>
          <cell r="N211" t="str">
            <v>Testing</v>
          </cell>
          <cell r="O211" t="str">
            <v>eBenefits Network</v>
          </cell>
          <cell r="P211" t="str">
            <v>Phase 3</v>
          </cell>
          <cell r="Q211" t="str">
            <v>In Progress</v>
          </cell>
          <cell r="R211">
            <v>46174.898657407408</v>
          </cell>
          <cell r="S211" t="str">
            <v>Aya Fathy</v>
          </cell>
          <cell r="T211">
            <v>46190</v>
          </cell>
          <cell r="U211" t="str">
            <v>Trish Kalinczok</v>
          </cell>
          <cell r="Y211">
            <v>46178</v>
          </cell>
        </row>
        <row r="212">
          <cell r="I212" t="str">
            <v>EDI</v>
          </cell>
          <cell r="L212">
            <v>4978</v>
          </cell>
          <cell r="N212" t="str">
            <v>Testing</v>
          </cell>
          <cell r="O212" t="str">
            <v>eBenefits Network</v>
          </cell>
          <cell r="P212" t="str">
            <v>Migration Testing</v>
          </cell>
          <cell r="Q212" t="str">
            <v>In Progress</v>
          </cell>
          <cell r="R212">
            <v>46174.863576388889</v>
          </cell>
          <cell r="S212" t="str">
            <v>Poula Moheb</v>
          </cell>
          <cell r="T212">
            <v>46188</v>
          </cell>
          <cell r="U212" t="str">
            <v>Trish Kalinczok</v>
          </cell>
          <cell r="V212">
            <v>46211</v>
          </cell>
          <cell r="Y212">
            <v>46178</v>
          </cell>
        </row>
        <row r="213">
          <cell r="I213" t="str">
            <v>EDI</v>
          </cell>
          <cell r="L213">
            <v>5070</v>
          </cell>
          <cell r="N213" t="str">
            <v>Mapping</v>
          </cell>
          <cell r="O213" t="str">
            <v>eBenefits Network</v>
          </cell>
          <cell r="P213" t="str">
            <v>Phase 1 - Map Built</v>
          </cell>
          <cell r="Q213" t="str">
            <v>In Progress</v>
          </cell>
          <cell r="R213">
            <v>46174.863553240742</v>
          </cell>
          <cell r="S213" t="str">
            <v>Josephine Ossama</v>
          </cell>
          <cell r="T213">
            <v>46188</v>
          </cell>
          <cell r="U213" t="str">
            <v>Trish Kalinczok</v>
          </cell>
          <cell r="Y213">
            <v>46178</v>
          </cell>
        </row>
        <row r="214">
          <cell r="I214" t="str">
            <v>EDI</v>
          </cell>
          <cell r="L214">
            <v>4995</v>
          </cell>
          <cell r="N214" t="str">
            <v>Mapping</v>
          </cell>
          <cell r="O214" t="str">
            <v>eBenefits Network</v>
          </cell>
          <cell r="P214" t="str">
            <v>Phase 1 - Map Built</v>
          </cell>
          <cell r="Q214" t="str">
            <v>In Progress</v>
          </cell>
          <cell r="R214">
            <v>46171.581516203703</v>
          </cell>
          <cell r="S214" t="str">
            <v>Karen Ramy</v>
          </cell>
          <cell r="T214">
            <v>46188</v>
          </cell>
          <cell r="U214" t="str">
            <v>Lindsay Hudacik</v>
          </cell>
          <cell r="Y214">
            <v>46175</v>
          </cell>
        </row>
        <row r="215">
          <cell r="I215" t="str">
            <v>EDI</v>
          </cell>
          <cell r="L215">
            <v>4994</v>
          </cell>
          <cell r="N215" t="str">
            <v>Mapping</v>
          </cell>
          <cell r="O215" t="str">
            <v>eBenefits Network</v>
          </cell>
          <cell r="P215" t="str">
            <v>Phase 3</v>
          </cell>
          <cell r="Q215" t="str">
            <v>In Progress</v>
          </cell>
          <cell r="R215">
            <v>46171.581504629627</v>
          </cell>
          <cell r="S215" t="str">
            <v>Karen Ramy</v>
          </cell>
          <cell r="T215">
            <v>46188</v>
          </cell>
          <cell r="U215" t="str">
            <v>Lindsay Hudacik</v>
          </cell>
          <cell r="Y215">
            <v>46175</v>
          </cell>
        </row>
        <row r="216">
          <cell r="I216" t="str">
            <v>EDI</v>
          </cell>
          <cell r="L216">
            <v>4956</v>
          </cell>
          <cell r="N216" t="str">
            <v>Testing</v>
          </cell>
          <cell r="O216" t="str">
            <v>eBenefits Network</v>
          </cell>
          <cell r="P216" t="str">
            <v>Migration Testing</v>
          </cell>
          <cell r="Q216" t="str">
            <v>In Progress</v>
          </cell>
          <cell r="R216">
            <v>46171.581493055557</v>
          </cell>
          <cell r="S216" t="str">
            <v>Poula Moheb</v>
          </cell>
          <cell r="T216">
            <v>46182</v>
          </cell>
          <cell r="U216" t="str">
            <v>Lindsay Hudacik</v>
          </cell>
          <cell r="V216">
            <v>46209</v>
          </cell>
          <cell r="Y216">
            <v>46175</v>
          </cell>
        </row>
        <row r="217">
          <cell r="I217" t="str">
            <v>EDI</v>
          </cell>
          <cell r="L217">
            <v>4986</v>
          </cell>
          <cell r="N217" t="str">
            <v>Testing</v>
          </cell>
          <cell r="O217" t="str">
            <v>eBenefits Network</v>
          </cell>
          <cell r="P217" t="str">
            <v>Phase 1 - Map Built</v>
          </cell>
          <cell r="Q217" t="str">
            <v>In Progress</v>
          </cell>
          <cell r="R217">
            <v>46171.58148148148</v>
          </cell>
          <cell r="S217" t="str">
            <v>Mark Albert</v>
          </cell>
          <cell r="T217">
            <v>46188</v>
          </cell>
          <cell r="U217" t="str">
            <v>Lindsay Hudacik</v>
          </cell>
          <cell r="Y217">
            <v>46175</v>
          </cell>
        </row>
        <row r="218">
          <cell r="I218" t="str">
            <v>EDI</v>
          </cell>
          <cell r="L218">
            <v>4975</v>
          </cell>
          <cell r="N218" t="str">
            <v>Testing</v>
          </cell>
          <cell r="O218" t="str">
            <v>eBenefits Network</v>
          </cell>
          <cell r="P218" t="str">
            <v>Phase 2</v>
          </cell>
          <cell r="Q218" t="str">
            <v>In Progress</v>
          </cell>
          <cell r="R218">
            <v>46171.572233796287</v>
          </cell>
          <cell r="S218" t="str">
            <v>Zeyad Khaled</v>
          </cell>
          <cell r="T218">
            <v>46183</v>
          </cell>
          <cell r="U218" t="str">
            <v>Lindsay Hudacik</v>
          </cell>
          <cell r="Y218">
            <v>46175</v>
          </cell>
        </row>
        <row r="219">
          <cell r="I219" t="str">
            <v>EDI</v>
          </cell>
          <cell r="L219">
            <v>4999</v>
          </cell>
          <cell r="N219" t="str">
            <v>Testing</v>
          </cell>
          <cell r="O219" t="str">
            <v>eBenefits Network</v>
          </cell>
          <cell r="P219" t="str">
            <v>Phase 3</v>
          </cell>
          <cell r="Q219" t="str">
            <v>In Progress</v>
          </cell>
          <cell r="R219">
            <v>46171.572199074071</v>
          </cell>
          <cell r="S219" t="str">
            <v>Aya Fathy</v>
          </cell>
          <cell r="T219">
            <v>46188</v>
          </cell>
          <cell r="U219" t="str">
            <v>Lindsay Hudacik</v>
          </cell>
          <cell r="Y219">
            <v>46175</v>
          </cell>
        </row>
        <row r="220">
          <cell r="I220" t="str">
            <v>EDI</v>
          </cell>
          <cell r="L220">
            <v>4965</v>
          </cell>
          <cell r="N220" t="str">
            <v>Mapping</v>
          </cell>
          <cell r="O220" t="str">
            <v>eBenefits Network</v>
          </cell>
          <cell r="P220" t="str">
            <v>Phase 1 - Map Built</v>
          </cell>
          <cell r="Q220" t="str">
            <v>In Progress</v>
          </cell>
          <cell r="R220">
            <v>46171.572187500002</v>
          </cell>
          <cell r="S220" t="str">
            <v>Mark Albert</v>
          </cell>
          <cell r="T220">
            <v>46183</v>
          </cell>
          <cell r="U220" t="str">
            <v>Lindsay Hudacik</v>
          </cell>
          <cell r="Y220">
            <v>46175</v>
          </cell>
        </row>
        <row r="221">
          <cell r="I221" t="str">
            <v>EDI</v>
          </cell>
          <cell r="L221">
            <v>4964</v>
          </cell>
          <cell r="N221" t="str">
            <v>Production</v>
          </cell>
          <cell r="O221" t="str">
            <v>eBenefits Network</v>
          </cell>
          <cell r="P221" t="str">
            <v>Production</v>
          </cell>
          <cell r="Q221" t="str">
            <v>Live</v>
          </cell>
          <cell r="R221">
            <v>46171.555138888893</v>
          </cell>
          <cell r="S221" t="str">
            <v>Aya Fathy</v>
          </cell>
          <cell r="T221">
            <v>46182</v>
          </cell>
          <cell r="U221" t="str">
            <v>Lindsay Hudacik</v>
          </cell>
          <cell r="V221">
            <v>25569</v>
          </cell>
          <cell r="Y221">
            <v>46175</v>
          </cell>
          <cell r="AC221">
            <v>46217</v>
          </cell>
        </row>
        <row r="222">
          <cell r="I222" t="str">
            <v>EDI</v>
          </cell>
          <cell r="L222">
            <v>4955</v>
          </cell>
          <cell r="N222" t="str">
            <v>Testing</v>
          </cell>
          <cell r="O222" t="str">
            <v>eBenefits Network</v>
          </cell>
          <cell r="P222" t="str">
            <v>Migration Testing</v>
          </cell>
          <cell r="Q222" t="str">
            <v>In Progress</v>
          </cell>
          <cell r="R222">
            <v>46171.555104166669</v>
          </cell>
          <cell r="S222" t="str">
            <v>Mirna Azmy</v>
          </cell>
          <cell r="T222">
            <v>46182</v>
          </cell>
          <cell r="U222" t="str">
            <v>Lindsay Hudacik</v>
          </cell>
          <cell r="V222">
            <v>46182</v>
          </cell>
          <cell r="Y222">
            <v>46175</v>
          </cell>
        </row>
        <row r="223">
          <cell r="I223" t="str">
            <v>EDI</v>
          </cell>
          <cell r="L223">
            <v>4959</v>
          </cell>
          <cell r="N223" t="str">
            <v>Testing</v>
          </cell>
          <cell r="O223" t="str">
            <v>eBenefits Network</v>
          </cell>
          <cell r="P223" t="str">
            <v>Phase 3</v>
          </cell>
          <cell r="Q223" t="str">
            <v>In Progress</v>
          </cell>
          <cell r="R223">
            <v>46171.555092592593</v>
          </cell>
          <cell r="S223" t="str">
            <v>Giulie Alaa</v>
          </cell>
          <cell r="T223">
            <v>46182</v>
          </cell>
          <cell r="U223" t="str">
            <v>Lindsay Hudacik</v>
          </cell>
          <cell r="V223">
            <v>46209</v>
          </cell>
          <cell r="Y223">
            <v>46175</v>
          </cell>
        </row>
        <row r="224">
          <cell r="I224" t="str">
            <v>EDI</v>
          </cell>
          <cell r="L224">
            <v>4977</v>
          </cell>
          <cell r="N224" t="str">
            <v>Production</v>
          </cell>
          <cell r="O224" t="str">
            <v>No</v>
          </cell>
          <cell r="Q224" t="str">
            <v>Live</v>
          </cell>
          <cell r="R224">
            <v>46170.674201388887</v>
          </cell>
          <cell r="S224" t="str">
            <v>Omnia Abdelaziz</v>
          </cell>
          <cell r="T224">
            <v>46182</v>
          </cell>
          <cell r="U224" t="str">
            <v>Trish Kalinczok</v>
          </cell>
          <cell r="V224">
            <v>46190</v>
          </cell>
          <cell r="W224">
            <v>46202</v>
          </cell>
          <cell r="Y224">
            <v>46176</v>
          </cell>
          <cell r="AC224">
            <v>46196</v>
          </cell>
        </row>
        <row r="225">
          <cell r="I225" t="str">
            <v>EDI</v>
          </cell>
          <cell r="N225" t="str">
            <v>Dataset Validation</v>
          </cell>
          <cell r="O225" t="str">
            <v>No</v>
          </cell>
          <cell r="Q225" t="str">
            <v>In Progress</v>
          </cell>
          <cell r="R225">
            <v>46170.646597222221</v>
          </cell>
          <cell r="S225" t="str">
            <v>Mirna Azmy</v>
          </cell>
          <cell r="T225">
            <v>46215</v>
          </cell>
          <cell r="U225" t="str">
            <v>Robbie Schappell</v>
          </cell>
          <cell r="Y225">
            <v>46210</v>
          </cell>
        </row>
        <row r="226">
          <cell r="I226" t="str">
            <v>EDI</v>
          </cell>
          <cell r="L226">
            <v>5080</v>
          </cell>
          <cell r="N226" t="str">
            <v>Mapping</v>
          </cell>
          <cell r="O226" t="str">
            <v>No</v>
          </cell>
          <cell r="Q226" t="str">
            <v>In Progress</v>
          </cell>
          <cell r="R226">
            <v>46169.820983796293</v>
          </cell>
          <cell r="S226" t="str">
            <v>Karen Ramy</v>
          </cell>
          <cell r="T226">
            <v>46211</v>
          </cell>
          <cell r="U226" t="str">
            <v>Melanie Rhine</v>
          </cell>
          <cell r="Y226">
            <v>46209</v>
          </cell>
        </row>
        <row r="227">
          <cell r="I227" t="str">
            <v>EDI</v>
          </cell>
          <cell r="L227">
            <v>5079</v>
          </cell>
          <cell r="N227" t="str">
            <v>Mapping</v>
          </cell>
          <cell r="O227" t="str">
            <v>No</v>
          </cell>
          <cell r="Q227" t="str">
            <v>In Progress</v>
          </cell>
          <cell r="R227">
            <v>46169.819189814807</v>
          </cell>
          <cell r="S227" t="str">
            <v>Karen Ramy</v>
          </cell>
          <cell r="T227">
            <v>46211</v>
          </cell>
          <cell r="U227" t="str">
            <v>Melanie Rhine</v>
          </cell>
          <cell r="Y227">
            <v>46209</v>
          </cell>
        </row>
        <row r="228">
          <cell r="I228" t="str">
            <v>Forms</v>
          </cell>
          <cell r="L228" t="str">
            <v>[4948]</v>
          </cell>
          <cell r="N228" t="str">
            <v>Ready for Production</v>
          </cell>
          <cell r="O228" t="str">
            <v>No</v>
          </cell>
          <cell r="Q228" t="str">
            <v>In Progress</v>
          </cell>
          <cell r="R228">
            <v>46169.75105324074</v>
          </cell>
          <cell r="S228" t="str">
            <v>Mark Albert</v>
          </cell>
          <cell r="T228">
            <v>46176</v>
          </cell>
          <cell r="U228" t="str">
            <v>Scott Henrehan</v>
          </cell>
        </row>
        <row r="229">
          <cell r="I229" t="str">
            <v>EDI</v>
          </cell>
          <cell r="N229" t="str">
            <v>Requirements Gathering</v>
          </cell>
          <cell r="O229" t="str">
            <v>No</v>
          </cell>
          <cell r="Q229" t="str">
            <v>Cancelled</v>
          </cell>
          <cell r="R229">
            <v>46169.70349537037</v>
          </cell>
          <cell r="S229" t="str">
            <v>Sandra Adel</v>
          </cell>
          <cell r="T229">
            <v>46176</v>
          </cell>
          <cell r="U229" t="str">
            <v>Lindsay Hudacik</v>
          </cell>
        </row>
        <row r="230">
          <cell r="I230" t="str">
            <v>Forms</v>
          </cell>
          <cell r="L230" t="str">
            <v>[4934]</v>
          </cell>
          <cell r="N230" t="str">
            <v>Testing</v>
          </cell>
          <cell r="O230" t="str">
            <v>No</v>
          </cell>
          <cell r="Q230" t="str">
            <v>In Progress</v>
          </cell>
          <cell r="R230">
            <v>46169.698935185188</v>
          </cell>
          <cell r="S230" t="str">
            <v>Alaa Yehia</v>
          </cell>
          <cell r="T230">
            <v>46176</v>
          </cell>
          <cell r="U230" t="str">
            <v>Scott Henrehan</v>
          </cell>
        </row>
        <row r="231">
          <cell r="I231" t="str">
            <v>EDI</v>
          </cell>
          <cell r="L231">
            <v>4983</v>
          </cell>
          <cell r="N231" t="str">
            <v>Testing</v>
          </cell>
          <cell r="O231" t="str">
            <v>No</v>
          </cell>
          <cell r="Q231" t="str">
            <v>In Progress</v>
          </cell>
          <cell r="R231">
            <v>46169.658877314818</v>
          </cell>
          <cell r="S231" t="str">
            <v>Adham Akram</v>
          </cell>
          <cell r="T231">
            <v>46188</v>
          </cell>
          <cell r="U231" t="str">
            <v>Rhettsmey Meak</v>
          </cell>
          <cell r="Y231">
            <v>46183</v>
          </cell>
        </row>
        <row r="232">
          <cell r="I232" t="str">
            <v>EDI</v>
          </cell>
          <cell r="L232">
            <v>5022</v>
          </cell>
          <cell r="N232" t="str">
            <v>Mapping</v>
          </cell>
          <cell r="O232" t="str">
            <v>No</v>
          </cell>
          <cell r="Q232" t="str">
            <v>In Progress</v>
          </cell>
          <cell r="R232">
            <v>46169.639363425929</v>
          </cell>
          <cell r="S232" t="str">
            <v>Josephine Ossama</v>
          </cell>
          <cell r="T232">
            <v>46183</v>
          </cell>
          <cell r="U232" t="str">
            <v>Rhettsmey Meak</v>
          </cell>
          <cell r="Y232">
            <v>46180</v>
          </cell>
        </row>
        <row r="233">
          <cell r="I233" t="str">
            <v>EDI</v>
          </cell>
          <cell r="L233">
            <v>4988</v>
          </cell>
          <cell r="N233" t="str">
            <v>Production</v>
          </cell>
          <cell r="O233" t="str">
            <v>No</v>
          </cell>
          <cell r="Q233" t="str">
            <v>Live</v>
          </cell>
          <cell r="R233">
            <v>46169.578229166669</v>
          </cell>
          <cell r="S233" t="str">
            <v>Aya Fathy</v>
          </cell>
          <cell r="T233">
            <v>46183</v>
          </cell>
          <cell r="U233" t="str">
            <v>Patrick Dillon</v>
          </cell>
          <cell r="V233">
            <v>46194</v>
          </cell>
          <cell r="W233">
            <v>46205</v>
          </cell>
          <cell r="Y233">
            <v>46183</v>
          </cell>
          <cell r="AC233">
            <v>46199</v>
          </cell>
        </row>
        <row r="234">
          <cell r="I234" t="str">
            <v>EDI</v>
          </cell>
          <cell r="L234">
            <v>5007</v>
          </cell>
          <cell r="N234" t="str">
            <v>Mapping</v>
          </cell>
          <cell r="O234" t="str">
            <v>No</v>
          </cell>
          <cell r="Q234" t="str">
            <v>In Progress</v>
          </cell>
          <cell r="R234">
            <v>46168.872569444437</v>
          </cell>
          <cell r="S234" t="str">
            <v>Mirna Azmy</v>
          </cell>
          <cell r="T234">
            <v>46194</v>
          </cell>
          <cell r="U234" t="str">
            <v>KJ Ampy</v>
          </cell>
          <cell r="Y234">
            <v>46190</v>
          </cell>
        </row>
        <row r="235">
          <cell r="I235" t="str">
            <v>EDI</v>
          </cell>
          <cell r="N235" t="str">
            <v>Pending Start</v>
          </cell>
          <cell r="O235" t="str">
            <v>No</v>
          </cell>
          <cell r="Q235" t="str">
            <v>Cancelled</v>
          </cell>
          <cell r="R235">
            <v>46168.8203125</v>
          </cell>
          <cell r="U235" t="str">
            <v>KJ Ampy</v>
          </cell>
        </row>
        <row r="236">
          <cell r="I236" t="str">
            <v>EDI</v>
          </cell>
          <cell r="N236" t="str">
            <v>Requirements Gathering</v>
          </cell>
          <cell r="O236" t="str">
            <v>No</v>
          </cell>
          <cell r="Q236" t="str">
            <v>In Progress</v>
          </cell>
          <cell r="R236">
            <v>46164.946134259262</v>
          </cell>
          <cell r="S236" t="str">
            <v>Hady Sherif</v>
          </cell>
          <cell r="T236">
            <v>46166</v>
          </cell>
          <cell r="U236" t="str">
            <v>Tammy Davies</v>
          </cell>
        </row>
        <row r="237">
          <cell r="I237" t="str">
            <v>EDI</v>
          </cell>
          <cell r="L237">
            <v>5044</v>
          </cell>
          <cell r="N237" t="str">
            <v>Mapping</v>
          </cell>
          <cell r="O237" t="str">
            <v>No</v>
          </cell>
          <cell r="Q237" t="str">
            <v>In Progress</v>
          </cell>
          <cell r="R237">
            <v>46164.946122685193</v>
          </cell>
          <cell r="S237" t="str">
            <v>Adham Akram</v>
          </cell>
          <cell r="T237">
            <v>46204</v>
          </cell>
          <cell r="U237" t="str">
            <v>Tammy Davies</v>
          </cell>
          <cell r="Y237">
            <v>46201</v>
          </cell>
        </row>
        <row r="238">
          <cell r="I238" t="str">
            <v>EDI</v>
          </cell>
          <cell r="L238">
            <v>4916</v>
          </cell>
          <cell r="N238" t="str">
            <v>Production</v>
          </cell>
          <cell r="O238" t="str">
            <v>No</v>
          </cell>
          <cell r="Q238" t="str">
            <v>Live</v>
          </cell>
          <cell r="R238">
            <v>46164.873738425929</v>
          </cell>
          <cell r="S238" t="str">
            <v>Omnia Abdelaziz</v>
          </cell>
          <cell r="T238">
            <v>46166</v>
          </cell>
          <cell r="U238" t="str">
            <v>Trish Kalinczok</v>
          </cell>
          <cell r="V238">
            <v>46167</v>
          </cell>
          <cell r="W238">
            <v>46184</v>
          </cell>
          <cell r="AC238">
            <v>46183</v>
          </cell>
        </row>
        <row r="239">
          <cell r="I239" t="str">
            <v>EDI</v>
          </cell>
          <cell r="L239">
            <v>4951</v>
          </cell>
          <cell r="N239" t="str">
            <v>Mapping</v>
          </cell>
          <cell r="O239" t="str">
            <v>eBenefits Network</v>
          </cell>
          <cell r="P239" t="str">
            <v>Phase 1 - Map Built</v>
          </cell>
          <cell r="Q239" t="str">
            <v>In Progress</v>
          </cell>
          <cell r="R239">
            <v>46164.775266203702</v>
          </cell>
          <cell r="S239" t="str">
            <v>Mark Albert</v>
          </cell>
          <cell r="T239">
            <v>46182</v>
          </cell>
          <cell r="U239" t="str">
            <v>Lindsay Hudacik</v>
          </cell>
          <cell r="Y239">
            <v>46167</v>
          </cell>
        </row>
        <row r="240">
          <cell r="I240" t="str">
            <v>EDI</v>
          </cell>
          <cell r="L240">
            <v>4974</v>
          </cell>
          <cell r="N240" t="str">
            <v>Testing</v>
          </cell>
          <cell r="O240" t="str">
            <v>eBenefits Network</v>
          </cell>
          <cell r="P240" t="str">
            <v>Phase 3</v>
          </cell>
          <cell r="Q240" t="str">
            <v>In Progress</v>
          </cell>
          <cell r="R240">
            <v>46164.775254629632</v>
          </cell>
          <cell r="S240" t="str">
            <v>Zeyad Khaled</v>
          </cell>
          <cell r="T240">
            <v>46182</v>
          </cell>
          <cell r="U240" t="str">
            <v>Lindsay Hudacik</v>
          </cell>
          <cell r="Y240">
            <v>46167</v>
          </cell>
        </row>
        <row r="241">
          <cell r="I241" t="str">
            <v>EDI</v>
          </cell>
          <cell r="L241">
            <v>4967</v>
          </cell>
          <cell r="N241" t="str">
            <v>Testing</v>
          </cell>
          <cell r="O241" t="str">
            <v>eBenefits Network</v>
          </cell>
          <cell r="P241" t="str">
            <v>Phase 2</v>
          </cell>
          <cell r="Q241" t="str">
            <v>In Progress</v>
          </cell>
          <cell r="R241">
            <v>46164.775254629632</v>
          </cell>
          <cell r="S241" t="str">
            <v>Reem Radwan</v>
          </cell>
          <cell r="T241">
            <v>46182</v>
          </cell>
          <cell r="U241" t="str">
            <v>Lindsay Hudacik</v>
          </cell>
          <cell r="Y241">
            <v>46167</v>
          </cell>
        </row>
        <row r="242">
          <cell r="I242" t="str">
            <v>EDI</v>
          </cell>
          <cell r="L242">
            <v>5047</v>
          </cell>
          <cell r="N242" t="str">
            <v>Mapping</v>
          </cell>
          <cell r="O242" t="str">
            <v>eBenefits Network</v>
          </cell>
          <cell r="P242" t="str">
            <v>Phase 3</v>
          </cell>
          <cell r="Q242" t="str">
            <v>In Progress</v>
          </cell>
          <cell r="R242">
            <v>46164.753333333327</v>
          </cell>
          <cell r="S242" t="str">
            <v>Karen Ramy</v>
          </cell>
          <cell r="T242">
            <v>46201</v>
          </cell>
          <cell r="U242" t="str">
            <v>Lindsay Hudacik</v>
          </cell>
          <cell r="Y242">
            <v>46194</v>
          </cell>
        </row>
        <row r="243">
          <cell r="I243" t="str">
            <v>EDI</v>
          </cell>
          <cell r="L243">
            <v>4938</v>
          </cell>
          <cell r="N243" t="str">
            <v>Mapping</v>
          </cell>
          <cell r="O243" t="str">
            <v>eBenefits Network</v>
          </cell>
          <cell r="P243" t="str">
            <v>Phase 1 - Map Built</v>
          </cell>
          <cell r="Q243" t="str">
            <v>In Progress</v>
          </cell>
          <cell r="R243">
            <v>46164.753321759257</v>
          </cell>
          <cell r="S243" t="str">
            <v>Adham Akram</v>
          </cell>
          <cell r="T243">
            <v>46180</v>
          </cell>
          <cell r="U243" t="str">
            <v>Lindsay Hudacik</v>
          </cell>
          <cell r="Y243">
            <v>46178</v>
          </cell>
        </row>
        <row r="244">
          <cell r="I244" t="str">
            <v>EDI</v>
          </cell>
          <cell r="L244">
            <v>4976</v>
          </cell>
          <cell r="N244" t="str">
            <v>Mapping</v>
          </cell>
          <cell r="O244" t="str">
            <v>eBenefits Network</v>
          </cell>
          <cell r="P244" t="str">
            <v>Phase 1 - Map Built</v>
          </cell>
          <cell r="Q244" t="str">
            <v>In Progress</v>
          </cell>
          <cell r="R244">
            <v>46164.753310185188</v>
          </cell>
          <cell r="S244" t="str">
            <v>Alaa Yehia</v>
          </cell>
          <cell r="T244">
            <v>46182</v>
          </cell>
          <cell r="U244" t="str">
            <v>Lindsay Hudacik</v>
          </cell>
          <cell r="Y244">
            <v>46177</v>
          </cell>
        </row>
        <row r="245">
          <cell r="I245" t="str">
            <v>EDI</v>
          </cell>
          <cell r="L245">
            <v>4992</v>
          </cell>
          <cell r="N245" t="str">
            <v>Testing</v>
          </cell>
          <cell r="O245" t="str">
            <v>eBenefits Network</v>
          </cell>
          <cell r="P245" t="str">
            <v>Migration Testing</v>
          </cell>
          <cell r="Q245" t="str">
            <v>In Progress</v>
          </cell>
          <cell r="R245">
            <v>46164.753310185188</v>
          </cell>
          <cell r="S245" t="str">
            <v>Alaa Yehia</v>
          </cell>
          <cell r="T245">
            <v>46182</v>
          </cell>
          <cell r="U245" t="str">
            <v>Lindsay Hudacik</v>
          </cell>
          <cell r="V245">
            <v>46209</v>
          </cell>
          <cell r="Y245">
            <v>46177</v>
          </cell>
        </row>
        <row r="246">
          <cell r="I246" t="str">
            <v>EDI</v>
          </cell>
          <cell r="N246" t="str">
            <v>Requirements Gathering</v>
          </cell>
          <cell r="O246" t="str">
            <v>No</v>
          </cell>
          <cell r="Q246" t="str">
            <v>In Progress</v>
          </cell>
          <cell r="R246">
            <v>46164.719502314823</v>
          </cell>
          <cell r="S246" t="str">
            <v>Hady Sherif</v>
          </cell>
          <cell r="T246">
            <v>46174</v>
          </cell>
          <cell r="U246" t="str">
            <v>David Ma</v>
          </cell>
        </row>
        <row r="247">
          <cell r="I247" t="str">
            <v>EDI</v>
          </cell>
          <cell r="L247">
            <v>4997</v>
          </cell>
          <cell r="N247" t="str">
            <v>Testing</v>
          </cell>
          <cell r="O247" t="str">
            <v>No</v>
          </cell>
          <cell r="Q247" t="str">
            <v>In Progress</v>
          </cell>
          <cell r="R247">
            <v>46164.659791666672</v>
          </cell>
          <cell r="S247" t="str">
            <v>Adham Akram</v>
          </cell>
          <cell r="T247">
            <v>46194</v>
          </cell>
          <cell r="U247" t="str">
            <v>Trish Kalinczok</v>
          </cell>
          <cell r="V247">
            <v>46212</v>
          </cell>
          <cell r="Y247">
            <v>46194</v>
          </cell>
        </row>
        <row r="248">
          <cell r="I248" t="str">
            <v>EDI</v>
          </cell>
          <cell r="L248">
            <v>4957</v>
          </cell>
          <cell r="N248" t="str">
            <v>Production</v>
          </cell>
          <cell r="O248" t="str">
            <v>eBenefits Network</v>
          </cell>
          <cell r="P248" t="str">
            <v>Migration Testing</v>
          </cell>
          <cell r="Q248" t="str">
            <v>Live</v>
          </cell>
          <cell r="R248">
            <v>46163.767372685194</v>
          </cell>
          <cell r="S248" t="str">
            <v>Aya Fathy</v>
          </cell>
          <cell r="T248">
            <v>46176</v>
          </cell>
          <cell r="U248" t="str">
            <v>Trish Kalinczok</v>
          </cell>
          <cell r="V248">
            <v>46198</v>
          </cell>
          <cell r="W248">
            <v>46204</v>
          </cell>
          <cell r="Y248">
            <v>46167</v>
          </cell>
          <cell r="AC248">
            <v>46199</v>
          </cell>
        </row>
        <row r="249">
          <cell r="I249" t="str">
            <v>EDI</v>
          </cell>
          <cell r="N249" t="str">
            <v>Requirements Gathering</v>
          </cell>
          <cell r="O249" t="str">
            <v>No</v>
          </cell>
          <cell r="Q249" t="str">
            <v>In Progress</v>
          </cell>
          <cell r="R249">
            <v>46162.787523148138</v>
          </cell>
          <cell r="S249" t="str">
            <v>Sandra Adel</v>
          </cell>
          <cell r="T249">
            <v>46166</v>
          </cell>
          <cell r="U249" t="str">
            <v>Lindsay Hudacik</v>
          </cell>
        </row>
        <row r="250">
          <cell r="I250" t="str">
            <v>EDI</v>
          </cell>
          <cell r="L250">
            <v>5029</v>
          </cell>
          <cell r="N250" t="str">
            <v>Testing</v>
          </cell>
          <cell r="O250" t="str">
            <v>No</v>
          </cell>
          <cell r="Q250" t="str">
            <v>In Progress</v>
          </cell>
          <cell r="R250">
            <v>46162.787499999999</v>
          </cell>
          <cell r="S250" t="str">
            <v>Giulie Alaa</v>
          </cell>
          <cell r="T250">
            <v>46196</v>
          </cell>
          <cell r="U250" t="str">
            <v>Lindsay Hudacik</v>
          </cell>
          <cell r="Y250">
            <v>46196</v>
          </cell>
        </row>
        <row r="251">
          <cell r="I251" t="str">
            <v>EDI</v>
          </cell>
          <cell r="L251">
            <v>5005</v>
          </cell>
          <cell r="N251" t="str">
            <v>Testing</v>
          </cell>
          <cell r="O251" t="str">
            <v>No</v>
          </cell>
          <cell r="Q251" t="str">
            <v>In Progress</v>
          </cell>
          <cell r="R251">
            <v>46162.787499999999</v>
          </cell>
          <cell r="S251" t="str">
            <v>Andrew Ramy</v>
          </cell>
          <cell r="T251">
            <v>46190</v>
          </cell>
          <cell r="U251" t="str">
            <v>Lindsay Hudacik</v>
          </cell>
          <cell r="Y251">
            <v>46189</v>
          </cell>
        </row>
        <row r="252">
          <cell r="I252" t="str">
            <v>EDI</v>
          </cell>
          <cell r="L252">
            <v>4979</v>
          </cell>
          <cell r="N252" t="str">
            <v>Testing</v>
          </cell>
          <cell r="O252" t="str">
            <v>No</v>
          </cell>
          <cell r="Q252" t="str">
            <v>In Progress</v>
          </cell>
          <cell r="R252">
            <v>46162.787488425929</v>
          </cell>
          <cell r="S252" t="str">
            <v>Giulie Alaa</v>
          </cell>
          <cell r="T252">
            <v>46188</v>
          </cell>
          <cell r="U252" t="str">
            <v>Lindsay Hudacik</v>
          </cell>
          <cell r="Y252">
            <v>46183</v>
          </cell>
        </row>
        <row r="253">
          <cell r="I253" t="str">
            <v>EDI</v>
          </cell>
          <cell r="N253" t="str">
            <v>Resource Assignment</v>
          </cell>
          <cell r="O253" t="str">
            <v>No</v>
          </cell>
          <cell r="Q253" t="str">
            <v>In Progress</v>
          </cell>
          <cell r="R253">
            <v>46162.787476851852</v>
          </cell>
          <cell r="S253" t="str">
            <v>Rasha Wadie</v>
          </cell>
          <cell r="T253">
            <v>46216</v>
          </cell>
          <cell r="U253" t="str">
            <v>Lindsay Hudacik</v>
          </cell>
          <cell r="Y253">
            <v>46216</v>
          </cell>
        </row>
        <row r="254">
          <cell r="I254" t="str">
            <v>EDI</v>
          </cell>
          <cell r="N254" t="str">
            <v>Requirements Gathering</v>
          </cell>
          <cell r="O254" t="str">
            <v>No</v>
          </cell>
          <cell r="Q254" t="str">
            <v>In Progress</v>
          </cell>
          <cell r="R254">
            <v>46162.787476851852</v>
          </cell>
          <cell r="S254" t="str">
            <v>Sandra Adel</v>
          </cell>
          <cell r="T254">
            <v>46166</v>
          </cell>
          <cell r="U254" t="str">
            <v>Lindsay Hudacik</v>
          </cell>
        </row>
        <row r="255">
          <cell r="I255" t="str">
            <v>EDI</v>
          </cell>
          <cell r="L255">
            <v>5045</v>
          </cell>
          <cell r="N255" t="str">
            <v>Testing</v>
          </cell>
          <cell r="O255" t="str">
            <v>No</v>
          </cell>
          <cell r="Q255" t="str">
            <v>In Progress</v>
          </cell>
          <cell r="R255">
            <v>46162.787465277783</v>
          </cell>
          <cell r="S255" t="str">
            <v>Andrew Ramy</v>
          </cell>
          <cell r="T255">
            <v>46201</v>
          </cell>
          <cell r="U255" t="str">
            <v>Lindsay Hudacik</v>
          </cell>
          <cell r="Y255">
            <v>46197</v>
          </cell>
        </row>
        <row r="256">
          <cell r="I256" t="str">
            <v>EDI</v>
          </cell>
          <cell r="L256">
            <v>5067</v>
          </cell>
          <cell r="N256" t="str">
            <v>Mapping</v>
          </cell>
          <cell r="O256" t="str">
            <v>No</v>
          </cell>
          <cell r="Q256" t="str">
            <v>In Progress</v>
          </cell>
          <cell r="R256">
            <v>46162.702453703707</v>
          </cell>
          <cell r="S256" t="str">
            <v>Mark Albert</v>
          </cell>
          <cell r="T256">
            <v>46211</v>
          </cell>
          <cell r="U256" t="str">
            <v>Lindsay Hudacik</v>
          </cell>
          <cell r="Y256">
            <v>46210</v>
          </cell>
        </row>
        <row r="257">
          <cell r="I257" t="str">
            <v>EDI</v>
          </cell>
          <cell r="L257">
            <v>4984</v>
          </cell>
          <cell r="N257" t="str">
            <v>Testing</v>
          </cell>
          <cell r="O257" t="str">
            <v>No</v>
          </cell>
          <cell r="Q257" t="str">
            <v>In Progress</v>
          </cell>
          <cell r="R257">
            <v>46162.697476851848</v>
          </cell>
          <cell r="S257" t="str">
            <v>Andrew Ramy</v>
          </cell>
          <cell r="T257">
            <v>46183</v>
          </cell>
          <cell r="U257" t="str">
            <v>Lindsay Hudacik</v>
          </cell>
          <cell r="V257">
            <v>46215</v>
          </cell>
          <cell r="Y257">
            <v>46182</v>
          </cell>
        </row>
        <row r="258">
          <cell r="I258" t="str">
            <v>EDI</v>
          </cell>
          <cell r="L258">
            <v>4993</v>
          </cell>
          <cell r="N258" t="str">
            <v>Testing</v>
          </cell>
          <cell r="O258" t="str">
            <v>No</v>
          </cell>
          <cell r="Q258" t="str">
            <v>In Progress</v>
          </cell>
          <cell r="R258">
            <v>46162.697465277779</v>
          </cell>
          <cell r="S258" t="str">
            <v>Zeyad Khaled</v>
          </cell>
          <cell r="T258">
            <v>46188</v>
          </cell>
          <cell r="U258" t="str">
            <v>Lindsay Hudacik</v>
          </cell>
          <cell r="V258">
            <v>46198</v>
          </cell>
          <cell r="Y258">
            <v>46183</v>
          </cell>
        </row>
        <row r="259">
          <cell r="I259" t="str">
            <v>EDI</v>
          </cell>
          <cell r="L259">
            <v>4907</v>
          </cell>
          <cell r="N259" t="str">
            <v>Production</v>
          </cell>
          <cell r="O259" t="str">
            <v>No</v>
          </cell>
          <cell r="Q259" t="str">
            <v>Live</v>
          </cell>
          <cell r="R259">
            <v>46162.577835648153</v>
          </cell>
          <cell r="S259" t="str">
            <v>Omnia Abdelaziz</v>
          </cell>
          <cell r="T259">
            <v>46163</v>
          </cell>
          <cell r="U259" t="str">
            <v>Lindsay Hudacik</v>
          </cell>
          <cell r="W259">
            <v>46195</v>
          </cell>
          <cell r="AC259">
            <v>46189</v>
          </cell>
        </row>
        <row r="260">
          <cell r="I260" t="str">
            <v>EDI</v>
          </cell>
          <cell r="L260">
            <v>4987</v>
          </cell>
          <cell r="N260" t="str">
            <v>Testing</v>
          </cell>
          <cell r="O260" t="str">
            <v>No</v>
          </cell>
          <cell r="Q260" t="str">
            <v>In Progress</v>
          </cell>
          <cell r="R260">
            <v>46161.867118055547</v>
          </cell>
          <cell r="S260" t="str">
            <v>Josephine Ossama</v>
          </cell>
          <cell r="T260">
            <v>46182</v>
          </cell>
          <cell r="U260" t="str">
            <v>Trish Kalinczok</v>
          </cell>
          <cell r="V260">
            <v>46217</v>
          </cell>
          <cell r="Y260">
            <v>46181</v>
          </cell>
        </row>
        <row r="261">
          <cell r="I261" t="str">
            <v>EDI</v>
          </cell>
          <cell r="L261">
            <v>4954</v>
          </cell>
          <cell r="N261" t="str">
            <v>Testing</v>
          </cell>
          <cell r="O261" t="str">
            <v>No</v>
          </cell>
          <cell r="Q261" t="str">
            <v>In Progress</v>
          </cell>
          <cell r="R261">
            <v>46161.867106481477</v>
          </cell>
          <cell r="S261" t="str">
            <v>Andrew Ramy</v>
          </cell>
          <cell r="T261">
            <v>46182</v>
          </cell>
          <cell r="U261" t="str">
            <v>Trish Kalinczok</v>
          </cell>
          <cell r="V261">
            <v>46202</v>
          </cell>
          <cell r="Y261">
            <v>46181</v>
          </cell>
        </row>
        <row r="262">
          <cell r="I262" t="str">
            <v>EDI</v>
          </cell>
          <cell r="N262" t="str">
            <v>Requirements Gathering</v>
          </cell>
          <cell r="O262" t="str">
            <v>No</v>
          </cell>
          <cell r="Q262" t="str">
            <v>In Progress</v>
          </cell>
          <cell r="R262">
            <v>46161.867106481477</v>
          </cell>
          <cell r="S262" t="str">
            <v>Hady Sherif</v>
          </cell>
          <cell r="T262">
            <v>46162</v>
          </cell>
          <cell r="U262" t="str">
            <v>Trish Kalinczok</v>
          </cell>
        </row>
        <row r="263">
          <cell r="I263" t="str">
            <v>EDI</v>
          </cell>
          <cell r="L263">
            <v>5004</v>
          </cell>
          <cell r="N263" t="str">
            <v>Testing</v>
          </cell>
          <cell r="O263" t="str">
            <v>No</v>
          </cell>
          <cell r="Q263" t="str">
            <v>In Progress</v>
          </cell>
          <cell r="R263">
            <v>46161.807743055557</v>
          </cell>
          <cell r="S263" t="str">
            <v>Karen Ramy</v>
          </cell>
          <cell r="T263">
            <v>46195</v>
          </cell>
          <cell r="U263" t="str">
            <v>Gregory Dubec</v>
          </cell>
          <cell r="V263">
            <v>46208</v>
          </cell>
          <cell r="Y263">
            <v>46194</v>
          </cell>
        </row>
        <row r="264">
          <cell r="I264" t="str">
            <v>EDI</v>
          </cell>
          <cell r="L264">
            <v>4966</v>
          </cell>
          <cell r="N264" t="str">
            <v>Testing</v>
          </cell>
          <cell r="O264" t="str">
            <v>No</v>
          </cell>
          <cell r="Q264" t="str">
            <v>In Progress</v>
          </cell>
          <cell r="R264">
            <v>46161.611018518517</v>
          </cell>
          <cell r="S264" t="str">
            <v>Reem Radwan</v>
          </cell>
          <cell r="T264">
            <v>46180</v>
          </cell>
          <cell r="U264" t="str">
            <v>Gregory Dubec</v>
          </cell>
          <cell r="V264">
            <v>46196</v>
          </cell>
          <cell r="Y264">
            <v>46176</v>
          </cell>
        </row>
        <row r="265">
          <cell r="I265" t="str">
            <v>EDI</v>
          </cell>
          <cell r="L265">
            <v>4963</v>
          </cell>
          <cell r="N265" t="str">
            <v>Mapping</v>
          </cell>
          <cell r="O265" t="str">
            <v>eBenefits Network</v>
          </cell>
          <cell r="P265" t="str">
            <v>Phase 1 - Map Built</v>
          </cell>
          <cell r="Q265" t="str">
            <v>In Progress</v>
          </cell>
          <cell r="R265">
            <v>46160.880590277768</v>
          </cell>
          <cell r="S265" t="str">
            <v>Ahmed Ali</v>
          </cell>
          <cell r="T265">
            <v>46176</v>
          </cell>
          <cell r="U265" t="str">
            <v>Trish Kalinczok</v>
          </cell>
          <cell r="Y265">
            <v>46167</v>
          </cell>
        </row>
        <row r="266">
          <cell r="I266" t="str">
            <v>EDI</v>
          </cell>
          <cell r="L266">
            <v>4962</v>
          </cell>
          <cell r="N266" t="str">
            <v>Mapping</v>
          </cell>
          <cell r="O266" t="str">
            <v>eBenefits Network</v>
          </cell>
          <cell r="P266" t="str">
            <v>Phase 3</v>
          </cell>
          <cell r="Q266" t="str">
            <v>In Progress</v>
          </cell>
          <cell r="R266">
            <v>46160.880578703713</v>
          </cell>
          <cell r="S266" t="str">
            <v>Ahmed Ali</v>
          </cell>
          <cell r="T266">
            <v>46176</v>
          </cell>
          <cell r="U266" t="str">
            <v>Trish Kalinczok</v>
          </cell>
          <cell r="Y266">
            <v>46167</v>
          </cell>
        </row>
        <row r="267">
          <cell r="I267" t="str">
            <v>EDI</v>
          </cell>
          <cell r="L267">
            <v>4952</v>
          </cell>
          <cell r="N267" t="str">
            <v>Testing</v>
          </cell>
          <cell r="O267" t="str">
            <v>eBenefits Network</v>
          </cell>
          <cell r="P267" t="str">
            <v>Migration Testing</v>
          </cell>
          <cell r="Q267" t="str">
            <v>In Progress</v>
          </cell>
          <cell r="R267">
            <v>46160.822812500002</v>
          </cell>
          <cell r="S267" t="str">
            <v>Aya Fathy</v>
          </cell>
          <cell r="T267">
            <v>46176</v>
          </cell>
          <cell r="U267" t="str">
            <v>Trish Kalinczok</v>
          </cell>
          <cell r="V267">
            <v>46194</v>
          </cell>
          <cell r="Y267">
            <v>46163</v>
          </cell>
        </row>
        <row r="268">
          <cell r="I268" t="str">
            <v>EDI</v>
          </cell>
          <cell r="L268">
            <v>4919</v>
          </cell>
          <cell r="N268" t="str">
            <v>Testing</v>
          </cell>
          <cell r="O268" t="str">
            <v>eBenefits Network</v>
          </cell>
          <cell r="P268" t="str">
            <v>Migration Testing</v>
          </cell>
          <cell r="Q268" t="str">
            <v>In Progress</v>
          </cell>
          <cell r="R268">
            <v>46160.822800925933</v>
          </cell>
          <cell r="S268" t="str">
            <v>Zeyad Khaled</v>
          </cell>
          <cell r="T268">
            <v>46166</v>
          </cell>
          <cell r="U268" t="str">
            <v>Trish Kalinczok</v>
          </cell>
          <cell r="Y268">
            <v>46163</v>
          </cell>
        </row>
        <row r="269">
          <cell r="I269" t="str">
            <v>EDI</v>
          </cell>
          <cell r="L269">
            <v>4920</v>
          </cell>
          <cell r="N269" t="str">
            <v>Testing</v>
          </cell>
          <cell r="O269" t="str">
            <v>eBenefits Network</v>
          </cell>
          <cell r="P269" t="str">
            <v>Migration Testing</v>
          </cell>
          <cell r="Q269" t="str">
            <v>In Progress</v>
          </cell>
          <cell r="R269">
            <v>46160.822789351849</v>
          </cell>
          <cell r="S269" t="str">
            <v>Zeyad Khaled</v>
          </cell>
          <cell r="T269">
            <v>46166</v>
          </cell>
          <cell r="U269" t="str">
            <v>Trish Kalinczok</v>
          </cell>
          <cell r="Y269">
            <v>46163</v>
          </cell>
        </row>
        <row r="270">
          <cell r="I270" t="str">
            <v>EDI</v>
          </cell>
          <cell r="L270">
            <v>4961</v>
          </cell>
          <cell r="N270" t="str">
            <v>Ready for Production</v>
          </cell>
          <cell r="O270" t="str">
            <v>eBenefits Network</v>
          </cell>
          <cell r="P270" t="str">
            <v>Migration Testing</v>
          </cell>
          <cell r="Q270" t="str">
            <v>In Progress</v>
          </cell>
          <cell r="R270">
            <v>46160.814421296287</v>
          </cell>
          <cell r="S270" t="str">
            <v>Omnia Abdelaziz</v>
          </cell>
          <cell r="T270">
            <v>46174</v>
          </cell>
          <cell r="U270" t="str">
            <v>Trish Kalinczok</v>
          </cell>
          <cell r="V270">
            <v>46212</v>
          </cell>
          <cell r="Y270">
            <v>46163</v>
          </cell>
        </row>
        <row r="271">
          <cell r="I271" t="str">
            <v>EDI</v>
          </cell>
          <cell r="L271">
            <v>4960</v>
          </cell>
          <cell r="N271" t="str">
            <v>Ready for Production</v>
          </cell>
          <cell r="O271" t="str">
            <v>eBenefits Network</v>
          </cell>
          <cell r="P271" t="str">
            <v>Phase 3</v>
          </cell>
          <cell r="Q271" t="str">
            <v>In Progress</v>
          </cell>
          <cell r="R271">
            <v>46160.814421296287</v>
          </cell>
          <cell r="S271" t="str">
            <v>Omnia Abdelaziz</v>
          </cell>
          <cell r="T271">
            <v>46174</v>
          </cell>
          <cell r="U271" t="str">
            <v>Trish Kalinczok</v>
          </cell>
          <cell r="Y271">
            <v>46163</v>
          </cell>
        </row>
        <row r="272">
          <cell r="I272" t="str">
            <v>EDI</v>
          </cell>
          <cell r="L272">
            <v>4935</v>
          </cell>
          <cell r="N272" t="str">
            <v>Testing</v>
          </cell>
          <cell r="O272" t="str">
            <v>eBenefits Network</v>
          </cell>
          <cell r="P272" t="str">
            <v>Migration Testing</v>
          </cell>
          <cell r="Q272" t="str">
            <v>In Progress</v>
          </cell>
          <cell r="R272">
            <v>46160.814409722218</v>
          </cell>
          <cell r="S272" t="str">
            <v>Josephine Ossama</v>
          </cell>
          <cell r="T272">
            <v>46166</v>
          </cell>
          <cell r="U272" t="str">
            <v>Trish Kalinczok</v>
          </cell>
          <cell r="Y272">
            <v>46163</v>
          </cell>
        </row>
        <row r="273">
          <cell r="I273" t="str">
            <v>EDI</v>
          </cell>
          <cell r="L273">
            <v>4931</v>
          </cell>
          <cell r="N273" t="str">
            <v>Mapping</v>
          </cell>
          <cell r="O273" t="str">
            <v>eBenefits Network</v>
          </cell>
          <cell r="P273" t="str">
            <v>Phase 1 - Map Built</v>
          </cell>
          <cell r="Q273" t="str">
            <v>In Progress</v>
          </cell>
          <cell r="R273">
            <v>46160.814409722218</v>
          </cell>
          <cell r="S273" t="str">
            <v>Mark Albert</v>
          </cell>
          <cell r="T273">
            <v>46176</v>
          </cell>
          <cell r="U273" t="str">
            <v>Trish Kalinczok</v>
          </cell>
          <cell r="Y273">
            <v>46163</v>
          </cell>
        </row>
        <row r="274">
          <cell r="I274" t="str">
            <v>EDI</v>
          </cell>
          <cell r="L274">
            <v>4981</v>
          </cell>
          <cell r="N274" t="str">
            <v>Mapping</v>
          </cell>
          <cell r="O274" t="str">
            <v>No</v>
          </cell>
          <cell r="Q274" t="str">
            <v>In Progress</v>
          </cell>
          <cell r="R274">
            <v>46160.806516203702</v>
          </cell>
          <cell r="S274" t="str">
            <v>Omnia Abdelaziz</v>
          </cell>
          <cell r="T274">
            <v>46188</v>
          </cell>
          <cell r="U274" t="str">
            <v>Melanie Rhine</v>
          </cell>
          <cell r="Y274">
            <v>46188</v>
          </cell>
        </row>
        <row r="275">
          <cell r="I275" t="str">
            <v>EDI</v>
          </cell>
          <cell r="N275" t="str">
            <v>Requirements Gathering</v>
          </cell>
          <cell r="O275" t="str">
            <v>No</v>
          </cell>
          <cell r="Q275" t="str">
            <v>In Progress</v>
          </cell>
          <cell r="R275">
            <v>46160.806504629632</v>
          </cell>
          <cell r="S275" t="str">
            <v>Hady Sherif</v>
          </cell>
          <cell r="T275">
            <v>46161</v>
          </cell>
          <cell r="U275" t="str">
            <v>Melanie Rhine</v>
          </cell>
        </row>
        <row r="276">
          <cell r="I276" t="str">
            <v>EDI</v>
          </cell>
          <cell r="L276">
            <v>4958</v>
          </cell>
          <cell r="N276" t="str">
            <v>Testing</v>
          </cell>
          <cell r="O276" t="str">
            <v>No</v>
          </cell>
          <cell r="Q276" t="str">
            <v>In Progress</v>
          </cell>
          <cell r="R276">
            <v>46160.806493055563</v>
          </cell>
          <cell r="S276" t="str">
            <v>Mirna Azmy</v>
          </cell>
          <cell r="T276">
            <v>46182</v>
          </cell>
          <cell r="U276" t="str">
            <v>Melanie Rhine</v>
          </cell>
          <cell r="V276">
            <v>46184</v>
          </cell>
          <cell r="Y276">
            <v>46180</v>
          </cell>
        </row>
        <row r="277">
          <cell r="I277" t="str">
            <v>EDI</v>
          </cell>
          <cell r="N277" t="str">
            <v>Requirements Gathering</v>
          </cell>
          <cell r="O277" t="str">
            <v>No</v>
          </cell>
          <cell r="Q277" t="str">
            <v>In Progress</v>
          </cell>
          <cell r="R277">
            <v>46160.806493055563</v>
          </cell>
          <cell r="S277" t="str">
            <v>Hady Sherif</v>
          </cell>
          <cell r="T277">
            <v>46161</v>
          </cell>
          <cell r="U277" t="str">
            <v>Melanie Rhine</v>
          </cell>
        </row>
        <row r="278">
          <cell r="I278" t="str">
            <v>EDI</v>
          </cell>
          <cell r="L278">
            <v>4950</v>
          </cell>
          <cell r="N278" t="str">
            <v>Mapping</v>
          </cell>
          <cell r="O278" t="str">
            <v>eBenefits Network</v>
          </cell>
          <cell r="P278" t="str">
            <v>Phase 1 - Map Built</v>
          </cell>
          <cell r="Q278" t="str">
            <v>In Progress</v>
          </cell>
          <cell r="R278">
            <v>46160.799780092602</v>
          </cell>
          <cell r="S278" t="str">
            <v>Mark Albert</v>
          </cell>
          <cell r="T278">
            <v>46180</v>
          </cell>
          <cell r="U278" t="str">
            <v>Trish Kalinczok</v>
          </cell>
          <cell r="Y278">
            <v>46177</v>
          </cell>
        </row>
        <row r="279">
          <cell r="I279" t="str">
            <v>EDI</v>
          </cell>
          <cell r="L279">
            <v>4949</v>
          </cell>
          <cell r="N279" t="str">
            <v>Mapping</v>
          </cell>
          <cell r="O279" t="str">
            <v>eBenefits Network</v>
          </cell>
          <cell r="P279" t="str">
            <v>Phase 1 - Map Built</v>
          </cell>
          <cell r="Q279" t="str">
            <v>In Progress</v>
          </cell>
          <cell r="R279">
            <v>46160.799768518518</v>
          </cell>
          <cell r="S279" t="str">
            <v>Mark Albert</v>
          </cell>
          <cell r="T279">
            <v>46180</v>
          </cell>
          <cell r="U279" t="str">
            <v>Trish Kalinczok</v>
          </cell>
          <cell r="Y279">
            <v>46177</v>
          </cell>
        </row>
        <row r="280">
          <cell r="I280" t="str">
            <v>EDI</v>
          </cell>
          <cell r="L280">
            <v>4945</v>
          </cell>
          <cell r="N280" t="str">
            <v>Testing</v>
          </cell>
          <cell r="O280" t="str">
            <v>eBenefits Network</v>
          </cell>
          <cell r="P280" t="str">
            <v>Migration Testing</v>
          </cell>
          <cell r="Q280" t="str">
            <v>In Progress</v>
          </cell>
          <cell r="R280">
            <v>46160.78702546296</v>
          </cell>
          <cell r="S280" t="str">
            <v>Andrew Ramy</v>
          </cell>
          <cell r="T280">
            <v>46176</v>
          </cell>
          <cell r="U280" t="str">
            <v>Trish Kalinczok</v>
          </cell>
          <cell r="V280">
            <v>46181</v>
          </cell>
          <cell r="Y280">
            <v>46167</v>
          </cell>
        </row>
        <row r="281">
          <cell r="I281" t="str">
            <v>EDI</v>
          </cell>
          <cell r="L281">
            <v>4939</v>
          </cell>
          <cell r="N281" t="str">
            <v>Testing</v>
          </cell>
          <cell r="O281" t="str">
            <v>eBenefits Network</v>
          </cell>
          <cell r="P281" t="str">
            <v>Migration Testing</v>
          </cell>
          <cell r="Q281" t="str">
            <v>In Progress</v>
          </cell>
          <cell r="R281">
            <v>46160.78701388889</v>
          </cell>
          <cell r="S281" t="str">
            <v>Andrew Ramy</v>
          </cell>
          <cell r="T281">
            <v>46176</v>
          </cell>
          <cell r="U281" t="str">
            <v>Trish Kalinczok</v>
          </cell>
          <cell r="V281">
            <v>25569</v>
          </cell>
          <cell r="Y281">
            <v>46167</v>
          </cell>
        </row>
        <row r="282">
          <cell r="I282" t="str">
            <v>EDI</v>
          </cell>
          <cell r="L282">
            <v>4761</v>
          </cell>
          <cell r="N282" t="str">
            <v>Dataset Validation</v>
          </cell>
          <cell r="O282" t="str">
            <v>No</v>
          </cell>
          <cell r="Q282" t="str">
            <v>In Progress</v>
          </cell>
          <cell r="R282">
            <v>46160.772291666668</v>
          </cell>
          <cell r="S282" t="str">
            <v>Dina Medhat</v>
          </cell>
          <cell r="T282">
            <v>46188</v>
          </cell>
          <cell r="U282" t="str">
            <v>Beth Coon</v>
          </cell>
          <cell r="V282">
            <v>46188</v>
          </cell>
        </row>
        <row r="283">
          <cell r="I283" t="str">
            <v>EDI</v>
          </cell>
          <cell r="L283">
            <v>4609</v>
          </cell>
          <cell r="N283" t="str">
            <v>Testing</v>
          </cell>
          <cell r="O283" t="str">
            <v>No</v>
          </cell>
          <cell r="Q283" t="str">
            <v>In Progress</v>
          </cell>
          <cell r="R283">
            <v>46160.772280092591</v>
          </cell>
          <cell r="S283" t="str">
            <v>Dina Medhat</v>
          </cell>
          <cell r="T283">
            <v>46188</v>
          </cell>
          <cell r="U283" t="str">
            <v>Beth Coon</v>
          </cell>
          <cell r="V283">
            <v>46114</v>
          </cell>
        </row>
        <row r="284">
          <cell r="I284" t="str">
            <v>EDI</v>
          </cell>
          <cell r="N284" t="str">
            <v>Pending Start</v>
          </cell>
          <cell r="O284" t="str">
            <v>No</v>
          </cell>
          <cell r="Q284" t="str">
            <v>Cancelled</v>
          </cell>
          <cell r="R284">
            <v>46160.767951388887</v>
          </cell>
          <cell r="U284" t="str">
            <v>Beth Coon</v>
          </cell>
        </row>
        <row r="285">
          <cell r="I285" t="str">
            <v>EDI</v>
          </cell>
          <cell r="N285" t="str">
            <v>Pending Start</v>
          </cell>
          <cell r="O285" t="str">
            <v>No</v>
          </cell>
          <cell r="Q285" t="str">
            <v>Cancelled</v>
          </cell>
          <cell r="R285">
            <v>46160.767939814818</v>
          </cell>
          <cell r="U285" t="str">
            <v>Beth Coon</v>
          </cell>
        </row>
        <row r="286">
          <cell r="I286" t="str">
            <v>EDI</v>
          </cell>
          <cell r="N286" t="str">
            <v>Pending Start</v>
          </cell>
          <cell r="O286" t="str">
            <v>No</v>
          </cell>
          <cell r="Q286" t="str">
            <v>Cancelled</v>
          </cell>
          <cell r="R286">
            <v>46160.767928240741</v>
          </cell>
          <cell r="U286" t="str">
            <v>Beth Coon</v>
          </cell>
        </row>
        <row r="287">
          <cell r="I287" t="str">
            <v>EDI</v>
          </cell>
          <cell r="L287">
            <v>4982</v>
          </cell>
          <cell r="N287" t="str">
            <v>Mapping</v>
          </cell>
          <cell r="O287" t="str">
            <v>No</v>
          </cell>
          <cell r="Q287" t="str">
            <v>In Progress</v>
          </cell>
          <cell r="R287">
            <v>46160.6721412037</v>
          </cell>
          <cell r="S287" t="str">
            <v>Omnia Abdelaziz</v>
          </cell>
          <cell r="T287">
            <v>46188</v>
          </cell>
          <cell r="U287" t="str">
            <v>Trish Kalinczok</v>
          </cell>
          <cell r="Y287">
            <v>46187</v>
          </cell>
        </row>
        <row r="288">
          <cell r="I288" t="str">
            <v>EDI</v>
          </cell>
          <cell r="N288" t="str">
            <v>Requirements Gathering</v>
          </cell>
          <cell r="O288" t="str">
            <v>No</v>
          </cell>
          <cell r="Q288" t="str">
            <v>Cancelled</v>
          </cell>
          <cell r="R288">
            <v>46157.902858796297</v>
          </cell>
          <cell r="S288" t="str">
            <v>Hady Sherif</v>
          </cell>
          <cell r="T288">
            <v>46159</v>
          </cell>
          <cell r="U288" t="str">
            <v>Trish Kalinczok</v>
          </cell>
        </row>
        <row r="289">
          <cell r="I289" t="str">
            <v>EDI</v>
          </cell>
          <cell r="L289">
            <v>4914</v>
          </cell>
          <cell r="N289" t="str">
            <v>Mapping</v>
          </cell>
          <cell r="O289" t="str">
            <v>No</v>
          </cell>
          <cell r="Q289" t="str">
            <v>In Progress</v>
          </cell>
          <cell r="R289">
            <v>46157.860914351862</v>
          </cell>
          <cell r="S289" t="str">
            <v>Reem Radwan</v>
          </cell>
          <cell r="T289">
            <v>46166</v>
          </cell>
          <cell r="U289" t="str">
            <v>Trish Kalinczok</v>
          </cell>
          <cell r="Y289">
            <v>46163</v>
          </cell>
        </row>
        <row r="290">
          <cell r="I290" t="str">
            <v>EDI</v>
          </cell>
          <cell r="L290">
            <v>4998</v>
          </cell>
          <cell r="N290" t="str">
            <v>Mapping</v>
          </cell>
          <cell r="O290" t="str">
            <v>No</v>
          </cell>
          <cell r="Q290" t="str">
            <v>In Progress</v>
          </cell>
          <cell r="R290">
            <v>46157.860902777778</v>
          </cell>
          <cell r="S290" t="str">
            <v>Reem Radwan</v>
          </cell>
          <cell r="T290">
            <v>46190</v>
          </cell>
          <cell r="U290" t="str">
            <v>Trish Kalinczok</v>
          </cell>
          <cell r="Y290">
            <v>46189</v>
          </cell>
        </row>
        <row r="291">
          <cell r="I291" t="str">
            <v>EDI</v>
          </cell>
          <cell r="L291">
            <v>4970</v>
          </cell>
          <cell r="N291" t="str">
            <v>Production</v>
          </cell>
          <cell r="O291" t="str">
            <v>No</v>
          </cell>
          <cell r="Q291" t="str">
            <v>Live</v>
          </cell>
          <cell r="R291">
            <v>46157.84003472222</v>
          </cell>
          <cell r="S291" t="str">
            <v>Karen Ramy</v>
          </cell>
          <cell r="T291">
            <v>46182</v>
          </cell>
          <cell r="U291" t="str">
            <v>Trish Kalinczok</v>
          </cell>
          <cell r="V291">
            <v>46190</v>
          </cell>
          <cell r="W291">
            <v>46209</v>
          </cell>
          <cell r="Y291">
            <v>46181</v>
          </cell>
          <cell r="AC291">
            <v>46200</v>
          </cell>
        </row>
        <row r="292">
          <cell r="I292" t="str">
            <v>EDI</v>
          </cell>
          <cell r="L292">
            <v>4923</v>
          </cell>
          <cell r="N292" t="str">
            <v>Testing</v>
          </cell>
          <cell r="O292" t="str">
            <v>No</v>
          </cell>
          <cell r="Q292" t="str">
            <v>In Progress</v>
          </cell>
          <cell r="R292">
            <v>46157.771608796298</v>
          </cell>
          <cell r="S292" t="str">
            <v>Andrew Ramy</v>
          </cell>
          <cell r="T292">
            <v>46174</v>
          </cell>
          <cell r="U292" t="str">
            <v>Trish Kalinczok</v>
          </cell>
          <cell r="V292">
            <v>46198</v>
          </cell>
          <cell r="Y292">
            <v>46172</v>
          </cell>
        </row>
        <row r="293">
          <cell r="I293" t="str">
            <v>EDI</v>
          </cell>
          <cell r="L293">
            <v>4926</v>
          </cell>
          <cell r="N293" t="str">
            <v>Testing</v>
          </cell>
          <cell r="O293" t="str">
            <v>No</v>
          </cell>
          <cell r="Q293" t="str">
            <v>In Progress</v>
          </cell>
          <cell r="R293">
            <v>46157.752500000002</v>
          </cell>
          <cell r="S293" t="str">
            <v>Aya Fathy</v>
          </cell>
          <cell r="T293">
            <v>46174</v>
          </cell>
          <cell r="U293" t="str">
            <v>Trish Kalinczok</v>
          </cell>
          <cell r="V293">
            <v>46182</v>
          </cell>
          <cell r="Y293">
            <v>46167</v>
          </cell>
        </row>
        <row r="294">
          <cell r="I294" t="str">
            <v>EDI</v>
          </cell>
          <cell r="L294">
            <v>4933</v>
          </cell>
          <cell r="N294" t="str">
            <v>Ready for Production</v>
          </cell>
          <cell r="O294" t="str">
            <v>No</v>
          </cell>
          <cell r="Q294" t="str">
            <v>In Progress</v>
          </cell>
          <cell r="R294">
            <v>46157.750775462962</v>
          </cell>
          <cell r="S294" t="str">
            <v>Mirna Azmy</v>
          </cell>
          <cell r="T294">
            <v>46176</v>
          </cell>
          <cell r="U294" t="str">
            <v>Trish Kalinczok</v>
          </cell>
          <cell r="V294">
            <v>46181</v>
          </cell>
          <cell r="Y294">
            <v>46174</v>
          </cell>
        </row>
        <row r="295">
          <cell r="I295" t="str">
            <v>EDI</v>
          </cell>
          <cell r="L295">
            <v>4928</v>
          </cell>
          <cell r="N295" t="str">
            <v>Testing</v>
          </cell>
          <cell r="O295" t="str">
            <v>No</v>
          </cell>
          <cell r="Q295" t="str">
            <v>In Progress</v>
          </cell>
          <cell r="R295">
            <v>46157.748067129629</v>
          </cell>
          <cell r="S295" t="str">
            <v>Zeyad Khaled</v>
          </cell>
          <cell r="T295">
            <v>46176</v>
          </cell>
          <cell r="U295" t="str">
            <v>Trish Kalinczok</v>
          </cell>
          <cell r="V295">
            <v>46210</v>
          </cell>
          <cell r="Y295">
            <v>46175</v>
          </cell>
        </row>
        <row r="296">
          <cell r="I296" t="str">
            <v>Forms</v>
          </cell>
          <cell r="L296" t="str">
            <v>[4906]</v>
          </cell>
          <cell r="N296" t="str">
            <v>Mapping</v>
          </cell>
          <cell r="O296" t="str">
            <v>No</v>
          </cell>
          <cell r="Q296" t="str">
            <v>Cancelled</v>
          </cell>
          <cell r="R296">
            <v>46157.738159722219</v>
          </cell>
          <cell r="S296" t="str">
            <v>Alaa Yehia</v>
          </cell>
          <cell r="T296">
            <v>46161</v>
          </cell>
          <cell r="U296" t="str">
            <v>David Ma</v>
          </cell>
        </row>
        <row r="297">
          <cell r="I297" t="str">
            <v>EDI</v>
          </cell>
          <cell r="L297">
            <v>5069</v>
          </cell>
          <cell r="N297" t="str">
            <v>Mapping</v>
          </cell>
          <cell r="O297" t="str">
            <v>No</v>
          </cell>
          <cell r="Q297" t="str">
            <v>In Progress</v>
          </cell>
          <cell r="R297">
            <v>46157.64565972222</v>
          </cell>
          <cell r="S297" t="str">
            <v>Adham Akram</v>
          </cell>
          <cell r="T297">
            <v>46211</v>
          </cell>
          <cell r="U297" t="str">
            <v>Ashlie Bruce</v>
          </cell>
          <cell r="Y297">
            <v>46209</v>
          </cell>
        </row>
        <row r="298">
          <cell r="I298" t="str">
            <v>EDI</v>
          </cell>
          <cell r="L298">
            <v>4943</v>
          </cell>
          <cell r="N298" t="str">
            <v>Testing</v>
          </cell>
          <cell r="O298" t="str">
            <v>No</v>
          </cell>
          <cell r="Q298" t="str">
            <v>In Progress</v>
          </cell>
          <cell r="R298">
            <v>46157.645648148151</v>
          </cell>
          <cell r="S298" t="str">
            <v>Alaa Yehia</v>
          </cell>
          <cell r="T298">
            <v>46180</v>
          </cell>
          <cell r="U298" t="str">
            <v>Ashlie Bruce</v>
          </cell>
          <cell r="V298">
            <v>46213</v>
          </cell>
          <cell r="Y298">
            <v>46177</v>
          </cell>
        </row>
        <row r="299">
          <cell r="I299" t="str">
            <v>EDI</v>
          </cell>
          <cell r="L299">
            <v>4969</v>
          </cell>
          <cell r="N299" t="str">
            <v>Testing</v>
          </cell>
          <cell r="O299" t="str">
            <v>No</v>
          </cell>
          <cell r="Q299" t="str">
            <v>In Progress</v>
          </cell>
          <cell r="R299">
            <v>46156.911400462966</v>
          </cell>
          <cell r="S299" t="str">
            <v>Aya Fathy</v>
          </cell>
          <cell r="T299">
            <v>46182</v>
          </cell>
          <cell r="U299" t="str">
            <v>Trish Kalinczok</v>
          </cell>
          <cell r="V299">
            <v>46203</v>
          </cell>
          <cell r="Y299">
            <v>46180</v>
          </cell>
        </row>
        <row r="300">
          <cell r="I300" t="str">
            <v>EDI</v>
          </cell>
          <cell r="L300">
            <v>4930</v>
          </cell>
          <cell r="N300" t="str">
            <v>Production</v>
          </cell>
          <cell r="O300" t="str">
            <v>No</v>
          </cell>
          <cell r="Q300" t="str">
            <v>Live</v>
          </cell>
          <cell r="R300">
            <v>46156.879444444443</v>
          </cell>
          <cell r="S300" t="str">
            <v>Mark Albert</v>
          </cell>
          <cell r="T300">
            <v>46176</v>
          </cell>
          <cell r="U300" t="str">
            <v>Trish Kalinczok</v>
          </cell>
          <cell r="V300">
            <v>46188</v>
          </cell>
          <cell r="W300">
            <v>46204</v>
          </cell>
          <cell r="Y300">
            <v>46174</v>
          </cell>
          <cell r="AC300">
            <v>46201</v>
          </cell>
        </row>
        <row r="301">
          <cell r="I301" t="str">
            <v>EDI</v>
          </cell>
          <cell r="L301">
            <v>4973</v>
          </cell>
          <cell r="N301" t="str">
            <v>Testing</v>
          </cell>
          <cell r="O301" t="str">
            <v>No</v>
          </cell>
          <cell r="Q301" t="str">
            <v>In Progress</v>
          </cell>
          <cell r="R301">
            <v>46155.786817129629</v>
          </cell>
          <cell r="S301" t="str">
            <v>Zeyad Khaled</v>
          </cell>
          <cell r="T301">
            <v>46180</v>
          </cell>
          <cell r="U301" t="str">
            <v>Rhettsmey Meak</v>
          </cell>
          <cell r="V301">
            <v>46197</v>
          </cell>
          <cell r="Y301">
            <v>46176</v>
          </cell>
        </row>
        <row r="302">
          <cell r="I302" t="str">
            <v>EDI</v>
          </cell>
          <cell r="L302">
            <v>4883</v>
          </cell>
          <cell r="N302" t="str">
            <v>Production</v>
          </cell>
          <cell r="O302" t="str">
            <v>No</v>
          </cell>
          <cell r="Q302" t="str">
            <v>Live</v>
          </cell>
          <cell r="R302">
            <v>46155.622835648152</v>
          </cell>
          <cell r="S302" t="str">
            <v>Andrew Ramy</v>
          </cell>
          <cell r="T302">
            <v>46156</v>
          </cell>
          <cell r="U302" t="str">
            <v>Amy Bergstrom</v>
          </cell>
          <cell r="V302">
            <v>46159</v>
          </cell>
          <cell r="W302">
            <v>46170</v>
          </cell>
          <cell r="AC302">
            <v>46163</v>
          </cell>
        </row>
        <row r="303">
          <cell r="I303" t="str">
            <v>EDI</v>
          </cell>
          <cell r="L303">
            <v>4944</v>
          </cell>
          <cell r="N303" t="str">
            <v>Testing</v>
          </cell>
          <cell r="O303" t="str">
            <v>No</v>
          </cell>
          <cell r="Q303" t="str">
            <v>In Progress</v>
          </cell>
          <cell r="R303">
            <v>46153.725532407407</v>
          </cell>
          <cell r="S303" t="str">
            <v>Reem Radwan</v>
          </cell>
          <cell r="T303">
            <v>46174</v>
          </cell>
          <cell r="U303" t="str">
            <v>Trish Kalinczok</v>
          </cell>
          <cell r="V303">
            <v>46202</v>
          </cell>
          <cell r="Y303">
            <v>46167</v>
          </cell>
        </row>
        <row r="304">
          <cell r="I304" t="str">
            <v>EDI</v>
          </cell>
          <cell r="L304">
            <v>4947</v>
          </cell>
          <cell r="N304" t="str">
            <v>Testing</v>
          </cell>
          <cell r="O304" t="str">
            <v>No</v>
          </cell>
          <cell r="Q304" t="str">
            <v>In Progress</v>
          </cell>
          <cell r="R304">
            <v>46153.56150462963</v>
          </cell>
          <cell r="S304" t="str">
            <v>Ahmed Ali</v>
          </cell>
          <cell r="T304">
            <v>46180</v>
          </cell>
          <cell r="U304" t="str">
            <v>Lonnie Celestin</v>
          </cell>
          <cell r="Y304">
            <v>46176</v>
          </cell>
        </row>
        <row r="305">
          <cell r="I305" t="str">
            <v>EDI</v>
          </cell>
          <cell r="N305" t="str">
            <v>Requirements Gathering</v>
          </cell>
          <cell r="O305" t="str">
            <v>No</v>
          </cell>
          <cell r="Q305" t="str">
            <v>Cancelled</v>
          </cell>
          <cell r="R305">
            <v>46149.847071759257</v>
          </cell>
          <cell r="S305" t="str">
            <v>Hady Sherif</v>
          </cell>
          <cell r="T305">
            <v>46161</v>
          </cell>
          <cell r="U305" t="str">
            <v>Gregory Dubec</v>
          </cell>
          <cell r="Y305">
            <v>46160</v>
          </cell>
        </row>
        <row r="306">
          <cell r="I306" t="str">
            <v>EDI</v>
          </cell>
          <cell r="L306">
            <v>4932</v>
          </cell>
          <cell r="N306" t="str">
            <v>Testing</v>
          </cell>
          <cell r="O306" t="str">
            <v>No</v>
          </cell>
          <cell r="Q306" t="str">
            <v>In Progress</v>
          </cell>
          <cell r="R306">
            <v>46149.819826388892</v>
          </cell>
          <cell r="S306" t="str">
            <v>Mirna Azmy</v>
          </cell>
          <cell r="T306">
            <v>46176</v>
          </cell>
          <cell r="U306" t="str">
            <v>Benjamin Labowitz</v>
          </cell>
          <cell r="V306">
            <v>46195</v>
          </cell>
          <cell r="Y306">
            <v>46176</v>
          </cell>
        </row>
        <row r="307">
          <cell r="I307" t="str">
            <v>EDI</v>
          </cell>
          <cell r="L307">
            <v>4901</v>
          </cell>
          <cell r="N307" t="str">
            <v>Testing</v>
          </cell>
          <cell r="O307" t="str">
            <v>No</v>
          </cell>
          <cell r="Q307" t="str">
            <v>In Progress</v>
          </cell>
          <cell r="R307">
            <v>46149.572881944441</v>
          </cell>
          <cell r="S307" t="str">
            <v>Poula Moheb</v>
          </cell>
          <cell r="T307">
            <v>46161</v>
          </cell>
          <cell r="U307" t="str">
            <v>Stephanie Finamore</v>
          </cell>
          <cell r="V307">
            <v>46187</v>
          </cell>
          <cell r="Y307">
            <v>46159</v>
          </cell>
        </row>
        <row r="308">
          <cell r="I308" t="str">
            <v>EDI</v>
          </cell>
          <cell r="L308">
            <v>4911</v>
          </cell>
          <cell r="N308" t="str">
            <v>Testing</v>
          </cell>
          <cell r="O308" t="str">
            <v>No</v>
          </cell>
          <cell r="Q308" t="str">
            <v>In Progress</v>
          </cell>
          <cell r="R308">
            <v>46148.777592592603</v>
          </cell>
          <cell r="S308" t="str">
            <v>Ahmed Ali</v>
          </cell>
          <cell r="T308">
            <v>46161</v>
          </cell>
          <cell r="U308" t="str">
            <v>Rhettsmey Meak</v>
          </cell>
          <cell r="V308">
            <v>46189</v>
          </cell>
          <cell r="Y308">
            <v>46154</v>
          </cell>
        </row>
        <row r="309">
          <cell r="I309" t="str">
            <v>EDI</v>
          </cell>
          <cell r="L309">
            <v>4972</v>
          </cell>
          <cell r="N309" t="str">
            <v>Testing</v>
          </cell>
          <cell r="O309" t="str">
            <v>No</v>
          </cell>
          <cell r="Q309" t="str">
            <v>In Progress</v>
          </cell>
          <cell r="R309">
            <v>46148.770624999997</v>
          </cell>
          <cell r="S309" t="str">
            <v>Zeyad Khaled</v>
          </cell>
          <cell r="T309">
            <v>46180</v>
          </cell>
          <cell r="U309" t="str">
            <v>Rhettsmey Meak</v>
          </cell>
          <cell r="V309">
            <v>46197</v>
          </cell>
          <cell r="Y309">
            <v>46176</v>
          </cell>
        </row>
        <row r="310">
          <cell r="I310" t="str">
            <v>EDI</v>
          </cell>
          <cell r="N310" t="str">
            <v>Pending Start</v>
          </cell>
          <cell r="O310" t="str">
            <v>No</v>
          </cell>
          <cell r="Q310" t="str">
            <v>Cancelled</v>
          </cell>
          <cell r="R310">
            <v>46148.589375000003</v>
          </cell>
          <cell r="U310" t="str">
            <v>Lonnie Celestin</v>
          </cell>
        </row>
        <row r="311">
          <cell r="I311" t="str">
            <v>EDI</v>
          </cell>
          <cell r="L311">
            <v>4894</v>
          </cell>
          <cell r="N311" t="str">
            <v>Testing</v>
          </cell>
          <cell r="O311" t="str">
            <v>No</v>
          </cell>
          <cell r="Q311" t="str">
            <v>In Progress</v>
          </cell>
          <cell r="R311">
            <v>46147.829398148147</v>
          </cell>
          <cell r="S311" t="str">
            <v>Andrew Ramy</v>
          </cell>
          <cell r="T311">
            <v>46159</v>
          </cell>
          <cell r="U311" t="str">
            <v>Robbie Schappell</v>
          </cell>
          <cell r="V311">
            <v>46174</v>
          </cell>
          <cell r="Y311">
            <v>46154</v>
          </cell>
        </row>
        <row r="312">
          <cell r="I312" t="str">
            <v>EDI</v>
          </cell>
          <cell r="L312">
            <v>4925</v>
          </cell>
          <cell r="N312" t="str">
            <v>Ready for Production</v>
          </cell>
          <cell r="O312" t="str">
            <v>No</v>
          </cell>
          <cell r="Q312" t="str">
            <v>In Progress</v>
          </cell>
          <cell r="R312">
            <v>46147.538206018522</v>
          </cell>
          <cell r="S312" t="str">
            <v>Mirna Azmy</v>
          </cell>
          <cell r="T312">
            <v>46161</v>
          </cell>
          <cell r="U312" t="str">
            <v>Peter Abdelmalek</v>
          </cell>
          <cell r="V312">
            <v>46180</v>
          </cell>
          <cell r="Y312">
            <v>46152</v>
          </cell>
        </row>
        <row r="313">
          <cell r="I313" t="str">
            <v>EDI</v>
          </cell>
          <cell r="L313">
            <v>4924</v>
          </cell>
          <cell r="N313" t="str">
            <v>Testing</v>
          </cell>
          <cell r="O313" t="str">
            <v>No</v>
          </cell>
          <cell r="Q313" t="str">
            <v>In Progress</v>
          </cell>
          <cell r="R313">
            <v>46147.538194444453</v>
          </cell>
          <cell r="S313" t="str">
            <v>Mirna Azmy</v>
          </cell>
          <cell r="T313">
            <v>46161</v>
          </cell>
          <cell r="U313" t="str">
            <v>Peter Abdelmalek</v>
          </cell>
          <cell r="V313">
            <v>46177</v>
          </cell>
          <cell r="Y313">
            <v>46152</v>
          </cell>
        </row>
        <row r="314">
          <cell r="I314" t="str">
            <v>EDI</v>
          </cell>
          <cell r="L314">
            <v>4852</v>
          </cell>
          <cell r="N314" t="str">
            <v>Production</v>
          </cell>
          <cell r="O314" t="str">
            <v>No</v>
          </cell>
          <cell r="Q314" t="str">
            <v>Live</v>
          </cell>
          <cell r="R314">
            <v>46147.447187500002</v>
          </cell>
          <cell r="S314" t="str">
            <v>Peter Abdelmalek</v>
          </cell>
          <cell r="T314">
            <v>46147</v>
          </cell>
          <cell r="U314" t="str">
            <v>Peter Abdelmalek</v>
          </cell>
          <cell r="V314">
            <v>46178</v>
          </cell>
          <cell r="W314">
            <v>46184</v>
          </cell>
          <cell r="AC314">
            <v>46182</v>
          </cell>
        </row>
        <row r="315">
          <cell r="I315" t="str">
            <v>EDI</v>
          </cell>
          <cell r="L315">
            <v>4850</v>
          </cell>
          <cell r="N315" t="str">
            <v>Production</v>
          </cell>
          <cell r="O315" t="str">
            <v>No</v>
          </cell>
          <cell r="Q315" t="str">
            <v>Live</v>
          </cell>
          <cell r="R315">
            <v>46147.447175925918</v>
          </cell>
          <cell r="S315" t="str">
            <v>Peter Abdelmalek</v>
          </cell>
          <cell r="T315">
            <v>46147</v>
          </cell>
          <cell r="U315" t="str">
            <v>Peter Abdelmalek</v>
          </cell>
          <cell r="V315">
            <v>46178</v>
          </cell>
          <cell r="W315">
            <v>46184</v>
          </cell>
          <cell r="AC315">
            <v>46182</v>
          </cell>
        </row>
        <row r="316">
          <cell r="I316" t="str">
            <v>EDI</v>
          </cell>
          <cell r="L316">
            <v>4851</v>
          </cell>
          <cell r="N316" t="str">
            <v>Production</v>
          </cell>
          <cell r="O316" t="str">
            <v>No</v>
          </cell>
          <cell r="Q316" t="str">
            <v>Live</v>
          </cell>
          <cell r="R316">
            <v>46147.447164351863</v>
          </cell>
          <cell r="S316" t="str">
            <v>Peter Abdelmalek</v>
          </cell>
          <cell r="T316">
            <v>46147</v>
          </cell>
          <cell r="U316" t="str">
            <v>Peter Abdelmalek</v>
          </cell>
          <cell r="V316">
            <v>46178</v>
          </cell>
          <cell r="W316">
            <v>46184</v>
          </cell>
          <cell r="AC316">
            <v>46182</v>
          </cell>
        </row>
        <row r="317">
          <cell r="I317" t="str">
            <v>EDI</v>
          </cell>
          <cell r="L317">
            <v>4849</v>
          </cell>
          <cell r="N317" t="str">
            <v>Production</v>
          </cell>
          <cell r="O317" t="str">
            <v>No</v>
          </cell>
          <cell r="Q317" t="str">
            <v>Live</v>
          </cell>
          <cell r="R317">
            <v>46147.447152777779</v>
          </cell>
          <cell r="S317" t="str">
            <v>Peter Abdelmalek</v>
          </cell>
          <cell r="T317">
            <v>46147</v>
          </cell>
          <cell r="U317" t="str">
            <v>Peter Abdelmalek</v>
          </cell>
          <cell r="V317">
            <v>46178</v>
          </cell>
          <cell r="W317">
            <v>46184</v>
          </cell>
          <cell r="AC317">
            <v>46182</v>
          </cell>
        </row>
        <row r="318">
          <cell r="I318" t="str">
            <v>EDI</v>
          </cell>
          <cell r="L318">
            <v>4929</v>
          </cell>
          <cell r="N318" t="str">
            <v>Testing</v>
          </cell>
          <cell r="O318" t="str">
            <v>No</v>
          </cell>
          <cell r="Q318" t="str">
            <v>In Progress</v>
          </cell>
          <cell r="R318">
            <v>46146.751469907409</v>
          </cell>
          <cell r="S318" t="str">
            <v>Zeyad Khaled</v>
          </cell>
          <cell r="T318">
            <v>46176</v>
          </cell>
          <cell r="U318" t="str">
            <v>Trish Kalinczok</v>
          </cell>
          <cell r="V318">
            <v>46177</v>
          </cell>
          <cell r="Y318">
            <v>46174</v>
          </cell>
        </row>
        <row r="319">
          <cell r="I319" t="str">
            <v>EDI</v>
          </cell>
          <cell r="L319">
            <v>4912</v>
          </cell>
          <cell r="N319" t="str">
            <v>Production</v>
          </cell>
          <cell r="O319" t="str">
            <v>No</v>
          </cell>
          <cell r="Q319" t="str">
            <v>Live</v>
          </cell>
          <cell r="R319">
            <v>46143.846921296303</v>
          </cell>
          <cell r="S319" t="str">
            <v>Alaa Yehia</v>
          </cell>
          <cell r="T319">
            <v>46159</v>
          </cell>
          <cell r="U319" t="str">
            <v>Trish Kalinczok</v>
          </cell>
          <cell r="V319">
            <v>46178</v>
          </cell>
          <cell r="Y319">
            <v>46145</v>
          </cell>
          <cell r="AC319">
            <v>46215</v>
          </cell>
        </row>
        <row r="320">
          <cell r="I320" t="str">
            <v>EDI</v>
          </cell>
          <cell r="L320">
            <v>4887</v>
          </cell>
          <cell r="N320" t="str">
            <v>Production</v>
          </cell>
          <cell r="O320" t="str">
            <v>No</v>
          </cell>
          <cell r="Q320" t="str">
            <v>Live</v>
          </cell>
          <cell r="R320">
            <v>46143.717210648138</v>
          </cell>
          <cell r="S320" t="str">
            <v>Giulie Alaa</v>
          </cell>
          <cell r="T320">
            <v>46159</v>
          </cell>
          <cell r="U320" t="str">
            <v>Tyler  Raposa</v>
          </cell>
          <cell r="V320">
            <v>46187</v>
          </cell>
          <cell r="W320">
            <v>46209</v>
          </cell>
          <cell r="Y320">
            <v>46154</v>
          </cell>
          <cell r="AC320">
            <v>46208</v>
          </cell>
        </row>
        <row r="321">
          <cell r="I321" t="str">
            <v>EDI</v>
          </cell>
          <cell r="L321">
            <v>4917</v>
          </cell>
          <cell r="N321" t="str">
            <v>Production</v>
          </cell>
          <cell r="O321" t="str">
            <v>No</v>
          </cell>
          <cell r="Q321" t="str">
            <v>Live</v>
          </cell>
          <cell r="R321">
            <v>46142.598113425927</v>
          </cell>
          <cell r="S321" t="str">
            <v>Omnia Abdelaziz</v>
          </cell>
          <cell r="T321">
            <v>46161</v>
          </cell>
          <cell r="U321" t="str">
            <v>Rhettsmey Meak</v>
          </cell>
          <cell r="V321">
            <v>46202</v>
          </cell>
          <cell r="Y321">
            <v>46152</v>
          </cell>
          <cell r="AC321">
            <v>46217</v>
          </cell>
        </row>
        <row r="322">
          <cell r="I322" t="str">
            <v>EDI</v>
          </cell>
          <cell r="L322">
            <v>4904</v>
          </cell>
          <cell r="N322" t="str">
            <v>Mapping</v>
          </cell>
          <cell r="O322" t="str">
            <v>eBenefits Network</v>
          </cell>
          <cell r="P322" t="str">
            <v>Phase 1 - Map Built</v>
          </cell>
          <cell r="Q322" t="str">
            <v>In Progress</v>
          </cell>
          <cell r="R322">
            <v>46141.922152777777</v>
          </cell>
          <cell r="S322" t="str">
            <v>Mark Albert</v>
          </cell>
          <cell r="T322">
            <v>46159</v>
          </cell>
          <cell r="U322" t="str">
            <v>Trish Kalinczok</v>
          </cell>
          <cell r="Y322">
            <v>46146</v>
          </cell>
        </row>
        <row r="323">
          <cell r="I323" t="str">
            <v>EDI</v>
          </cell>
          <cell r="L323">
            <v>5066</v>
          </cell>
          <cell r="N323" t="str">
            <v>Mapping</v>
          </cell>
          <cell r="O323" t="str">
            <v>No</v>
          </cell>
          <cell r="Q323" t="str">
            <v>In Progress</v>
          </cell>
          <cell r="R323">
            <v>46141.830706018518</v>
          </cell>
          <cell r="S323" t="str">
            <v>Giulie Alaa</v>
          </cell>
          <cell r="T323">
            <v>46211</v>
          </cell>
          <cell r="U323" t="str">
            <v>Rhettsmey Meak</v>
          </cell>
          <cell r="Y323">
            <v>46210</v>
          </cell>
        </row>
        <row r="324">
          <cell r="I324" t="str">
            <v>EDI</v>
          </cell>
          <cell r="L324">
            <v>4900</v>
          </cell>
          <cell r="N324" t="str">
            <v>Mapping</v>
          </cell>
          <cell r="O324" t="str">
            <v>No</v>
          </cell>
          <cell r="Q324" t="str">
            <v>In Progress</v>
          </cell>
          <cell r="R324">
            <v>46141.819837962961</v>
          </cell>
          <cell r="S324" t="str">
            <v>Giulie Alaa</v>
          </cell>
          <cell r="T324">
            <v>46161</v>
          </cell>
          <cell r="U324" t="str">
            <v>Rhettsmey Meak</v>
          </cell>
          <cell r="Y324">
            <v>46153</v>
          </cell>
        </row>
        <row r="325">
          <cell r="I325" t="str">
            <v>EDI</v>
          </cell>
          <cell r="L325">
            <v>4895</v>
          </cell>
          <cell r="N325" t="str">
            <v>Testing</v>
          </cell>
          <cell r="O325" t="str">
            <v>No</v>
          </cell>
          <cell r="Q325" t="str">
            <v>In Progress</v>
          </cell>
          <cell r="R325">
            <v>46141.782696759263</v>
          </cell>
          <cell r="S325" t="str">
            <v>Ahmed Ali</v>
          </cell>
          <cell r="T325">
            <v>46159</v>
          </cell>
          <cell r="U325" t="str">
            <v>Rhettsmey Meak</v>
          </cell>
          <cell r="V325">
            <v>46176</v>
          </cell>
          <cell r="Y325">
            <v>46154</v>
          </cell>
        </row>
        <row r="326">
          <cell r="I326" t="str">
            <v>EDI</v>
          </cell>
          <cell r="L326">
            <v>4865</v>
          </cell>
          <cell r="N326" t="str">
            <v>Production</v>
          </cell>
          <cell r="O326" t="str">
            <v>No</v>
          </cell>
          <cell r="Q326" t="str">
            <v>Live</v>
          </cell>
          <cell r="R326">
            <v>46141.781423611108</v>
          </cell>
          <cell r="S326" t="str">
            <v>Giulie Alaa</v>
          </cell>
          <cell r="T326">
            <v>46153</v>
          </cell>
          <cell r="U326" t="str">
            <v>Rhettsmey Meak</v>
          </cell>
          <cell r="V326">
            <v>46161</v>
          </cell>
          <cell r="W326">
            <v>46176</v>
          </cell>
          <cell r="Y326">
            <v>46147</v>
          </cell>
          <cell r="AC326">
            <v>46174</v>
          </cell>
        </row>
        <row r="327">
          <cell r="I327" t="str">
            <v>EDI</v>
          </cell>
          <cell r="N327" t="str">
            <v>Requirements Gathering</v>
          </cell>
          <cell r="O327" t="str">
            <v>No</v>
          </cell>
          <cell r="Q327" t="str">
            <v>Cancelled</v>
          </cell>
          <cell r="R327">
            <v>46141.749062499999</v>
          </cell>
          <cell r="S327" t="str">
            <v>Hady Sherif</v>
          </cell>
          <cell r="T327">
            <v>46142</v>
          </cell>
          <cell r="U327" t="str">
            <v>Rhettsmey Meak</v>
          </cell>
        </row>
        <row r="328">
          <cell r="I328" t="str">
            <v>EDI</v>
          </cell>
          <cell r="L328">
            <v>4611</v>
          </cell>
          <cell r="N328" t="str">
            <v>Production</v>
          </cell>
          <cell r="O328" t="str">
            <v>No</v>
          </cell>
          <cell r="Q328" t="str">
            <v>Live</v>
          </cell>
          <cell r="R328">
            <v>46141.649594907409</v>
          </cell>
          <cell r="S328" t="str">
            <v>Dina Medhat</v>
          </cell>
          <cell r="T328">
            <v>46190</v>
          </cell>
          <cell r="U328" t="str">
            <v>Beth Coon</v>
          </cell>
          <cell r="V328">
            <v>46121</v>
          </cell>
          <cell r="W328">
            <v>46155</v>
          </cell>
          <cell r="AC328">
            <v>46190</v>
          </cell>
        </row>
        <row r="329">
          <cell r="I329" t="str">
            <v>Forms</v>
          </cell>
          <cell r="L329" t="str">
            <v>[4863]</v>
          </cell>
          <cell r="N329" t="str">
            <v>Ready for Production</v>
          </cell>
          <cell r="O329" t="str">
            <v>No</v>
          </cell>
          <cell r="Q329" t="str">
            <v>In Progress</v>
          </cell>
          <cell r="R329">
            <v>46141.610833333332</v>
          </cell>
          <cell r="S329" t="str">
            <v>Reem Radwan</v>
          </cell>
          <cell r="T329">
            <v>46147</v>
          </cell>
          <cell r="U329" t="str">
            <v>Ron Anderson</v>
          </cell>
        </row>
        <row r="330">
          <cell r="I330" t="str">
            <v>EDI</v>
          </cell>
          <cell r="L330">
            <v>4835</v>
          </cell>
          <cell r="N330" t="str">
            <v>Production</v>
          </cell>
          <cell r="O330" t="str">
            <v>No</v>
          </cell>
          <cell r="Q330" t="str">
            <v>Live</v>
          </cell>
          <cell r="R330">
            <v>46141.560740740737</v>
          </cell>
          <cell r="S330" t="str">
            <v>Alaa Yehia</v>
          </cell>
          <cell r="T330">
            <v>46142</v>
          </cell>
          <cell r="U330" t="str">
            <v>Trish Kalinczok</v>
          </cell>
          <cell r="V330">
            <v>46154</v>
          </cell>
          <cell r="W330">
            <v>46170</v>
          </cell>
          <cell r="Y330">
            <v>46142</v>
          </cell>
          <cell r="AC330">
            <v>46170</v>
          </cell>
        </row>
        <row r="331">
          <cell r="I331" t="str">
            <v>EDI</v>
          </cell>
          <cell r="N331" t="str">
            <v>Requirements Gathering</v>
          </cell>
          <cell r="O331" t="str">
            <v>No</v>
          </cell>
          <cell r="Q331" t="str">
            <v>In Progress</v>
          </cell>
          <cell r="R331">
            <v>46141.546203703707</v>
          </cell>
          <cell r="S331" t="str">
            <v>Sandra Adel</v>
          </cell>
          <cell r="T331">
            <v>46147</v>
          </cell>
          <cell r="U331" t="str">
            <v>Angie Winter</v>
          </cell>
        </row>
        <row r="332">
          <cell r="I332" t="str">
            <v>EDI</v>
          </cell>
          <cell r="N332" t="str">
            <v>Requirements Gathering</v>
          </cell>
          <cell r="O332" t="str">
            <v>No</v>
          </cell>
          <cell r="Q332" t="str">
            <v>In Progress</v>
          </cell>
          <cell r="R332">
            <v>46141.54619212963</v>
          </cell>
          <cell r="S332" t="str">
            <v>Sandra Adel</v>
          </cell>
          <cell r="T332">
            <v>46147</v>
          </cell>
          <cell r="U332" t="str">
            <v>Angie Winter</v>
          </cell>
        </row>
        <row r="333">
          <cell r="I333" t="str">
            <v>EDI</v>
          </cell>
          <cell r="L333">
            <v>4971</v>
          </cell>
          <cell r="N333" t="str">
            <v>Mapping</v>
          </cell>
          <cell r="O333" t="str">
            <v>No</v>
          </cell>
          <cell r="Q333" t="str">
            <v>In Progress</v>
          </cell>
          <cell r="R333">
            <v>46141.490023148152</v>
          </cell>
          <cell r="S333" t="str">
            <v>Mirna Azmy</v>
          </cell>
          <cell r="T333">
            <v>46184</v>
          </cell>
          <cell r="U333" t="str">
            <v>Angie Winter</v>
          </cell>
          <cell r="V333">
            <v>46216</v>
          </cell>
          <cell r="Y333">
            <v>46183</v>
          </cell>
        </row>
        <row r="334">
          <cell r="I334" t="str">
            <v>EDI</v>
          </cell>
          <cell r="L334">
            <v>5040</v>
          </cell>
          <cell r="N334" t="str">
            <v>Mapping</v>
          </cell>
          <cell r="O334" t="str">
            <v>No</v>
          </cell>
          <cell r="Q334" t="str">
            <v>In Progress</v>
          </cell>
          <cell r="R334">
            <v>46141.490011574067</v>
          </cell>
          <cell r="S334" t="str">
            <v>Mirna Azmy</v>
          </cell>
          <cell r="T334">
            <v>46204</v>
          </cell>
          <cell r="U334" t="str">
            <v>Angie Winter</v>
          </cell>
          <cell r="Y334">
            <v>46202</v>
          </cell>
        </row>
        <row r="335">
          <cell r="I335" t="str">
            <v>EDI</v>
          </cell>
          <cell r="N335" t="str">
            <v>Requirements Gathering</v>
          </cell>
          <cell r="O335" t="str">
            <v>No</v>
          </cell>
          <cell r="Q335" t="str">
            <v>In Progress</v>
          </cell>
          <cell r="R335">
            <v>46141.490011574067</v>
          </cell>
          <cell r="S335" t="str">
            <v>Hady Sherif</v>
          </cell>
          <cell r="T335">
            <v>46142</v>
          </cell>
          <cell r="U335" t="str">
            <v>Angie Winter</v>
          </cell>
        </row>
        <row r="336">
          <cell r="I336" t="str">
            <v>Forms</v>
          </cell>
          <cell r="L336" t="str">
            <v>[4869]</v>
          </cell>
          <cell r="N336" t="str">
            <v>Production</v>
          </cell>
          <cell r="O336" t="str">
            <v>No</v>
          </cell>
          <cell r="Q336" t="str">
            <v>Live</v>
          </cell>
          <cell r="R336">
            <v>46140.869803240741</v>
          </cell>
          <cell r="S336" t="str">
            <v>Aya Fathy</v>
          </cell>
          <cell r="T336">
            <v>46147</v>
          </cell>
          <cell r="U336" t="str">
            <v>Ron Anderson</v>
          </cell>
          <cell r="AC336">
            <v>46216</v>
          </cell>
        </row>
        <row r="337">
          <cell r="I337" t="str">
            <v>EDI</v>
          </cell>
          <cell r="L337">
            <v>4848</v>
          </cell>
          <cell r="N337" t="str">
            <v>Production</v>
          </cell>
          <cell r="O337" t="str">
            <v>No</v>
          </cell>
          <cell r="Q337" t="str">
            <v>Live</v>
          </cell>
          <cell r="R337">
            <v>46140.734398148154</v>
          </cell>
          <cell r="S337" t="str">
            <v>Peter Abdelmalek</v>
          </cell>
          <cell r="T337">
            <v>46147</v>
          </cell>
          <cell r="U337" t="str">
            <v>Peter Abdelmalek</v>
          </cell>
          <cell r="V337">
            <v>46154</v>
          </cell>
          <cell r="W337">
            <v>46163</v>
          </cell>
          <cell r="Y337">
            <v>46146</v>
          </cell>
          <cell r="AC337">
            <v>46162</v>
          </cell>
        </row>
        <row r="338">
          <cell r="I338" t="str">
            <v>EDI</v>
          </cell>
          <cell r="L338">
            <v>4936</v>
          </cell>
          <cell r="N338" t="str">
            <v>Testing</v>
          </cell>
          <cell r="O338" t="str">
            <v>eBenefits Network</v>
          </cell>
          <cell r="P338" t="str">
            <v>Migration Testing</v>
          </cell>
          <cell r="Q338" t="str">
            <v>In Progress</v>
          </cell>
          <cell r="R338">
            <v>46139.840590277781</v>
          </cell>
          <cell r="S338" t="str">
            <v>Josephine Ossama</v>
          </cell>
          <cell r="T338">
            <v>46176</v>
          </cell>
          <cell r="U338" t="str">
            <v>Trish Kalinczok</v>
          </cell>
          <cell r="Y338">
            <v>46140</v>
          </cell>
        </row>
        <row r="339">
          <cell r="I339" t="str">
            <v>EDI</v>
          </cell>
          <cell r="L339">
            <v>4937</v>
          </cell>
          <cell r="N339" t="str">
            <v>Testing</v>
          </cell>
          <cell r="O339" t="str">
            <v>eBenefits Network</v>
          </cell>
          <cell r="P339" t="str">
            <v>Phase 3</v>
          </cell>
          <cell r="Q339" t="str">
            <v>In Progress</v>
          </cell>
          <cell r="R339">
            <v>46139.840578703697</v>
          </cell>
          <cell r="S339" t="str">
            <v>Josephine Ossama</v>
          </cell>
          <cell r="T339">
            <v>46176</v>
          </cell>
          <cell r="U339" t="str">
            <v>Trish Kalinczok</v>
          </cell>
          <cell r="V339">
            <v>46203</v>
          </cell>
          <cell r="Y339">
            <v>46140</v>
          </cell>
        </row>
        <row r="340">
          <cell r="I340" t="str">
            <v>EDI</v>
          </cell>
          <cell r="L340">
            <v>4886</v>
          </cell>
          <cell r="N340" t="str">
            <v>Production</v>
          </cell>
          <cell r="O340" t="str">
            <v>eBenefits Network</v>
          </cell>
          <cell r="P340" t="str">
            <v>Production</v>
          </cell>
          <cell r="Q340" t="str">
            <v>Live</v>
          </cell>
          <cell r="R340">
            <v>46139.840578703697</v>
          </cell>
          <cell r="S340" t="str">
            <v>Poula Moheb</v>
          </cell>
          <cell r="T340">
            <v>46159</v>
          </cell>
          <cell r="U340" t="str">
            <v>Trish Kalinczok</v>
          </cell>
          <cell r="V340">
            <v>46161</v>
          </cell>
          <cell r="W340">
            <v>46212</v>
          </cell>
          <cell r="Y340">
            <v>46140</v>
          </cell>
          <cell r="AC340">
            <v>46208</v>
          </cell>
        </row>
        <row r="341">
          <cell r="I341" t="str">
            <v>EDI</v>
          </cell>
          <cell r="L341">
            <v>4897</v>
          </cell>
          <cell r="N341" t="str">
            <v>Testing</v>
          </cell>
          <cell r="O341" t="str">
            <v>eBenefits Network</v>
          </cell>
          <cell r="P341" t="str">
            <v>Phase 3</v>
          </cell>
          <cell r="Q341" t="str">
            <v>In Progress</v>
          </cell>
          <cell r="R341">
            <v>46139.830775462957</v>
          </cell>
          <cell r="S341" t="str">
            <v>Alaa Yehia</v>
          </cell>
          <cell r="T341">
            <v>46156</v>
          </cell>
          <cell r="U341" t="str">
            <v>Trish Kalinczok</v>
          </cell>
          <cell r="V341">
            <v>46171</v>
          </cell>
          <cell r="Y341">
            <v>46141</v>
          </cell>
        </row>
        <row r="342">
          <cell r="I342" t="str">
            <v>EDI</v>
          </cell>
          <cell r="L342">
            <v>4896</v>
          </cell>
          <cell r="N342" t="str">
            <v>Testing</v>
          </cell>
          <cell r="O342" t="str">
            <v>eBenefits Network</v>
          </cell>
          <cell r="P342" t="str">
            <v>Phase 3</v>
          </cell>
          <cell r="Q342" t="str">
            <v>In Progress</v>
          </cell>
          <cell r="R342">
            <v>46139.830775462957</v>
          </cell>
          <cell r="S342" t="str">
            <v>Alaa Yehia</v>
          </cell>
          <cell r="T342">
            <v>46156</v>
          </cell>
          <cell r="U342" t="str">
            <v>Trish Kalinczok</v>
          </cell>
          <cell r="V342">
            <v>46164</v>
          </cell>
          <cell r="Y342">
            <v>46141</v>
          </cell>
        </row>
        <row r="343">
          <cell r="I343" t="str">
            <v>EDI</v>
          </cell>
          <cell r="L343">
            <v>4903</v>
          </cell>
          <cell r="N343" t="str">
            <v>Testing</v>
          </cell>
          <cell r="O343" t="str">
            <v>eBenefits Network</v>
          </cell>
          <cell r="P343" t="str">
            <v>Migration Testing</v>
          </cell>
          <cell r="Q343" t="str">
            <v>In Progress</v>
          </cell>
          <cell r="R343">
            <v>46139.820486111108</v>
          </cell>
          <cell r="S343" t="str">
            <v>Aya Fathy</v>
          </cell>
          <cell r="T343">
            <v>46159</v>
          </cell>
          <cell r="U343" t="str">
            <v>Trish Kalinczok</v>
          </cell>
          <cell r="V343">
            <v>46204</v>
          </cell>
          <cell r="Y343">
            <v>46141</v>
          </cell>
        </row>
        <row r="344">
          <cell r="I344" t="str">
            <v>EDI</v>
          </cell>
          <cell r="L344">
            <v>4866</v>
          </cell>
          <cell r="N344" t="str">
            <v>Production</v>
          </cell>
          <cell r="O344" t="str">
            <v>eBenefits Network</v>
          </cell>
          <cell r="P344" t="str">
            <v>Migration Testing</v>
          </cell>
          <cell r="Q344" t="str">
            <v>Live</v>
          </cell>
          <cell r="R344">
            <v>46139.820474537039</v>
          </cell>
          <cell r="S344" t="str">
            <v>Aya Fathy</v>
          </cell>
          <cell r="T344">
            <v>46148</v>
          </cell>
          <cell r="U344" t="str">
            <v>Trish Kalinczok</v>
          </cell>
          <cell r="V344">
            <v>46177</v>
          </cell>
          <cell r="W344">
            <v>46181</v>
          </cell>
          <cell r="Y344">
            <v>46141</v>
          </cell>
          <cell r="AC344">
            <v>46180</v>
          </cell>
        </row>
        <row r="345">
          <cell r="I345" t="str">
            <v>EDI</v>
          </cell>
          <cell r="L345">
            <v>4902</v>
          </cell>
          <cell r="N345" t="str">
            <v>Mapping</v>
          </cell>
          <cell r="O345" t="str">
            <v>eBenefits Network</v>
          </cell>
          <cell r="P345" t="str">
            <v>Phase 1 - Map Built</v>
          </cell>
          <cell r="Q345" t="str">
            <v>In Progress</v>
          </cell>
          <cell r="R345">
            <v>46139.820474537039</v>
          </cell>
          <cell r="S345" t="str">
            <v>Mark Albert</v>
          </cell>
          <cell r="T345">
            <v>46159</v>
          </cell>
          <cell r="U345" t="str">
            <v>Trish Kalinczok</v>
          </cell>
          <cell r="Y345">
            <v>46141</v>
          </cell>
        </row>
        <row r="346">
          <cell r="I346" t="str">
            <v>EDI</v>
          </cell>
          <cell r="L346">
            <v>4867</v>
          </cell>
          <cell r="N346" t="str">
            <v>Testing</v>
          </cell>
          <cell r="O346" t="str">
            <v>eBenefits Network</v>
          </cell>
          <cell r="P346" t="str">
            <v>Migration Testing</v>
          </cell>
          <cell r="Q346" t="str">
            <v>In Progress</v>
          </cell>
          <cell r="R346">
            <v>46139.820462962962</v>
          </cell>
          <cell r="S346" t="str">
            <v>Aya Fathy</v>
          </cell>
          <cell r="T346">
            <v>46148</v>
          </cell>
          <cell r="U346" t="str">
            <v>Trish Kalinczok</v>
          </cell>
          <cell r="V346">
            <v>46215</v>
          </cell>
          <cell r="Y346">
            <v>46141</v>
          </cell>
        </row>
        <row r="347">
          <cell r="I347" t="str">
            <v>EDI</v>
          </cell>
          <cell r="L347">
            <v>4874</v>
          </cell>
          <cell r="N347" t="str">
            <v>Testing</v>
          </cell>
          <cell r="O347" t="str">
            <v>eBenefits Network</v>
          </cell>
          <cell r="P347" t="str">
            <v>Phase 1 - Map Built</v>
          </cell>
          <cell r="Q347" t="str">
            <v>In Progress</v>
          </cell>
          <cell r="R347">
            <v>46139.808634259258</v>
          </cell>
          <cell r="S347" t="str">
            <v>Mark Albert</v>
          </cell>
          <cell r="T347">
            <v>46152</v>
          </cell>
          <cell r="U347" t="str">
            <v>Trish Kalinczok</v>
          </cell>
          <cell r="Y347">
            <v>46145</v>
          </cell>
        </row>
        <row r="348">
          <cell r="I348" t="str">
            <v>EDI</v>
          </cell>
          <cell r="L348">
            <v>4888</v>
          </cell>
          <cell r="N348" t="str">
            <v>Ready for Production</v>
          </cell>
          <cell r="O348" t="str">
            <v>eBenefits Network</v>
          </cell>
          <cell r="P348" t="str">
            <v>Migration Testing</v>
          </cell>
          <cell r="Q348" t="str">
            <v>In Progress</v>
          </cell>
          <cell r="R348">
            <v>46139.808622685188</v>
          </cell>
          <cell r="S348" t="str">
            <v>Josephine Ossama</v>
          </cell>
          <cell r="T348">
            <v>46152</v>
          </cell>
          <cell r="U348" t="str">
            <v>Trish Kalinczok</v>
          </cell>
          <cell r="V348">
            <v>46201</v>
          </cell>
          <cell r="Y348">
            <v>46145</v>
          </cell>
        </row>
        <row r="349">
          <cell r="I349" t="str">
            <v>EDI</v>
          </cell>
          <cell r="L349">
            <v>4876</v>
          </cell>
          <cell r="N349" t="str">
            <v>Testing</v>
          </cell>
          <cell r="O349" t="str">
            <v>eBenefits Network</v>
          </cell>
          <cell r="P349" t="str">
            <v>Migration Testing</v>
          </cell>
          <cell r="Q349" t="str">
            <v>In Progress</v>
          </cell>
          <cell r="R349">
            <v>46139.798831018517</v>
          </cell>
          <cell r="S349" t="str">
            <v>Reem Radwan</v>
          </cell>
          <cell r="T349">
            <v>46152</v>
          </cell>
          <cell r="U349" t="str">
            <v>Trish Kalinczok</v>
          </cell>
          <cell r="Y349">
            <v>46145</v>
          </cell>
        </row>
        <row r="350">
          <cell r="I350" t="str">
            <v>EDI</v>
          </cell>
          <cell r="L350">
            <v>4892</v>
          </cell>
          <cell r="N350" t="str">
            <v>Production</v>
          </cell>
          <cell r="O350" t="str">
            <v>eBenefits Network</v>
          </cell>
          <cell r="P350" t="str">
            <v>Production</v>
          </cell>
          <cell r="Q350" t="str">
            <v>Live</v>
          </cell>
          <cell r="R350">
            <v>46139.798819444448</v>
          </cell>
          <cell r="S350" t="str">
            <v>Mirna Azmy</v>
          </cell>
          <cell r="T350">
            <v>46152</v>
          </cell>
          <cell r="U350" t="str">
            <v>Trish Kalinczok</v>
          </cell>
          <cell r="V350">
            <v>46160</v>
          </cell>
          <cell r="W350">
            <v>46216</v>
          </cell>
          <cell r="Y350">
            <v>46145</v>
          </cell>
          <cell r="AC350">
            <v>46215</v>
          </cell>
        </row>
        <row r="351">
          <cell r="I351" t="str">
            <v>EDI</v>
          </cell>
          <cell r="L351">
            <v>4864</v>
          </cell>
          <cell r="N351" t="str">
            <v>Testing</v>
          </cell>
          <cell r="O351" t="str">
            <v>eBenefits Network</v>
          </cell>
          <cell r="P351" t="str">
            <v>Phase 3</v>
          </cell>
          <cell r="Q351" t="str">
            <v>In Progress</v>
          </cell>
          <cell r="R351">
            <v>46139.798807870371</v>
          </cell>
          <cell r="S351" t="str">
            <v>Alaa Yehia</v>
          </cell>
          <cell r="T351">
            <v>46152</v>
          </cell>
          <cell r="U351" t="str">
            <v>Trish Kalinczok</v>
          </cell>
          <cell r="Y351">
            <v>46145</v>
          </cell>
        </row>
        <row r="352">
          <cell r="I352" t="str">
            <v>EDI</v>
          </cell>
          <cell r="L352">
            <v>4877</v>
          </cell>
          <cell r="N352" t="str">
            <v>Testing</v>
          </cell>
          <cell r="O352" t="str">
            <v>eBenefits Network</v>
          </cell>
          <cell r="P352" t="str">
            <v>Phase 3</v>
          </cell>
          <cell r="Q352" t="str">
            <v>In Progress</v>
          </cell>
          <cell r="R352">
            <v>46139.798807870371</v>
          </cell>
          <cell r="S352" t="str">
            <v>Alaa Yehia</v>
          </cell>
          <cell r="T352">
            <v>46152</v>
          </cell>
          <cell r="U352" t="str">
            <v>Trish Kalinczok</v>
          </cell>
          <cell r="V352">
            <v>46181</v>
          </cell>
          <cell r="Y352">
            <v>46145</v>
          </cell>
        </row>
        <row r="353">
          <cell r="I353" t="str">
            <v>EDI</v>
          </cell>
          <cell r="L353">
            <v>4847</v>
          </cell>
          <cell r="N353" t="str">
            <v>Testing</v>
          </cell>
          <cell r="O353" t="str">
            <v>eBenefits Network</v>
          </cell>
          <cell r="P353" t="str">
            <v>Migration Testing</v>
          </cell>
          <cell r="Q353" t="str">
            <v>In Progress</v>
          </cell>
          <cell r="R353">
            <v>46139.782858796287</v>
          </cell>
          <cell r="S353" t="str">
            <v>Giulie Alaa</v>
          </cell>
          <cell r="T353">
            <v>46147</v>
          </cell>
          <cell r="U353" t="str">
            <v>Trish Kalinczok</v>
          </cell>
          <cell r="V353">
            <v>46153</v>
          </cell>
          <cell r="Y353">
            <v>46141</v>
          </cell>
        </row>
        <row r="354">
          <cell r="I354" t="str">
            <v>EDI</v>
          </cell>
          <cell r="L354">
            <v>4889</v>
          </cell>
          <cell r="N354" t="str">
            <v>Mapping</v>
          </cell>
          <cell r="O354" t="str">
            <v>eBenefits Network</v>
          </cell>
          <cell r="P354" t="str">
            <v>Phase 1 - Map Built</v>
          </cell>
          <cell r="Q354" t="str">
            <v>In Progress</v>
          </cell>
          <cell r="R354">
            <v>46139.782847222217</v>
          </cell>
          <cell r="S354" t="str">
            <v>Josephine Ossama</v>
          </cell>
          <cell r="T354">
            <v>46159</v>
          </cell>
          <cell r="U354" t="str">
            <v>Trish Kalinczok</v>
          </cell>
          <cell r="Y354">
            <v>46141</v>
          </cell>
        </row>
        <row r="355">
          <cell r="I355" t="str">
            <v>EDI</v>
          </cell>
          <cell r="L355">
            <v>4885</v>
          </cell>
          <cell r="N355" t="str">
            <v>Production</v>
          </cell>
          <cell r="O355" t="str">
            <v>No</v>
          </cell>
          <cell r="Q355" t="str">
            <v>Live</v>
          </cell>
          <cell r="R355">
            <v>46139.707997685182</v>
          </cell>
          <cell r="S355" t="str">
            <v>Karen Ramy</v>
          </cell>
          <cell r="T355">
            <v>46152</v>
          </cell>
          <cell r="U355" t="str">
            <v>Trish Kalinczok</v>
          </cell>
          <cell r="V355">
            <v>46176</v>
          </cell>
          <cell r="W355">
            <v>46208</v>
          </cell>
          <cell r="Y355">
            <v>46146</v>
          </cell>
          <cell r="AC355">
            <v>46198</v>
          </cell>
        </row>
        <row r="356">
          <cell r="I356" t="str">
            <v>EDI</v>
          </cell>
          <cell r="L356">
            <v>4968</v>
          </cell>
          <cell r="N356" t="str">
            <v>Testing</v>
          </cell>
          <cell r="O356" t="str">
            <v>No</v>
          </cell>
          <cell r="Q356" t="str">
            <v>In Progress</v>
          </cell>
          <cell r="R356">
            <v>46139.707986111112</v>
          </cell>
          <cell r="S356" t="str">
            <v>Aya Fathy</v>
          </cell>
          <cell r="T356">
            <v>46182</v>
          </cell>
          <cell r="U356" t="str">
            <v>Trish Kalinczok</v>
          </cell>
          <cell r="V356">
            <v>46194</v>
          </cell>
          <cell r="Y356">
            <v>46180</v>
          </cell>
        </row>
        <row r="357">
          <cell r="I357" t="str">
            <v>EDI</v>
          </cell>
          <cell r="L357">
            <v>5011</v>
          </cell>
          <cell r="N357" t="str">
            <v>Testing</v>
          </cell>
          <cell r="O357" t="str">
            <v>No</v>
          </cell>
          <cell r="Q357" t="str">
            <v>In Progress</v>
          </cell>
          <cell r="R357">
            <v>46139.555347222216</v>
          </cell>
          <cell r="S357" t="str">
            <v>Adham Akram</v>
          </cell>
          <cell r="T357">
            <v>46196</v>
          </cell>
          <cell r="U357" t="str">
            <v>Rhettsmey Meak</v>
          </cell>
          <cell r="Y357">
            <v>46195</v>
          </cell>
        </row>
        <row r="358">
          <cell r="I358" t="str">
            <v>EDI</v>
          </cell>
          <cell r="N358" t="str">
            <v>Requirements Gathering</v>
          </cell>
          <cell r="O358" t="str">
            <v>No</v>
          </cell>
          <cell r="Q358" t="str">
            <v>Cancelled</v>
          </cell>
          <cell r="R358">
            <v>46139.534918981481</v>
          </cell>
          <cell r="S358" t="str">
            <v>Hady Sherif</v>
          </cell>
          <cell r="T358">
            <v>46140</v>
          </cell>
          <cell r="U358" t="str">
            <v>Rhettsmey Meak</v>
          </cell>
        </row>
        <row r="359">
          <cell r="I359" t="str">
            <v>Forms</v>
          </cell>
          <cell r="L359" t="str">
            <v>[4830, 5019]</v>
          </cell>
          <cell r="N359" t="str">
            <v>Ready for Production</v>
          </cell>
          <cell r="O359" t="str">
            <v>Everything Benefits</v>
          </cell>
          <cell r="P359" t="str">
            <v>Migration Testing</v>
          </cell>
          <cell r="Q359" t="str">
            <v>In Progress</v>
          </cell>
          <cell r="R359">
            <v>46136.871365740742</v>
          </cell>
          <cell r="S359" t="str">
            <v>Reem Radwan</v>
          </cell>
          <cell r="T359">
            <v>46141</v>
          </cell>
          <cell r="U359" t="str">
            <v>Tammy Davies</v>
          </cell>
        </row>
        <row r="360">
          <cell r="I360" t="str">
            <v>EDI</v>
          </cell>
          <cell r="N360" t="str">
            <v>Pending Start</v>
          </cell>
          <cell r="O360" t="str">
            <v>Everything Benefits</v>
          </cell>
          <cell r="P360" t="str">
            <v>Phase 1 - Map Built</v>
          </cell>
          <cell r="Q360" t="str">
            <v>Cancelled</v>
          </cell>
          <cell r="R360">
            <v>46136.871354166673</v>
          </cell>
          <cell r="U360" t="str">
            <v>Tammy Davies</v>
          </cell>
        </row>
        <row r="361">
          <cell r="I361" t="str">
            <v>EDI</v>
          </cell>
          <cell r="L361">
            <v>4861</v>
          </cell>
          <cell r="N361" t="str">
            <v>Production</v>
          </cell>
          <cell r="O361" t="str">
            <v>No</v>
          </cell>
          <cell r="Q361" t="str">
            <v>Live</v>
          </cell>
          <cell r="R361">
            <v>46136.832233796304</v>
          </cell>
          <cell r="S361" t="str">
            <v>Marwan Tawfik</v>
          </cell>
          <cell r="T361">
            <v>46152</v>
          </cell>
          <cell r="U361" t="str">
            <v>Trish Kalinczok</v>
          </cell>
          <cell r="V361">
            <v>46177</v>
          </cell>
          <cell r="W361">
            <v>46188</v>
          </cell>
          <cell r="Y361">
            <v>46138</v>
          </cell>
          <cell r="AC361">
            <v>46181</v>
          </cell>
        </row>
        <row r="362">
          <cell r="I362" t="str">
            <v>EDI</v>
          </cell>
          <cell r="L362">
            <v>4860</v>
          </cell>
          <cell r="N362" t="str">
            <v>Production</v>
          </cell>
          <cell r="O362" t="str">
            <v>No</v>
          </cell>
          <cell r="Q362" t="str">
            <v>Live</v>
          </cell>
          <cell r="R362">
            <v>46136.83222222222</v>
          </cell>
          <cell r="S362" t="str">
            <v>Marwan Tawfik</v>
          </cell>
          <cell r="T362">
            <v>46152</v>
          </cell>
          <cell r="U362" t="str">
            <v>Trish Kalinczok</v>
          </cell>
          <cell r="V362">
            <v>46177</v>
          </cell>
          <cell r="W362">
            <v>46209</v>
          </cell>
          <cell r="Y362">
            <v>46145</v>
          </cell>
          <cell r="AC362">
            <v>46208</v>
          </cell>
        </row>
        <row r="363">
          <cell r="I363" t="str">
            <v>EDI</v>
          </cell>
          <cell r="L363">
            <v>4989</v>
          </cell>
          <cell r="N363" t="str">
            <v>Production</v>
          </cell>
          <cell r="O363" t="str">
            <v>No</v>
          </cell>
          <cell r="Q363" t="str">
            <v>Live</v>
          </cell>
          <cell r="R363">
            <v>46136.831782407397</v>
          </cell>
          <cell r="S363" t="str">
            <v>Aya Fathy</v>
          </cell>
          <cell r="T363">
            <v>46183</v>
          </cell>
          <cell r="U363" t="str">
            <v>Patrick Dillon</v>
          </cell>
          <cell r="V363">
            <v>46194</v>
          </cell>
          <cell r="W363">
            <v>46205</v>
          </cell>
          <cell r="Y363">
            <v>46180</v>
          </cell>
          <cell r="AC363">
            <v>46199</v>
          </cell>
        </row>
        <row r="364">
          <cell r="I364" t="str">
            <v>EDI</v>
          </cell>
          <cell r="L364">
            <v>4845</v>
          </cell>
          <cell r="N364" t="str">
            <v>Production</v>
          </cell>
          <cell r="O364" t="str">
            <v>No</v>
          </cell>
          <cell r="Q364" t="str">
            <v>Live</v>
          </cell>
          <cell r="R364">
            <v>46136.466226851851</v>
          </cell>
          <cell r="S364" t="str">
            <v>Zeyad Khaled</v>
          </cell>
          <cell r="T364">
            <v>46142</v>
          </cell>
          <cell r="U364" t="str">
            <v>Trish Kalinczok</v>
          </cell>
          <cell r="V364">
            <v>46167</v>
          </cell>
          <cell r="W364">
            <v>46188</v>
          </cell>
          <cell r="Y364">
            <v>46138</v>
          </cell>
          <cell r="AC364">
            <v>46184</v>
          </cell>
        </row>
        <row r="365">
          <cell r="I365" t="str">
            <v>EDI</v>
          </cell>
          <cell r="L365">
            <v>4857</v>
          </cell>
          <cell r="N365" t="str">
            <v>Testing</v>
          </cell>
          <cell r="O365" t="str">
            <v>eBenefits Network</v>
          </cell>
          <cell r="P365" t="str">
            <v>Phase 3</v>
          </cell>
          <cell r="Q365" t="str">
            <v>In Progress</v>
          </cell>
          <cell r="R365">
            <v>46136.051747685182</v>
          </cell>
          <cell r="S365" t="str">
            <v>Reem Radwan</v>
          </cell>
          <cell r="T365">
            <v>46148</v>
          </cell>
          <cell r="U365" t="str">
            <v>Amy Bergstrom</v>
          </cell>
          <cell r="V365">
            <v>46196</v>
          </cell>
          <cell r="Y365">
            <v>46141</v>
          </cell>
        </row>
        <row r="366">
          <cell r="I366" t="str">
            <v>EDI</v>
          </cell>
          <cell r="L366">
            <v>4858</v>
          </cell>
          <cell r="N366" t="str">
            <v>Testing</v>
          </cell>
          <cell r="O366" t="str">
            <v>eBenefits Network</v>
          </cell>
          <cell r="P366" t="str">
            <v>Migration Testing</v>
          </cell>
          <cell r="Q366" t="str">
            <v>In Progress</v>
          </cell>
          <cell r="R366">
            <v>46136.051736111112</v>
          </cell>
          <cell r="S366" t="str">
            <v>Reem Radwan</v>
          </cell>
          <cell r="T366">
            <v>46148</v>
          </cell>
          <cell r="U366" t="str">
            <v>Amy Bergstrom</v>
          </cell>
          <cell r="Y366">
            <v>46141</v>
          </cell>
        </row>
        <row r="367">
          <cell r="I367" t="str">
            <v>EDI</v>
          </cell>
          <cell r="L367">
            <v>4870</v>
          </cell>
          <cell r="N367" t="str">
            <v>Mapping</v>
          </cell>
          <cell r="O367" t="str">
            <v>eBenefits Network</v>
          </cell>
          <cell r="P367" t="str">
            <v>Map Under Review</v>
          </cell>
          <cell r="Q367" t="str">
            <v>In Progress</v>
          </cell>
          <cell r="R367">
            <v>46136.051701388889</v>
          </cell>
          <cell r="S367" t="str">
            <v>Ahmed Ali</v>
          </cell>
          <cell r="T367">
            <v>46152</v>
          </cell>
          <cell r="U367" t="str">
            <v>Amy Bergstrom</v>
          </cell>
          <cell r="Y367">
            <v>46141</v>
          </cell>
        </row>
        <row r="368">
          <cell r="I368" t="str">
            <v>EDI</v>
          </cell>
          <cell r="L368">
            <v>5043</v>
          </cell>
          <cell r="N368" t="str">
            <v>Testing</v>
          </cell>
          <cell r="O368" t="str">
            <v>No</v>
          </cell>
          <cell r="Q368" t="str">
            <v>In Progress</v>
          </cell>
          <cell r="R368">
            <v>46135.842268518521</v>
          </cell>
          <cell r="S368" t="str">
            <v>Andrew Ramy</v>
          </cell>
          <cell r="T368">
            <v>46196</v>
          </cell>
          <cell r="U368" t="str">
            <v>Tyler  Raposa</v>
          </cell>
          <cell r="V368">
            <v>46217</v>
          </cell>
          <cell r="Y368">
            <v>46196</v>
          </cell>
        </row>
        <row r="369">
          <cell r="I369" t="str">
            <v>EDI</v>
          </cell>
          <cell r="L369">
            <v>4953</v>
          </cell>
          <cell r="N369" t="str">
            <v>Testing</v>
          </cell>
          <cell r="O369" t="str">
            <v>No</v>
          </cell>
          <cell r="Q369" t="str">
            <v>In Progress</v>
          </cell>
          <cell r="R369">
            <v>46135.842256944437</v>
          </cell>
          <cell r="S369" t="str">
            <v>Andrew Ramy</v>
          </cell>
          <cell r="T369">
            <v>46180</v>
          </cell>
          <cell r="U369" t="str">
            <v>Tyler  Raposa</v>
          </cell>
          <cell r="V369">
            <v>46217</v>
          </cell>
          <cell r="Y369">
            <v>46180</v>
          </cell>
        </row>
        <row r="370">
          <cell r="I370" t="str">
            <v>EDI</v>
          </cell>
          <cell r="L370">
            <v>4831</v>
          </cell>
          <cell r="N370" t="str">
            <v>Requirements Gathering</v>
          </cell>
          <cell r="O370" t="str">
            <v>No</v>
          </cell>
          <cell r="Q370" t="str">
            <v>In Progress</v>
          </cell>
          <cell r="R370">
            <v>46135.842256944437</v>
          </cell>
          <cell r="S370" t="str">
            <v>Hady Sherif</v>
          </cell>
          <cell r="T370">
            <v>46138</v>
          </cell>
          <cell r="U370" t="str">
            <v>Tyler  Raposa</v>
          </cell>
        </row>
        <row r="371">
          <cell r="I371" t="str">
            <v>EDI</v>
          </cell>
          <cell r="N371" t="str">
            <v>Requirements Gathering</v>
          </cell>
          <cell r="O371" t="str">
            <v>No</v>
          </cell>
          <cell r="Q371" t="str">
            <v>In Progress</v>
          </cell>
          <cell r="R371">
            <v>46135.842222222222</v>
          </cell>
          <cell r="S371" t="str">
            <v>Hady Sherif</v>
          </cell>
          <cell r="T371">
            <v>46138</v>
          </cell>
          <cell r="U371" t="str">
            <v>Tyler  Raposa</v>
          </cell>
        </row>
        <row r="372">
          <cell r="I372" t="str">
            <v>EDI</v>
          </cell>
          <cell r="L372">
            <v>4915</v>
          </cell>
          <cell r="N372" t="str">
            <v>Production</v>
          </cell>
          <cell r="O372" t="str">
            <v>No</v>
          </cell>
          <cell r="Q372" t="str">
            <v>Live</v>
          </cell>
          <cell r="R372">
            <v>46135.584016203713</v>
          </cell>
          <cell r="S372" t="str">
            <v>Alaa Yehia</v>
          </cell>
          <cell r="T372">
            <v>46166</v>
          </cell>
          <cell r="U372" t="str">
            <v>Tracey Hicks</v>
          </cell>
          <cell r="V372">
            <v>46178</v>
          </cell>
          <cell r="W372">
            <v>46216</v>
          </cell>
          <cell r="Y372">
            <v>46153</v>
          </cell>
          <cell r="AC372">
            <v>46215</v>
          </cell>
        </row>
        <row r="373">
          <cell r="I373" t="str">
            <v>EDI</v>
          </cell>
          <cell r="N373" t="str">
            <v>Requirements Gathering</v>
          </cell>
          <cell r="O373" t="str">
            <v>No</v>
          </cell>
          <cell r="Q373" t="str">
            <v>In Progress</v>
          </cell>
          <cell r="R373">
            <v>46134.927546296298</v>
          </cell>
          <cell r="S373" t="str">
            <v>Sandra Adel</v>
          </cell>
          <cell r="T373">
            <v>46135</v>
          </cell>
          <cell r="U373" t="str">
            <v>Tyler  Raposa</v>
          </cell>
        </row>
        <row r="374">
          <cell r="I374" t="str">
            <v>EDI</v>
          </cell>
          <cell r="N374" t="str">
            <v>Requirements Gathering</v>
          </cell>
          <cell r="O374" t="str">
            <v>No</v>
          </cell>
          <cell r="Q374" t="str">
            <v>Cancelled</v>
          </cell>
          <cell r="R374">
            <v>46134.799224537041</v>
          </cell>
          <cell r="S374" t="str">
            <v>Sandra Adel</v>
          </cell>
          <cell r="T374">
            <v>46135</v>
          </cell>
          <cell r="U374" t="str">
            <v>Rhettsmey Meak</v>
          </cell>
        </row>
        <row r="375">
          <cell r="I375" t="str">
            <v>EDI</v>
          </cell>
          <cell r="L375">
            <v>4884</v>
          </cell>
          <cell r="N375" t="str">
            <v>Testing</v>
          </cell>
          <cell r="O375" t="str">
            <v>No</v>
          </cell>
          <cell r="Q375" t="str">
            <v>In Progress</v>
          </cell>
          <cell r="R375">
            <v>46134.754155092603</v>
          </cell>
          <cell r="S375" t="str">
            <v>Mark Albert</v>
          </cell>
          <cell r="T375">
            <v>46155</v>
          </cell>
          <cell r="U375" t="str">
            <v>Rhettsmey Meak</v>
          </cell>
          <cell r="Y375">
            <v>46153</v>
          </cell>
        </row>
        <row r="376">
          <cell r="I376" t="str">
            <v>EDI</v>
          </cell>
          <cell r="L376">
            <v>4922</v>
          </cell>
          <cell r="N376" t="str">
            <v>Testing</v>
          </cell>
          <cell r="O376" t="str">
            <v>No</v>
          </cell>
          <cell r="Q376" t="str">
            <v>In Progress</v>
          </cell>
          <cell r="R376">
            <v>46134.75273148148</v>
          </cell>
          <cell r="S376" t="str">
            <v>Poula Moheb</v>
          </cell>
          <cell r="T376">
            <v>46174</v>
          </cell>
          <cell r="U376" t="str">
            <v>Rhettsmey Meak</v>
          </cell>
          <cell r="Y376">
            <v>46167</v>
          </cell>
        </row>
        <row r="377">
          <cell r="I377" t="str">
            <v>EDI</v>
          </cell>
          <cell r="L377">
            <v>4927</v>
          </cell>
          <cell r="N377" t="str">
            <v>Testing</v>
          </cell>
          <cell r="O377" t="str">
            <v>No</v>
          </cell>
          <cell r="Q377" t="str">
            <v>In Progress</v>
          </cell>
          <cell r="R377">
            <v>46134.54483796296</v>
          </cell>
          <cell r="S377" t="str">
            <v>Zeyad Khaled</v>
          </cell>
          <cell r="T377">
            <v>46174</v>
          </cell>
          <cell r="U377" t="str">
            <v>Lindsay Hudacik</v>
          </cell>
          <cell r="V377">
            <v>46210</v>
          </cell>
          <cell r="Y377">
            <v>46174</v>
          </cell>
        </row>
        <row r="378">
          <cell r="I378" t="str">
            <v>EDI</v>
          </cell>
          <cell r="L378">
            <v>4862</v>
          </cell>
          <cell r="N378" t="str">
            <v>Testing</v>
          </cell>
          <cell r="O378" t="str">
            <v>No</v>
          </cell>
          <cell r="Q378" t="str">
            <v>In Progress</v>
          </cell>
          <cell r="R378">
            <v>46134.54483796296</v>
          </cell>
          <cell r="S378" t="str">
            <v>Alaa Yehia</v>
          </cell>
          <cell r="T378">
            <v>46147</v>
          </cell>
          <cell r="U378" t="str">
            <v>Lindsay Hudacik</v>
          </cell>
          <cell r="V378">
            <v>46197</v>
          </cell>
          <cell r="Y378">
            <v>46142</v>
          </cell>
        </row>
        <row r="379">
          <cell r="I379" t="str">
            <v>EDI</v>
          </cell>
          <cell r="L379">
            <v>4871</v>
          </cell>
          <cell r="N379" t="str">
            <v>Testing</v>
          </cell>
          <cell r="O379" t="str">
            <v>No</v>
          </cell>
          <cell r="Q379" t="str">
            <v>In Progress</v>
          </cell>
          <cell r="R379">
            <v>46134.54482638889</v>
          </cell>
          <cell r="S379" t="str">
            <v>Ahmed Ali</v>
          </cell>
          <cell r="T379">
            <v>46154</v>
          </cell>
          <cell r="U379" t="str">
            <v>Lindsay Hudacik</v>
          </cell>
          <cell r="V379">
            <v>46154</v>
          </cell>
          <cell r="Y379">
            <v>46154</v>
          </cell>
        </row>
        <row r="380">
          <cell r="I380" t="str">
            <v>EDI</v>
          </cell>
          <cell r="L380">
            <v>4873</v>
          </cell>
          <cell r="N380" t="str">
            <v>Testing</v>
          </cell>
          <cell r="O380" t="str">
            <v>No</v>
          </cell>
          <cell r="Q380" t="str">
            <v>In Progress</v>
          </cell>
          <cell r="R380">
            <v>46134.544814814813</v>
          </cell>
          <cell r="S380" t="str">
            <v>Ahmed Ali</v>
          </cell>
          <cell r="T380">
            <v>46154</v>
          </cell>
          <cell r="U380" t="str">
            <v>Lindsay Hudacik</v>
          </cell>
          <cell r="V380">
            <v>46196</v>
          </cell>
          <cell r="Y380">
            <v>46154</v>
          </cell>
        </row>
        <row r="381">
          <cell r="I381" t="str">
            <v>EDI</v>
          </cell>
          <cell r="L381">
            <v>4843</v>
          </cell>
          <cell r="N381" t="str">
            <v>Production</v>
          </cell>
          <cell r="O381" t="str">
            <v>eBenefits Network</v>
          </cell>
          <cell r="P381" t="str">
            <v>Migration Testing</v>
          </cell>
          <cell r="Q381" t="str">
            <v>Live</v>
          </cell>
          <cell r="R381">
            <v>46133.817141203697</v>
          </cell>
          <cell r="S381" t="str">
            <v>Aya Fathy</v>
          </cell>
          <cell r="T381">
            <v>46145</v>
          </cell>
          <cell r="U381" t="str">
            <v>Trish Kalinczok</v>
          </cell>
          <cell r="V381">
            <v>46177</v>
          </cell>
          <cell r="W381">
            <v>46198</v>
          </cell>
          <cell r="Y381">
            <v>46134</v>
          </cell>
          <cell r="AC381">
            <v>46195</v>
          </cell>
        </row>
        <row r="382">
          <cell r="I382" t="str">
            <v>EDI</v>
          </cell>
          <cell r="L382">
            <v>4841</v>
          </cell>
          <cell r="N382" t="str">
            <v>Production</v>
          </cell>
          <cell r="O382" t="str">
            <v>eBenefits Network</v>
          </cell>
          <cell r="P382" t="str">
            <v>Production</v>
          </cell>
          <cell r="Q382" t="str">
            <v>Live</v>
          </cell>
          <cell r="R382">
            <v>46133.817129629628</v>
          </cell>
          <cell r="S382" t="str">
            <v>Mirna Azmy</v>
          </cell>
          <cell r="T382">
            <v>46145</v>
          </cell>
          <cell r="U382" t="str">
            <v>Trish Kalinczok</v>
          </cell>
          <cell r="V382">
            <v>46175</v>
          </cell>
          <cell r="W382">
            <v>46190</v>
          </cell>
          <cell r="Y382">
            <v>46134</v>
          </cell>
          <cell r="AC382">
            <v>46183</v>
          </cell>
        </row>
        <row r="383">
          <cell r="I383" t="str">
            <v>EDI</v>
          </cell>
          <cell r="L383">
            <v>4890</v>
          </cell>
          <cell r="N383" t="str">
            <v>Mapping</v>
          </cell>
          <cell r="O383" t="str">
            <v>eBenefits Network</v>
          </cell>
          <cell r="P383" t="str">
            <v>Phase 1 - Map Built</v>
          </cell>
          <cell r="Q383" t="str">
            <v>In Progress</v>
          </cell>
          <cell r="R383">
            <v>46133.817118055558</v>
          </cell>
          <cell r="S383" t="str">
            <v>Josephine Ossama</v>
          </cell>
          <cell r="T383">
            <v>46145</v>
          </cell>
          <cell r="U383" t="str">
            <v>Trish Kalinczok</v>
          </cell>
          <cell r="Y383">
            <v>46134</v>
          </cell>
        </row>
        <row r="384">
          <cell r="I384" t="str">
            <v>EDI</v>
          </cell>
          <cell r="L384">
            <v>4859</v>
          </cell>
          <cell r="N384" t="str">
            <v>Testing</v>
          </cell>
          <cell r="O384" t="str">
            <v>eBenefits Network</v>
          </cell>
          <cell r="P384" t="str">
            <v>Migration Testing</v>
          </cell>
          <cell r="Q384" t="str">
            <v>In Progress</v>
          </cell>
          <cell r="R384">
            <v>46133.817106481481</v>
          </cell>
          <cell r="S384" t="str">
            <v>Mirna Azmy</v>
          </cell>
          <cell r="T384">
            <v>46147</v>
          </cell>
          <cell r="U384" t="str">
            <v>Trish Kalinczok</v>
          </cell>
          <cell r="V384">
            <v>46211</v>
          </cell>
          <cell r="Y384">
            <v>46140</v>
          </cell>
        </row>
        <row r="385">
          <cell r="I385" t="str">
            <v>EDI</v>
          </cell>
          <cell r="L385">
            <v>4836</v>
          </cell>
          <cell r="N385" t="str">
            <v>Production</v>
          </cell>
          <cell r="O385" t="str">
            <v>eBenefits Network</v>
          </cell>
          <cell r="P385" t="str">
            <v>Production</v>
          </cell>
          <cell r="Q385" t="str">
            <v>Live</v>
          </cell>
          <cell r="R385">
            <v>46133.817094907397</v>
          </cell>
          <cell r="S385" t="str">
            <v>Karen Ramy</v>
          </cell>
          <cell r="T385">
            <v>46145</v>
          </cell>
          <cell r="U385" t="str">
            <v>Trish Kalinczok</v>
          </cell>
          <cell r="V385">
            <v>46158</v>
          </cell>
          <cell r="W385">
            <v>46205</v>
          </cell>
          <cell r="Y385">
            <v>46140</v>
          </cell>
          <cell r="AC385">
            <v>46204</v>
          </cell>
        </row>
        <row r="386">
          <cell r="I386" t="str">
            <v>EDI</v>
          </cell>
          <cell r="L386">
            <v>4838</v>
          </cell>
          <cell r="N386" t="str">
            <v>Production</v>
          </cell>
          <cell r="O386" t="str">
            <v>eBenefits Network</v>
          </cell>
          <cell r="P386" t="str">
            <v>Production</v>
          </cell>
          <cell r="Q386" t="str">
            <v>Live</v>
          </cell>
          <cell r="R386">
            <v>46133.689444444448</v>
          </cell>
          <cell r="S386" t="str">
            <v>Reem Radwan</v>
          </cell>
          <cell r="T386">
            <v>46145</v>
          </cell>
          <cell r="U386" t="str">
            <v>Trish Kalinczok</v>
          </cell>
          <cell r="V386">
            <v>46177</v>
          </cell>
          <cell r="Y386">
            <v>46141</v>
          </cell>
          <cell r="AC386">
            <v>46217</v>
          </cell>
        </row>
        <row r="387">
          <cell r="I387" t="str">
            <v>EDI</v>
          </cell>
          <cell r="L387">
            <v>4868</v>
          </cell>
          <cell r="N387" t="str">
            <v>Testing</v>
          </cell>
          <cell r="O387" t="str">
            <v>eBenefits Network</v>
          </cell>
          <cell r="P387" t="str">
            <v>Migration Testing</v>
          </cell>
          <cell r="Q387" t="str">
            <v>In Progress</v>
          </cell>
          <cell r="R387">
            <v>46133.689444444448</v>
          </cell>
          <cell r="S387" t="str">
            <v>Andrew Ramy</v>
          </cell>
          <cell r="T387">
            <v>46145</v>
          </cell>
          <cell r="U387" t="str">
            <v>Trish Kalinczok</v>
          </cell>
          <cell r="V387">
            <v>46153</v>
          </cell>
          <cell r="Y387">
            <v>46141</v>
          </cell>
        </row>
        <row r="388">
          <cell r="I388" t="str">
            <v>EDI</v>
          </cell>
          <cell r="L388">
            <v>4846</v>
          </cell>
          <cell r="N388" t="str">
            <v>Testing</v>
          </cell>
          <cell r="O388" t="str">
            <v>eBenefits Network</v>
          </cell>
          <cell r="P388" t="str">
            <v>Phase 1 - Map Built</v>
          </cell>
          <cell r="Q388" t="str">
            <v>In Progress</v>
          </cell>
          <cell r="R388">
            <v>46133.689432870371</v>
          </cell>
          <cell r="S388" t="str">
            <v>Mark Albert</v>
          </cell>
          <cell r="T388">
            <v>46145</v>
          </cell>
          <cell r="U388" t="str">
            <v>Trish Kalinczok</v>
          </cell>
          <cell r="Y388">
            <v>46141</v>
          </cell>
        </row>
        <row r="389">
          <cell r="I389" t="str">
            <v>EDI</v>
          </cell>
          <cell r="L389">
            <v>4856</v>
          </cell>
          <cell r="N389" t="str">
            <v>Production</v>
          </cell>
          <cell r="O389" t="str">
            <v>eBenefits Network</v>
          </cell>
          <cell r="P389" t="str">
            <v>Production</v>
          </cell>
          <cell r="Q389" t="str">
            <v>Live</v>
          </cell>
          <cell r="R389">
            <v>46133.689375000002</v>
          </cell>
          <cell r="S389" t="str">
            <v>Andrew Ramy</v>
          </cell>
          <cell r="T389">
            <v>46145</v>
          </cell>
          <cell r="U389" t="str">
            <v>Trish Kalinczok</v>
          </cell>
          <cell r="V389">
            <v>46151</v>
          </cell>
          <cell r="W389">
            <v>46195</v>
          </cell>
          <cell r="Y389">
            <v>46141</v>
          </cell>
          <cell r="AC389">
            <v>46190</v>
          </cell>
        </row>
        <row r="390">
          <cell r="I390" t="str">
            <v>EDI</v>
          </cell>
          <cell r="L390">
            <v>4893</v>
          </cell>
          <cell r="N390" t="str">
            <v>Mapping</v>
          </cell>
          <cell r="O390" t="str">
            <v>No</v>
          </cell>
          <cell r="Q390" t="str">
            <v>In Progress</v>
          </cell>
          <cell r="R390">
            <v>46132.808749999997</v>
          </cell>
          <cell r="S390" t="str">
            <v>Mirna Azmy</v>
          </cell>
          <cell r="T390">
            <v>46155</v>
          </cell>
          <cell r="U390" t="str">
            <v>Rhettsmey Meak</v>
          </cell>
          <cell r="Y390">
            <v>46153</v>
          </cell>
        </row>
        <row r="391">
          <cell r="I391" t="str">
            <v>EDI</v>
          </cell>
          <cell r="L391">
            <v>4990</v>
          </cell>
          <cell r="N391" t="str">
            <v>Mapping</v>
          </cell>
          <cell r="O391" t="str">
            <v>No</v>
          </cell>
          <cell r="Q391" t="str">
            <v>In Progress</v>
          </cell>
          <cell r="R391">
            <v>46132.704675925917</v>
          </cell>
          <cell r="S391" t="str">
            <v>Dina Medhat</v>
          </cell>
          <cell r="T391">
            <v>46133</v>
          </cell>
          <cell r="U391" t="str">
            <v>Lindsay Hudacik</v>
          </cell>
        </row>
        <row r="392">
          <cell r="I392" t="str">
            <v>EDI</v>
          </cell>
          <cell r="L392">
            <v>4990</v>
          </cell>
          <cell r="N392" t="str">
            <v>Testing</v>
          </cell>
          <cell r="O392" t="str">
            <v>No</v>
          </cell>
          <cell r="Q392" t="str">
            <v>In Progress</v>
          </cell>
          <cell r="R392">
            <v>46132.703148148154</v>
          </cell>
          <cell r="S392" t="str">
            <v>Omnia Abdelaziz</v>
          </cell>
          <cell r="T392">
            <v>46190</v>
          </cell>
          <cell r="U392" t="str">
            <v>Lindsay Hudacik</v>
          </cell>
          <cell r="Y392">
            <v>46188</v>
          </cell>
        </row>
        <row r="393">
          <cell r="I393" t="str">
            <v>EDI</v>
          </cell>
          <cell r="L393">
            <v>4882</v>
          </cell>
          <cell r="N393" t="str">
            <v>Production</v>
          </cell>
          <cell r="O393" t="str">
            <v>No</v>
          </cell>
          <cell r="Q393" t="str">
            <v>Live</v>
          </cell>
          <cell r="R393">
            <v>46132.65828703704</v>
          </cell>
          <cell r="S393" t="str">
            <v>Andrew Ramy</v>
          </cell>
          <cell r="T393">
            <v>46147</v>
          </cell>
          <cell r="U393" t="str">
            <v>Amy Bergstrom</v>
          </cell>
          <cell r="V393">
            <v>46159</v>
          </cell>
          <cell r="W393">
            <v>46163</v>
          </cell>
          <cell r="Y393">
            <v>46145</v>
          </cell>
          <cell r="AC393">
            <v>46163</v>
          </cell>
        </row>
        <row r="394">
          <cell r="I394" t="str">
            <v>EDI</v>
          </cell>
          <cell r="L394">
            <v>4878</v>
          </cell>
          <cell r="N394" t="str">
            <v>Testing</v>
          </cell>
          <cell r="O394" t="str">
            <v>No</v>
          </cell>
          <cell r="Q394" t="str">
            <v>Cancelled</v>
          </cell>
          <cell r="R394">
            <v>46132.561828703707</v>
          </cell>
          <cell r="S394" t="str">
            <v>Omnia Abdelaziz</v>
          </cell>
          <cell r="T394">
            <v>46147</v>
          </cell>
          <cell r="U394" t="str">
            <v>Trish Kalinczok</v>
          </cell>
          <cell r="Y394">
            <v>46145</v>
          </cell>
        </row>
        <row r="395">
          <cell r="I395" t="str">
            <v>EDI</v>
          </cell>
          <cell r="L395">
            <v>4879</v>
          </cell>
          <cell r="N395" t="str">
            <v>Production</v>
          </cell>
          <cell r="O395" t="str">
            <v>No</v>
          </cell>
          <cell r="Q395" t="str">
            <v>Live</v>
          </cell>
          <cell r="R395">
            <v>46132.561805555553</v>
          </cell>
          <cell r="S395" t="str">
            <v>Omnia Abdelaziz</v>
          </cell>
          <cell r="T395">
            <v>46147</v>
          </cell>
          <cell r="U395" t="str">
            <v>Trish Kalinczok</v>
          </cell>
          <cell r="V395">
            <v>46196</v>
          </cell>
          <cell r="W395">
            <v>46213</v>
          </cell>
          <cell r="Y395">
            <v>46145</v>
          </cell>
          <cell r="AC395">
            <v>46212</v>
          </cell>
        </row>
        <row r="396">
          <cell r="I396" t="str">
            <v>EDI</v>
          </cell>
          <cell r="L396">
            <v>4825</v>
          </cell>
          <cell r="N396" t="str">
            <v>Ready for Production</v>
          </cell>
          <cell r="O396" t="str">
            <v>No</v>
          </cell>
          <cell r="Q396" t="str">
            <v>In Progress</v>
          </cell>
          <cell r="R396">
            <v>46128.901597222219</v>
          </cell>
          <cell r="S396" t="str">
            <v>Karen Ramy</v>
          </cell>
          <cell r="T396">
            <v>46140</v>
          </cell>
          <cell r="U396" t="str">
            <v>Trish Kalinczok</v>
          </cell>
          <cell r="V396">
            <v>46151</v>
          </cell>
          <cell r="Y396">
            <v>46133</v>
          </cell>
        </row>
        <row r="397">
          <cell r="I397" t="str">
            <v>EDI</v>
          </cell>
          <cell r="N397" t="str">
            <v>Pending Start</v>
          </cell>
          <cell r="O397" t="str">
            <v>No</v>
          </cell>
          <cell r="Q397" t="str">
            <v>Cancelled</v>
          </cell>
          <cell r="R397">
            <v>46126.904039351852</v>
          </cell>
          <cell r="U397" t="str">
            <v>Gregory Dubec</v>
          </cell>
        </row>
        <row r="398">
          <cell r="I398" t="str">
            <v>EDI</v>
          </cell>
          <cell r="L398">
            <v>4898</v>
          </cell>
          <cell r="N398" t="str">
            <v>Production</v>
          </cell>
          <cell r="O398" t="str">
            <v>No</v>
          </cell>
          <cell r="Q398" t="str">
            <v>Live</v>
          </cell>
          <cell r="R398">
            <v>46126.826979166668</v>
          </cell>
          <cell r="S398" t="str">
            <v>Aya Fathy</v>
          </cell>
          <cell r="T398">
            <v>46152</v>
          </cell>
          <cell r="U398" t="str">
            <v>Tyler  Raposa</v>
          </cell>
          <cell r="V398">
            <v>46181</v>
          </cell>
          <cell r="W398">
            <v>46198</v>
          </cell>
          <cell r="Y398">
            <v>46148</v>
          </cell>
          <cell r="AC398">
            <v>46196</v>
          </cell>
        </row>
        <row r="399">
          <cell r="I399" t="str">
            <v>EDI</v>
          </cell>
          <cell r="L399">
            <v>4899</v>
          </cell>
          <cell r="N399" t="str">
            <v>Production</v>
          </cell>
          <cell r="O399" t="str">
            <v>No</v>
          </cell>
          <cell r="Q399" t="str">
            <v>Live</v>
          </cell>
          <cell r="R399">
            <v>46126.826956018522</v>
          </cell>
          <cell r="S399" t="str">
            <v>Aya Fathy</v>
          </cell>
          <cell r="T399">
            <v>46152</v>
          </cell>
          <cell r="U399" t="str">
            <v>Tyler  Raposa</v>
          </cell>
          <cell r="V399">
            <v>46166</v>
          </cell>
          <cell r="W399">
            <v>46196</v>
          </cell>
          <cell r="Y399">
            <v>46148</v>
          </cell>
          <cell r="AC399">
            <v>46196</v>
          </cell>
        </row>
        <row r="400">
          <cell r="I400" t="str">
            <v>EDI</v>
          </cell>
          <cell r="L400">
            <v>4839</v>
          </cell>
          <cell r="N400" t="str">
            <v>Testing</v>
          </cell>
          <cell r="O400" t="str">
            <v>eBenefits Network</v>
          </cell>
          <cell r="P400" t="str">
            <v>Migration Testing</v>
          </cell>
          <cell r="Q400" t="str">
            <v>In Progress</v>
          </cell>
          <cell r="R400">
            <v>46126.825937499998</v>
          </cell>
          <cell r="S400" t="str">
            <v>Ahmed Ali</v>
          </cell>
          <cell r="T400">
            <v>46145</v>
          </cell>
          <cell r="U400" t="str">
            <v>Trish Kalinczok</v>
          </cell>
          <cell r="V400">
            <v>46202</v>
          </cell>
          <cell r="Y400">
            <v>46129</v>
          </cell>
        </row>
        <row r="401">
          <cell r="I401" t="str">
            <v>EDI</v>
          </cell>
          <cell r="L401">
            <v>4833</v>
          </cell>
          <cell r="N401" t="str">
            <v>Production</v>
          </cell>
          <cell r="O401" t="str">
            <v>eBenefits Network</v>
          </cell>
          <cell r="P401" t="str">
            <v>Migration Testing</v>
          </cell>
          <cell r="Q401" t="str">
            <v>Live</v>
          </cell>
          <cell r="R401">
            <v>46126.825925925928</v>
          </cell>
          <cell r="S401" t="str">
            <v>Aya Fathy</v>
          </cell>
          <cell r="T401">
            <v>46140</v>
          </cell>
          <cell r="U401" t="str">
            <v>Trish Kalinczok</v>
          </cell>
          <cell r="V401">
            <v>25569</v>
          </cell>
          <cell r="W401">
            <v>46206</v>
          </cell>
          <cell r="Y401">
            <v>46129</v>
          </cell>
          <cell r="AC401">
            <v>46203</v>
          </cell>
        </row>
        <row r="402">
          <cell r="I402" t="str">
            <v>EDI</v>
          </cell>
          <cell r="L402">
            <v>4834</v>
          </cell>
          <cell r="N402" t="str">
            <v>Testing</v>
          </cell>
          <cell r="O402" t="str">
            <v>eBenefits Network</v>
          </cell>
          <cell r="P402" t="str">
            <v>Migration Testing</v>
          </cell>
          <cell r="Q402" t="str">
            <v>In Progress</v>
          </cell>
          <cell r="R402">
            <v>46126.825914351852</v>
          </cell>
          <cell r="S402" t="str">
            <v>Aya Fathy</v>
          </cell>
          <cell r="T402">
            <v>46140</v>
          </cell>
          <cell r="U402" t="str">
            <v>Trish Kalinczok</v>
          </cell>
          <cell r="V402">
            <v>25569</v>
          </cell>
          <cell r="Y402">
            <v>46129</v>
          </cell>
        </row>
        <row r="403">
          <cell r="I403" t="str">
            <v>EDI</v>
          </cell>
          <cell r="L403">
            <v>4829</v>
          </cell>
          <cell r="N403" t="str">
            <v>Production</v>
          </cell>
          <cell r="O403" t="str">
            <v>No</v>
          </cell>
          <cell r="Q403" t="str">
            <v>Live</v>
          </cell>
          <cell r="R403">
            <v>46126.788298611107</v>
          </cell>
          <cell r="S403" t="str">
            <v>Reem Radwan</v>
          </cell>
          <cell r="T403">
            <v>46140</v>
          </cell>
          <cell r="U403" t="str">
            <v>Tammy Davies</v>
          </cell>
          <cell r="V403">
            <v>46153</v>
          </cell>
          <cell r="W403">
            <v>46162</v>
          </cell>
          <cell r="Y403">
            <v>46132</v>
          </cell>
          <cell r="AC403">
            <v>46162</v>
          </cell>
        </row>
        <row r="404">
          <cell r="I404" t="str">
            <v>EDI</v>
          </cell>
          <cell r="L404">
            <v>4909</v>
          </cell>
          <cell r="N404" t="str">
            <v>Testing</v>
          </cell>
          <cell r="O404" t="str">
            <v>No</v>
          </cell>
          <cell r="Q404" t="str">
            <v>In Progress</v>
          </cell>
          <cell r="R404">
            <v>46125.816469907397</v>
          </cell>
          <cell r="S404" t="str">
            <v>Andrew Ramy</v>
          </cell>
          <cell r="T404">
            <v>46161</v>
          </cell>
          <cell r="U404" t="str">
            <v>Melanie Rhine</v>
          </cell>
          <cell r="V404">
            <v>46163</v>
          </cell>
          <cell r="Y404">
            <v>46156</v>
          </cell>
        </row>
        <row r="405">
          <cell r="I405" t="str">
            <v>EDI</v>
          </cell>
          <cell r="L405">
            <v>4854</v>
          </cell>
          <cell r="N405" t="str">
            <v>Testing</v>
          </cell>
          <cell r="O405" t="str">
            <v>No</v>
          </cell>
          <cell r="Q405" t="str">
            <v>In Progress</v>
          </cell>
          <cell r="R405">
            <v>46125.81417824074</v>
          </cell>
          <cell r="S405" t="str">
            <v>Mark Albert</v>
          </cell>
          <cell r="T405">
            <v>46147</v>
          </cell>
          <cell r="U405" t="str">
            <v>Melanie Rhine</v>
          </cell>
          <cell r="Y405">
            <v>46146</v>
          </cell>
        </row>
        <row r="406">
          <cell r="I406" t="str">
            <v>EDI</v>
          </cell>
          <cell r="L406">
            <v>5063</v>
          </cell>
          <cell r="N406" t="str">
            <v>Testing</v>
          </cell>
          <cell r="O406" t="str">
            <v>No</v>
          </cell>
          <cell r="Q406" t="str">
            <v>In Progress</v>
          </cell>
          <cell r="R406">
            <v>46125.750150462962</v>
          </cell>
          <cell r="S406" t="str">
            <v>Poula Moheb</v>
          </cell>
          <cell r="T406">
            <v>46211</v>
          </cell>
          <cell r="U406" t="str">
            <v>Gregory Dubec</v>
          </cell>
          <cell r="Y406">
            <v>46209</v>
          </cell>
        </row>
        <row r="407">
          <cell r="I407" t="str">
            <v>EDI</v>
          </cell>
          <cell r="L407">
            <v>4587</v>
          </cell>
          <cell r="N407" t="str">
            <v>Production</v>
          </cell>
          <cell r="O407" t="str">
            <v>No</v>
          </cell>
          <cell r="Q407" t="str">
            <v>Live</v>
          </cell>
          <cell r="R407">
            <v>46125.725289351853</v>
          </cell>
          <cell r="S407" t="str">
            <v>Reem Radwan</v>
          </cell>
          <cell r="T407">
            <v>46126</v>
          </cell>
          <cell r="U407" t="str">
            <v>Rosalie Whitty</v>
          </cell>
          <cell r="V407">
            <v>46135</v>
          </cell>
          <cell r="W407">
            <v>46146</v>
          </cell>
          <cell r="AC407">
            <v>46143</v>
          </cell>
        </row>
        <row r="408">
          <cell r="I408" t="str">
            <v>EDI</v>
          </cell>
          <cell r="L408">
            <v>4157</v>
          </cell>
          <cell r="N408" t="str">
            <v>Mapping</v>
          </cell>
          <cell r="O408" t="str">
            <v>No</v>
          </cell>
          <cell r="Q408" t="str">
            <v>In Progress</v>
          </cell>
          <cell r="R408">
            <v>46125.69636574074</v>
          </cell>
          <cell r="S408" t="str">
            <v>Dina Medhat</v>
          </cell>
          <cell r="T408">
            <v>46126</v>
          </cell>
          <cell r="U408" t="str">
            <v>Rosalie Whitty</v>
          </cell>
          <cell r="V408">
            <v>25569</v>
          </cell>
        </row>
        <row r="409">
          <cell r="I409" t="str">
            <v>EDI</v>
          </cell>
          <cell r="L409">
            <v>4826</v>
          </cell>
          <cell r="N409" t="str">
            <v>Production</v>
          </cell>
          <cell r="O409" t="str">
            <v>No</v>
          </cell>
          <cell r="Q409" t="str">
            <v>Live</v>
          </cell>
          <cell r="R409">
            <v>46125.654861111107</v>
          </cell>
          <cell r="S409" t="str">
            <v>Alaa Yehia</v>
          </cell>
          <cell r="T409">
            <v>46140</v>
          </cell>
          <cell r="U409" t="str">
            <v>Trish Kalinczok</v>
          </cell>
          <cell r="V409">
            <v>46146</v>
          </cell>
          <cell r="W409">
            <v>46160</v>
          </cell>
          <cell r="Y409">
            <v>46138</v>
          </cell>
          <cell r="AC409">
            <v>46154</v>
          </cell>
        </row>
        <row r="410">
          <cell r="I410" t="str">
            <v>EDI</v>
          </cell>
          <cell r="L410">
            <v>4880</v>
          </cell>
          <cell r="N410" t="str">
            <v>Testing</v>
          </cell>
          <cell r="O410" t="str">
            <v>No</v>
          </cell>
          <cell r="Q410" t="str">
            <v>In Progress</v>
          </cell>
          <cell r="R410">
            <v>46125.654861111107</v>
          </cell>
          <cell r="S410" t="str">
            <v>Omnia Abdelaziz</v>
          </cell>
          <cell r="T410">
            <v>46152</v>
          </cell>
          <cell r="U410" t="str">
            <v>Trish Kalinczok</v>
          </cell>
          <cell r="V410">
            <v>46184</v>
          </cell>
          <cell r="Y410">
            <v>46148</v>
          </cell>
        </row>
        <row r="411">
          <cell r="I411" t="str">
            <v>EDI</v>
          </cell>
          <cell r="L411">
            <v>4913</v>
          </cell>
          <cell r="N411" t="str">
            <v>Testing</v>
          </cell>
          <cell r="O411" t="str">
            <v>No</v>
          </cell>
          <cell r="Q411" t="str">
            <v>In Progress</v>
          </cell>
          <cell r="R411">
            <v>46125.654849537037</v>
          </cell>
          <cell r="S411" t="str">
            <v>Poula Moheb</v>
          </cell>
          <cell r="T411">
            <v>46166</v>
          </cell>
          <cell r="U411" t="str">
            <v>Trish Kalinczok</v>
          </cell>
          <cell r="V411">
            <v>46209</v>
          </cell>
          <cell r="Y411">
            <v>46163</v>
          </cell>
        </row>
        <row r="412">
          <cell r="I412" t="str">
            <v>EDI</v>
          </cell>
          <cell r="L412">
            <v>4757</v>
          </cell>
          <cell r="N412" t="str">
            <v>Mapping</v>
          </cell>
          <cell r="O412" t="str">
            <v>No</v>
          </cell>
          <cell r="Q412" t="str">
            <v>In Progress</v>
          </cell>
          <cell r="R412">
            <v>46125.648634259262</v>
          </cell>
          <cell r="S412" t="str">
            <v>Dina Medhat</v>
          </cell>
          <cell r="T412">
            <v>46126</v>
          </cell>
          <cell r="U412" t="str">
            <v>Rosalie Whitty</v>
          </cell>
          <cell r="V412">
            <v>25569</v>
          </cell>
          <cell r="W412">
            <v>46181</v>
          </cell>
        </row>
        <row r="413">
          <cell r="I413" t="str">
            <v>EDI</v>
          </cell>
          <cell r="L413">
            <v>4587</v>
          </cell>
          <cell r="N413" t="str">
            <v>Production</v>
          </cell>
          <cell r="O413" t="str">
            <v>No</v>
          </cell>
          <cell r="Q413" t="str">
            <v>Live</v>
          </cell>
          <cell r="R413">
            <v>46125.648611111108</v>
          </cell>
          <cell r="S413" t="str">
            <v>Dina Medhat</v>
          </cell>
          <cell r="T413">
            <v>46126</v>
          </cell>
          <cell r="U413" t="str">
            <v>Rosalie Whitty</v>
          </cell>
          <cell r="V413">
            <v>46135</v>
          </cell>
          <cell r="W413">
            <v>46146</v>
          </cell>
          <cell r="AC413">
            <v>46146</v>
          </cell>
        </row>
        <row r="414">
          <cell r="I414" t="str">
            <v>EDI</v>
          </cell>
          <cell r="L414">
            <v>4827</v>
          </cell>
          <cell r="N414" t="str">
            <v>Production</v>
          </cell>
          <cell r="O414" t="str">
            <v>No</v>
          </cell>
          <cell r="Q414" t="str">
            <v>Live</v>
          </cell>
          <cell r="R414">
            <v>46125.601817129631</v>
          </cell>
          <cell r="S414" t="str">
            <v>Andrew Ramy</v>
          </cell>
          <cell r="T414">
            <v>46140</v>
          </cell>
          <cell r="U414" t="str">
            <v>Jay Lang</v>
          </cell>
          <cell r="V414">
            <v>46142</v>
          </cell>
          <cell r="W414">
            <v>46156</v>
          </cell>
          <cell r="Y414">
            <v>46131</v>
          </cell>
          <cell r="AC414">
            <v>46155</v>
          </cell>
        </row>
        <row r="415">
          <cell r="I415" t="str">
            <v>EDI</v>
          </cell>
          <cell r="L415">
            <v>4822</v>
          </cell>
          <cell r="N415" t="str">
            <v>Production</v>
          </cell>
          <cell r="O415" t="str">
            <v>No</v>
          </cell>
          <cell r="Q415" t="str">
            <v>Live</v>
          </cell>
          <cell r="R415">
            <v>46125.600844907407</v>
          </cell>
          <cell r="S415" t="str">
            <v>Andrew Ramy</v>
          </cell>
          <cell r="T415">
            <v>46140</v>
          </cell>
          <cell r="U415" t="str">
            <v>Jay Lang</v>
          </cell>
          <cell r="V415">
            <v>46142</v>
          </cell>
          <cell r="W415">
            <v>46157</v>
          </cell>
          <cell r="Y415">
            <v>46131</v>
          </cell>
          <cell r="AC415">
            <v>46155</v>
          </cell>
        </row>
        <row r="416">
          <cell r="I416" t="str">
            <v>Forms</v>
          </cell>
          <cell r="L416" t="str">
            <v>[4786, 4770, 4782]</v>
          </cell>
          <cell r="N416" t="str">
            <v>Production</v>
          </cell>
          <cell r="O416" t="str">
            <v>No</v>
          </cell>
          <cell r="Q416" t="str">
            <v>Live</v>
          </cell>
          <cell r="R416">
            <v>46122.954675925917</v>
          </cell>
          <cell r="S416" t="str">
            <v>Alaa Yehia</v>
          </cell>
          <cell r="T416">
            <v>46126</v>
          </cell>
          <cell r="U416" t="str">
            <v>Trish Kalinczok</v>
          </cell>
          <cell r="AC416">
            <v>46189</v>
          </cell>
        </row>
        <row r="417">
          <cell r="I417" t="str">
            <v>Forms</v>
          </cell>
          <cell r="L417" t="str">
            <v>[4765, 4766, 4818]</v>
          </cell>
          <cell r="N417" t="str">
            <v>Ready for Production</v>
          </cell>
          <cell r="O417" t="str">
            <v>No</v>
          </cell>
          <cell r="Q417" t="str">
            <v>In Progress</v>
          </cell>
          <cell r="R417">
            <v>46122.94871527778</v>
          </cell>
          <cell r="S417" t="str">
            <v>Mark Albert</v>
          </cell>
          <cell r="T417">
            <v>46126</v>
          </cell>
          <cell r="U417" t="str">
            <v>Trish Kalinczok</v>
          </cell>
        </row>
        <row r="418">
          <cell r="I418" t="str">
            <v>EDI</v>
          </cell>
          <cell r="L418">
            <v>4881</v>
          </cell>
          <cell r="N418" t="str">
            <v>Mapping</v>
          </cell>
          <cell r="O418" t="str">
            <v>Everything Benefits</v>
          </cell>
          <cell r="P418" t="str">
            <v>Phase 3</v>
          </cell>
          <cell r="Q418" t="str">
            <v>In Progress</v>
          </cell>
          <cell r="R418">
            <v>46121.801979166667</v>
          </cell>
          <cell r="S418" t="str">
            <v>Omnia Abdelaziz</v>
          </cell>
          <cell r="T418">
            <v>46145</v>
          </cell>
          <cell r="U418" t="str">
            <v>Trish Kalinczok</v>
          </cell>
          <cell r="Y418">
            <v>46129</v>
          </cell>
        </row>
        <row r="419">
          <cell r="I419" t="str">
            <v>EDI</v>
          </cell>
          <cell r="L419">
            <v>4789</v>
          </cell>
          <cell r="N419" t="str">
            <v>Production</v>
          </cell>
          <cell r="O419" t="str">
            <v>No</v>
          </cell>
          <cell r="Q419" t="str">
            <v>Live</v>
          </cell>
          <cell r="R419">
            <v>46120.85664351852</v>
          </cell>
          <cell r="S419" t="str">
            <v>Mark Albert</v>
          </cell>
          <cell r="T419">
            <v>46126</v>
          </cell>
          <cell r="U419" t="str">
            <v>Melanie Rhine</v>
          </cell>
          <cell r="W419">
            <v>46153</v>
          </cell>
          <cell r="AC419">
            <v>46147</v>
          </cell>
        </row>
        <row r="420">
          <cell r="I420" t="str">
            <v>EDI</v>
          </cell>
          <cell r="L420">
            <v>4837</v>
          </cell>
          <cell r="N420" t="str">
            <v>Testing</v>
          </cell>
          <cell r="O420" t="str">
            <v>No</v>
          </cell>
          <cell r="Q420" t="str">
            <v>In Progress</v>
          </cell>
          <cell r="R420">
            <v>46120.799340277779</v>
          </cell>
          <cell r="S420" t="str">
            <v>Josephine Ossama</v>
          </cell>
          <cell r="T420">
            <v>46138</v>
          </cell>
          <cell r="U420" t="str">
            <v>Rhettsmey Meak</v>
          </cell>
          <cell r="V420">
            <v>46148</v>
          </cell>
          <cell r="Y420">
            <v>46132</v>
          </cell>
        </row>
        <row r="421">
          <cell r="I421" t="str">
            <v>EDI</v>
          </cell>
          <cell r="L421">
            <v>4814</v>
          </cell>
          <cell r="N421" t="str">
            <v>Testing</v>
          </cell>
          <cell r="O421" t="str">
            <v>eBenefits Network</v>
          </cell>
          <cell r="P421" t="str">
            <v>Phase 3</v>
          </cell>
          <cell r="Q421" t="str">
            <v>In Progress</v>
          </cell>
          <cell r="R421">
            <v>46120.714212962957</v>
          </cell>
          <cell r="S421" t="str">
            <v>Alaa Yehia</v>
          </cell>
          <cell r="T421">
            <v>46138</v>
          </cell>
          <cell r="U421" t="str">
            <v>Lindsay Hudacik</v>
          </cell>
          <cell r="V421">
            <v>25569</v>
          </cell>
          <cell r="Y421">
            <v>46127</v>
          </cell>
        </row>
        <row r="422">
          <cell r="I422" t="str">
            <v>EDI</v>
          </cell>
          <cell r="L422">
            <v>4828</v>
          </cell>
          <cell r="N422" t="str">
            <v>Testing</v>
          </cell>
          <cell r="O422" t="str">
            <v>eBenefits Network</v>
          </cell>
          <cell r="P422" t="str">
            <v>Phase 3</v>
          </cell>
          <cell r="Q422" t="str">
            <v>In Progress</v>
          </cell>
          <cell r="R422">
            <v>46120.714201388888</v>
          </cell>
          <cell r="S422" t="str">
            <v>Reem Radwan</v>
          </cell>
          <cell r="T422">
            <v>46140</v>
          </cell>
          <cell r="U422" t="str">
            <v>Lindsay Hudacik</v>
          </cell>
          <cell r="Y422">
            <v>46127</v>
          </cell>
        </row>
        <row r="423">
          <cell r="I423" t="str">
            <v>EDI</v>
          </cell>
          <cell r="L423">
            <v>4817</v>
          </cell>
          <cell r="N423" t="str">
            <v>Production</v>
          </cell>
          <cell r="O423" t="str">
            <v>eBenefits Network</v>
          </cell>
          <cell r="P423" t="str">
            <v>Production</v>
          </cell>
          <cell r="Q423" t="str">
            <v>Live</v>
          </cell>
          <cell r="R423">
            <v>46120.64603009259</v>
          </cell>
          <cell r="S423" t="str">
            <v>Mark Albert</v>
          </cell>
          <cell r="T423">
            <v>46138</v>
          </cell>
          <cell r="U423" t="str">
            <v>Lindsay Hudacik</v>
          </cell>
          <cell r="W423">
            <v>46209</v>
          </cell>
          <cell r="Y423">
            <v>46127</v>
          </cell>
          <cell r="AC423">
            <v>46204</v>
          </cell>
        </row>
        <row r="424">
          <cell r="I424" t="str">
            <v>EDI</v>
          </cell>
          <cell r="L424">
            <v>4824</v>
          </cell>
          <cell r="N424" t="str">
            <v>Testing</v>
          </cell>
          <cell r="O424" t="str">
            <v>eBenefits Network</v>
          </cell>
          <cell r="P424" t="str">
            <v>Migration Testing</v>
          </cell>
          <cell r="Q424" t="str">
            <v>In Progress</v>
          </cell>
          <cell r="R424">
            <v>46120.646018518521</v>
          </cell>
          <cell r="S424" t="str">
            <v>Karen Ramy</v>
          </cell>
          <cell r="T424">
            <v>46138</v>
          </cell>
          <cell r="U424" t="str">
            <v>Lindsay Hudacik</v>
          </cell>
          <cell r="V424">
            <v>46185</v>
          </cell>
          <cell r="Y424">
            <v>46127</v>
          </cell>
        </row>
        <row r="425">
          <cell r="I425" t="str">
            <v>EDI</v>
          </cell>
          <cell r="L425">
            <v>4815</v>
          </cell>
          <cell r="N425" t="str">
            <v>Production</v>
          </cell>
          <cell r="O425" t="str">
            <v>eBenefits Network</v>
          </cell>
          <cell r="P425" t="str">
            <v>Production</v>
          </cell>
          <cell r="Q425" t="str">
            <v>Live</v>
          </cell>
          <cell r="R425">
            <v>46120.646006944437</v>
          </cell>
          <cell r="S425" t="str">
            <v>Mirna Azmy</v>
          </cell>
          <cell r="T425">
            <v>46138</v>
          </cell>
          <cell r="U425" t="str">
            <v>Lindsay Hudacik</v>
          </cell>
          <cell r="V425">
            <v>46162</v>
          </cell>
          <cell r="W425">
            <v>46195</v>
          </cell>
          <cell r="Y425">
            <v>46127</v>
          </cell>
          <cell r="AC425">
            <v>46195</v>
          </cell>
        </row>
        <row r="426">
          <cell r="I426" t="str">
            <v>EDI</v>
          </cell>
          <cell r="L426">
            <v>4811</v>
          </cell>
          <cell r="N426" t="str">
            <v>Testing</v>
          </cell>
          <cell r="O426" t="str">
            <v>eBenefits Network</v>
          </cell>
          <cell r="P426" t="str">
            <v>Migration Testing</v>
          </cell>
          <cell r="Q426" t="str">
            <v>In Progress</v>
          </cell>
          <cell r="R426">
            <v>46120.632754629631</v>
          </cell>
          <cell r="S426" t="str">
            <v>Reem Radwan</v>
          </cell>
          <cell r="T426">
            <v>46138</v>
          </cell>
          <cell r="U426" t="str">
            <v>Lindsay Hudacik</v>
          </cell>
          <cell r="Y426">
            <v>46127</v>
          </cell>
        </row>
        <row r="427">
          <cell r="I427" t="str">
            <v>EDI</v>
          </cell>
          <cell r="L427">
            <v>4805</v>
          </cell>
          <cell r="N427" t="str">
            <v>Testing</v>
          </cell>
          <cell r="O427" t="str">
            <v>eBenefits Network</v>
          </cell>
          <cell r="P427" t="str">
            <v>Migration Testing</v>
          </cell>
          <cell r="Q427" t="str">
            <v>In Progress</v>
          </cell>
          <cell r="R427">
            <v>46120.632708333331</v>
          </cell>
          <cell r="S427" t="str">
            <v>Aya Fathy</v>
          </cell>
          <cell r="T427">
            <v>46134</v>
          </cell>
          <cell r="U427" t="str">
            <v>Lindsay Hudacik</v>
          </cell>
          <cell r="V427">
            <v>46162</v>
          </cell>
          <cell r="Y427">
            <v>46127</v>
          </cell>
        </row>
        <row r="428">
          <cell r="I428" t="str">
            <v>EDI</v>
          </cell>
          <cell r="L428">
            <v>4820</v>
          </cell>
          <cell r="N428" t="str">
            <v>Testing</v>
          </cell>
          <cell r="O428" t="str">
            <v>eBenefits Network</v>
          </cell>
          <cell r="P428" t="str">
            <v>Migration Testing</v>
          </cell>
          <cell r="Q428" t="str">
            <v>In Progress</v>
          </cell>
          <cell r="R428">
            <v>46120.632708333331</v>
          </cell>
          <cell r="S428" t="str">
            <v>Andrew Ramy</v>
          </cell>
          <cell r="T428">
            <v>46134</v>
          </cell>
          <cell r="U428" t="str">
            <v>Lindsay Hudacik</v>
          </cell>
          <cell r="V428">
            <v>46140</v>
          </cell>
          <cell r="Y428">
            <v>46127</v>
          </cell>
        </row>
        <row r="429">
          <cell r="I429" t="str">
            <v>EDI</v>
          </cell>
          <cell r="L429">
            <v>4809</v>
          </cell>
          <cell r="N429" t="str">
            <v>Production</v>
          </cell>
          <cell r="O429" t="str">
            <v>No</v>
          </cell>
          <cell r="Q429" t="str">
            <v>Live</v>
          </cell>
          <cell r="R429">
            <v>46119.929675925923</v>
          </cell>
          <cell r="S429" t="str">
            <v>Andrew Ramy</v>
          </cell>
          <cell r="T429">
            <v>46134</v>
          </cell>
          <cell r="U429" t="str">
            <v>Tyler  Raposa</v>
          </cell>
          <cell r="V429">
            <v>46153</v>
          </cell>
          <cell r="W429">
            <v>46213</v>
          </cell>
          <cell r="Y429">
            <v>46131</v>
          </cell>
          <cell r="AC429">
            <v>46209</v>
          </cell>
        </row>
        <row r="430">
          <cell r="I430" t="str">
            <v>EDI</v>
          </cell>
          <cell r="L430">
            <v>4798</v>
          </cell>
          <cell r="N430" t="str">
            <v>Testing</v>
          </cell>
          <cell r="O430" t="str">
            <v>No</v>
          </cell>
          <cell r="Q430" t="str">
            <v>In Progress</v>
          </cell>
          <cell r="R430">
            <v>46119.864872685182</v>
          </cell>
          <cell r="S430" t="str">
            <v>Mirna Azmy</v>
          </cell>
          <cell r="T430">
            <v>46134</v>
          </cell>
          <cell r="U430" t="str">
            <v>Melanie Rhine</v>
          </cell>
          <cell r="V430">
            <v>46154</v>
          </cell>
          <cell r="Y430">
            <v>46128</v>
          </cell>
        </row>
        <row r="431">
          <cell r="I431" t="str">
            <v>EDI</v>
          </cell>
          <cell r="L431">
            <v>4816</v>
          </cell>
          <cell r="N431" t="str">
            <v>Production</v>
          </cell>
          <cell r="O431" t="str">
            <v>No</v>
          </cell>
          <cell r="Q431" t="str">
            <v>Live</v>
          </cell>
          <cell r="R431">
            <v>46119.617638888893</v>
          </cell>
          <cell r="S431" t="str">
            <v>Mark Albert</v>
          </cell>
          <cell r="T431">
            <v>46134</v>
          </cell>
          <cell r="U431" t="str">
            <v>Jay Lang</v>
          </cell>
          <cell r="V431">
            <v>46142</v>
          </cell>
          <cell r="W431">
            <v>46185</v>
          </cell>
          <cell r="Y431">
            <v>46126</v>
          </cell>
          <cell r="AC431">
            <v>46176</v>
          </cell>
        </row>
        <row r="432">
          <cell r="I432" t="str">
            <v>EDI</v>
          </cell>
          <cell r="L432">
            <v>4821</v>
          </cell>
          <cell r="N432" t="str">
            <v>Testing</v>
          </cell>
          <cell r="O432" t="str">
            <v>No</v>
          </cell>
          <cell r="Q432" t="str">
            <v>In Progress</v>
          </cell>
          <cell r="R432">
            <v>46118.763541666667</v>
          </cell>
          <cell r="S432" t="str">
            <v>Omnia Abdelaziz</v>
          </cell>
          <cell r="T432">
            <v>46140</v>
          </cell>
          <cell r="U432" t="str">
            <v>Gregory Dubec</v>
          </cell>
          <cell r="Y432">
            <v>46140</v>
          </cell>
        </row>
        <row r="433">
          <cell r="I433" t="str">
            <v>EDI</v>
          </cell>
          <cell r="N433" t="str">
            <v>Requirements Gathering</v>
          </cell>
          <cell r="O433" t="str">
            <v>No</v>
          </cell>
          <cell r="Q433" t="str">
            <v>In Progress</v>
          </cell>
          <cell r="R433">
            <v>46118.763541666667</v>
          </cell>
          <cell r="S433" t="str">
            <v>Hady Sherif</v>
          </cell>
          <cell r="T433">
            <v>46120</v>
          </cell>
          <cell r="U433" t="str">
            <v>Gregory Dubec</v>
          </cell>
        </row>
        <row r="434">
          <cell r="I434" t="str">
            <v>EDI</v>
          </cell>
          <cell r="L434">
            <v>4807</v>
          </cell>
          <cell r="N434" t="str">
            <v>Testing</v>
          </cell>
          <cell r="O434" t="str">
            <v>No</v>
          </cell>
          <cell r="Q434" t="str">
            <v>In Progress</v>
          </cell>
          <cell r="R434">
            <v>46118.75708333333</v>
          </cell>
          <cell r="S434" t="str">
            <v>Josephine Ossama</v>
          </cell>
          <cell r="T434">
            <v>46132</v>
          </cell>
          <cell r="U434" t="str">
            <v>Rhettsmey Meak</v>
          </cell>
          <cell r="V434">
            <v>46189</v>
          </cell>
          <cell r="Y434">
            <v>46128</v>
          </cell>
        </row>
        <row r="435">
          <cell r="I435" t="str">
            <v>EDI</v>
          </cell>
          <cell r="L435">
            <v>4794</v>
          </cell>
          <cell r="N435" t="str">
            <v>Production</v>
          </cell>
          <cell r="O435" t="str">
            <v>No</v>
          </cell>
          <cell r="Q435" t="str">
            <v>Live</v>
          </cell>
          <cell r="R435">
            <v>46118.614363425928</v>
          </cell>
          <cell r="S435" t="str">
            <v>Reem Radwan</v>
          </cell>
          <cell r="T435">
            <v>46132</v>
          </cell>
          <cell r="U435" t="str">
            <v>Sara Johnson</v>
          </cell>
          <cell r="V435">
            <v>46155</v>
          </cell>
          <cell r="W435">
            <v>46206</v>
          </cell>
          <cell r="Y435">
            <v>46121</v>
          </cell>
          <cell r="AC435">
            <v>46206</v>
          </cell>
        </row>
        <row r="436">
          <cell r="I436" t="str">
            <v>EDI</v>
          </cell>
          <cell r="N436" t="str">
            <v>Requirements Gathering</v>
          </cell>
          <cell r="O436" t="str">
            <v>No</v>
          </cell>
          <cell r="Q436" t="str">
            <v>Cancelled</v>
          </cell>
          <cell r="R436">
            <v>46118.614317129628</v>
          </cell>
          <cell r="S436" t="str">
            <v>Hady Sherif</v>
          </cell>
          <cell r="T436">
            <v>46119</v>
          </cell>
          <cell r="U436" t="str">
            <v>Sara Johnson</v>
          </cell>
        </row>
        <row r="437">
          <cell r="I437" t="str">
            <v>EDI</v>
          </cell>
          <cell r="L437">
            <v>4781</v>
          </cell>
          <cell r="N437" t="str">
            <v>Testing</v>
          </cell>
          <cell r="O437" t="str">
            <v>No</v>
          </cell>
          <cell r="Q437" t="str">
            <v>In Progress</v>
          </cell>
          <cell r="R437">
            <v>46115.812337962961</v>
          </cell>
          <cell r="S437" t="str">
            <v>Karen Ramy</v>
          </cell>
          <cell r="T437">
            <v>46132</v>
          </cell>
          <cell r="U437" t="str">
            <v>Sara Johnson</v>
          </cell>
          <cell r="V437">
            <v>46156</v>
          </cell>
          <cell r="Y437">
            <v>46126</v>
          </cell>
        </row>
        <row r="438">
          <cell r="I438" t="str">
            <v>EDI</v>
          </cell>
          <cell r="N438" t="str">
            <v>Requirements Gathering</v>
          </cell>
          <cell r="O438" t="str">
            <v>No</v>
          </cell>
          <cell r="Q438" t="str">
            <v>Cancelled</v>
          </cell>
          <cell r="R438">
            <v>46115.812326388892</v>
          </cell>
          <cell r="S438" t="str">
            <v>Hady Sherif</v>
          </cell>
          <cell r="T438">
            <v>46119</v>
          </cell>
          <cell r="U438" t="str">
            <v>Sara Johnson</v>
          </cell>
        </row>
        <row r="439">
          <cell r="I439" t="str">
            <v>EDI</v>
          </cell>
          <cell r="L439">
            <v>4788</v>
          </cell>
          <cell r="N439" t="str">
            <v>Testing</v>
          </cell>
          <cell r="O439" t="str">
            <v>No</v>
          </cell>
          <cell r="Q439" t="str">
            <v>In Progress</v>
          </cell>
          <cell r="R439">
            <v>46115.812314814822</v>
          </cell>
          <cell r="S439" t="str">
            <v>Marwan Tawfik</v>
          </cell>
          <cell r="T439">
            <v>46132</v>
          </cell>
          <cell r="U439" t="str">
            <v>Sara Johnson</v>
          </cell>
          <cell r="V439">
            <v>46175</v>
          </cell>
          <cell r="Y439">
            <v>46125</v>
          </cell>
        </row>
        <row r="440">
          <cell r="I440" t="str">
            <v>EDI</v>
          </cell>
          <cell r="L440">
            <v>4792</v>
          </cell>
          <cell r="N440" t="str">
            <v>Testing</v>
          </cell>
          <cell r="O440" t="str">
            <v>No</v>
          </cell>
          <cell r="Q440" t="str">
            <v>In Progress</v>
          </cell>
          <cell r="R440">
            <v>46115.812314814822</v>
          </cell>
          <cell r="S440" t="str">
            <v>Zeyad Khaled</v>
          </cell>
          <cell r="T440">
            <v>46132</v>
          </cell>
          <cell r="U440" t="str">
            <v>Sara Johnson</v>
          </cell>
          <cell r="V440">
            <v>46167</v>
          </cell>
          <cell r="Y440">
            <v>46121</v>
          </cell>
        </row>
        <row r="441">
          <cell r="I441" t="str">
            <v>EDI</v>
          </cell>
          <cell r="L441">
            <v>4783</v>
          </cell>
          <cell r="N441" t="str">
            <v>Testing</v>
          </cell>
          <cell r="O441" t="str">
            <v>No</v>
          </cell>
          <cell r="Q441" t="str">
            <v>In Progress</v>
          </cell>
          <cell r="R441">
            <v>46115.755104166667</v>
          </cell>
          <cell r="S441" t="str">
            <v>Ahmed Ali</v>
          </cell>
          <cell r="T441">
            <v>46132</v>
          </cell>
          <cell r="U441" t="str">
            <v>Trish Kalinczok</v>
          </cell>
          <cell r="V441">
            <v>46184</v>
          </cell>
          <cell r="Y441">
            <v>46119</v>
          </cell>
        </row>
        <row r="442">
          <cell r="I442" t="str">
            <v>EDI</v>
          </cell>
          <cell r="L442">
            <v>4801</v>
          </cell>
          <cell r="N442" t="str">
            <v>Production</v>
          </cell>
          <cell r="O442" t="str">
            <v>No</v>
          </cell>
          <cell r="Q442" t="str">
            <v>Live</v>
          </cell>
          <cell r="R442">
            <v>46114.879837962973</v>
          </cell>
          <cell r="S442" t="str">
            <v>Aya Fathy</v>
          </cell>
          <cell r="T442">
            <v>46132</v>
          </cell>
          <cell r="U442" t="str">
            <v>Patrick Dillon</v>
          </cell>
          <cell r="V442">
            <v>46140</v>
          </cell>
          <cell r="W442">
            <v>46146</v>
          </cell>
          <cell r="Y442">
            <v>46119</v>
          </cell>
          <cell r="AC442">
            <v>46142</v>
          </cell>
        </row>
        <row r="443">
          <cell r="I443" t="str">
            <v>EDI</v>
          </cell>
          <cell r="N443" t="str">
            <v>Requirements Gathering</v>
          </cell>
          <cell r="O443" t="str">
            <v>No</v>
          </cell>
          <cell r="Q443" t="str">
            <v>In Progress</v>
          </cell>
          <cell r="R443">
            <v>46114.800370370373</v>
          </cell>
          <cell r="S443" t="str">
            <v>Karim Tarek</v>
          </cell>
          <cell r="T443">
            <v>46118</v>
          </cell>
          <cell r="U443" t="str">
            <v>Rhettsmey Meak</v>
          </cell>
        </row>
        <row r="444">
          <cell r="I444" t="str">
            <v>EDI</v>
          </cell>
          <cell r="L444">
            <v>4795</v>
          </cell>
          <cell r="N444" t="str">
            <v>Production</v>
          </cell>
          <cell r="O444" t="str">
            <v>No</v>
          </cell>
          <cell r="Q444" t="str">
            <v>Live</v>
          </cell>
          <cell r="R444">
            <v>46114.769548611112</v>
          </cell>
          <cell r="S444" t="str">
            <v>Mirna Azmy</v>
          </cell>
          <cell r="T444">
            <v>46133</v>
          </cell>
          <cell r="U444" t="str">
            <v>Gregory Dubec</v>
          </cell>
          <cell r="V444">
            <v>46140</v>
          </cell>
          <cell r="W444">
            <v>46149</v>
          </cell>
          <cell r="Y444">
            <v>46133</v>
          </cell>
          <cell r="AC444">
            <v>46146</v>
          </cell>
        </row>
        <row r="445">
          <cell r="I445" t="str">
            <v>EDI</v>
          </cell>
          <cell r="L445">
            <v>4776</v>
          </cell>
          <cell r="N445" t="str">
            <v>Production</v>
          </cell>
          <cell r="O445" t="str">
            <v>No</v>
          </cell>
          <cell r="Q445" t="str">
            <v>Live</v>
          </cell>
          <cell r="R445">
            <v>46114.769537037027</v>
          </cell>
          <cell r="S445" t="str">
            <v>Mirna Azmy</v>
          </cell>
          <cell r="T445">
            <v>46132</v>
          </cell>
          <cell r="U445" t="str">
            <v>Gregory Dubec</v>
          </cell>
          <cell r="V445">
            <v>46132</v>
          </cell>
          <cell r="W445">
            <v>46198</v>
          </cell>
          <cell r="Y445">
            <v>46128</v>
          </cell>
          <cell r="AC445">
            <v>46195</v>
          </cell>
        </row>
        <row r="446">
          <cell r="I446" t="str">
            <v>EDI</v>
          </cell>
          <cell r="L446">
            <v>4802</v>
          </cell>
          <cell r="N446" t="str">
            <v>Testing</v>
          </cell>
          <cell r="O446" t="str">
            <v>No</v>
          </cell>
          <cell r="Q446" t="str">
            <v>In Progress</v>
          </cell>
          <cell r="R446">
            <v>46114.769525462973</v>
          </cell>
          <cell r="S446" t="str">
            <v>Ahmed Ali</v>
          </cell>
          <cell r="T446">
            <v>46135</v>
          </cell>
          <cell r="U446" t="str">
            <v>Gregory Dubec</v>
          </cell>
          <cell r="V446">
            <v>46212</v>
          </cell>
          <cell r="Y446">
            <v>46134</v>
          </cell>
        </row>
        <row r="447">
          <cell r="I447" t="str">
            <v>EDI</v>
          </cell>
          <cell r="L447">
            <v>4773</v>
          </cell>
          <cell r="N447" t="str">
            <v>Ready for Production</v>
          </cell>
          <cell r="O447" t="str">
            <v>No</v>
          </cell>
          <cell r="Q447" t="str">
            <v>In Progress</v>
          </cell>
          <cell r="R447">
            <v>46114.703402777777</v>
          </cell>
          <cell r="S447" t="str">
            <v>Mirna Azmy</v>
          </cell>
          <cell r="T447">
            <v>46132</v>
          </cell>
          <cell r="U447" t="str">
            <v>Gregory Dubec</v>
          </cell>
          <cell r="V447">
            <v>46132</v>
          </cell>
          <cell r="Y447">
            <v>46125</v>
          </cell>
        </row>
        <row r="448">
          <cell r="I448" t="str">
            <v>EDI</v>
          </cell>
          <cell r="L448">
            <v>4796</v>
          </cell>
          <cell r="N448" t="str">
            <v>Production</v>
          </cell>
          <cell r="O448" t="str">
            <v>No</v>
          </cell>
          <cell r="Q448" t="str">
            <v>Live</v>
          </cell>
          <cell r="R448">
            <v>46114.582106481481</v>
          </cell>
          <cell r="S448" t="str">
            <v>Alaa Yehia</v>
          </cell>
          <cell r="T448">
            <v>46132</v>
          </cell>
          <cell r="U448" t="str">
            <v>Peter Abdelmalek</v>
          </cell>
          <cell r="V448">
            <v>46138</v>
          </cell>
          <cell r="W448">
            <v>46211</v>
          </cell>
          <cell r="Y448">
            <v>46128</v>
          </cell>
          <cell r="AC448">
            <v>46194</v>
          </cell>
        </row>
        <row r="449">
          <cell r="I449" t="str">
            <v>EDI</v>
          </cell>
          <cell r="L449">
            <v>4787</v>
          </cell>
          <cell r="N449" t="str">
            <v>Production</v>
          </cell>
          <cell r="O449" t="str">
            <v>No</v>
          </cell>
          <cell r="Q449" t="str">
            <v>Live</v>
          </cell>
          <cell r="R449">
            <v>46114.582094907397</v>
          </cell>
          <cell r="S449" t="str">
            <v>Alaa Yehia</v>
          </cell>
          <cell r="T449">
            <v>46132</v>
          </cell>
          <cell r="U449" t="str">
            <v>Peter Abdelmalek</v>
          </cell>
          <cell r="V449">
            <v>46161</v>
          </cell>
          <cell r="W449">
            <v>46199</v>
          </cell>
          <cell r="Y449">
            <v>46128</v>
          </cell>
          <cell r="AC449">
            <v>46194</v>
          </cell>
        </row>
        <row r="450">
          <cell r="I450" t="str">
            <v>Forms</v>
          </cell>
          <cell r="L450" t="str">
            <v>[4730]</v>
          </cell>
          <cell r="N450" t="str">
            <v>Production</v>
          </cell>
          <cell r="O450" t="str">
            <v>Everything Benefits</v>
          </cell>
          <cell r="P450" t="str">
            <v>Production</v>
          </cell>
          <cell r="Q450" t="str">
            <v>Live</v>
          </cell>
          <cell r="R450">
            <v>46113.812094907407</v>
          </cell>
          <cell r="S450" t="str">
            <v>Aya Fathy</v>
          </cell>
          <cell r="T450">
            <v>46117</v>
          </cell>
          <cell r="U450" t="str">
            <v>Tammy Davies</v>
          </cell>
          <cell r="AC450">
            <v>46189</v>
          </cell>
        </row>
        <row r="451">
          <cell r="I451" t="str">
            <v>EDI</v>
          </cell>
          <cell r="L451">
            <v>4790</v>
          </cell>
          <cell r="N451" t="str">
            <v>Testing</v>
          </cell>
          <cell r="O451" t="str">
            <v>eBenefits Network</v>
          </cell>
          <cell r="P451" t="str">
            <v>Phase 2</v>
          </cell>
          <cell r="Q451" t="str">
            <v>In Progress</v>
          </cell>
          <cell r="R451">
            <v>46113.608391203707</v>
          </cell>
          <cell r="S451" t="str">
            <v>Mark Albert</v>
          </cell>
          <cell r="T451">
            <v>46132</v>
          </cell>
          <cell r="U451" t="str">
            <v>Lindsay Hudacik</v>
          </cell>
          <cell r="Y451">
            <v>46115</v>
          </cell>
        </row>
        <row r="452">
          <cell r="I452" t="str">
            <v>EDI</v>
          </cell>
          <cell r="L452">
            <v>4780</v>
          </cell>
          <cell r="N452" t="str">
            <v>Testing</v>
          </cell>
          <cell r="O452" t="str">
            <v>eBenefits Network</v>
          </cell>
          <cell r="P452" t="str">
            <v>Phase 3</v>
          </cell>
          <cell r="Q452" t="str">
            <v>In Progress</v>
          </cell>
          <cell r="R452">
            <v>46113.576666666668</v>
          </cell>
          <cell r="S452" t="str">
            <v>Andrew Ramy</v>
          </cell>
          <cell r="T452">
            <v>46128</v>
          </cell>
          <cell r="U452" t="str">
            <v>Lindsay Hudacik</v>
          </cell>
          <cell r="V452">
            <v>46132</v>
          </cell>
          <cell r="Y452">
            <v>46115</v>
          </cell>
        </row>
        <row r="453">
          <cell r="I453" t="str">
            <v>EDI</v>
          </cell>
          <cell r="L453">
            <v>4804</v>
          </cell>
          <cell r="N453" t="str">
            <v>Production</v>
          </cell>
          <cell r="O453" t="str">
            <v>No</v>
          </cell>
          <cell r="Q453" t="str">
            <v>Live</v>
          </cell>
          <cell r="R453">
            <v>46113.565937500003</v>
          </cell>
          <cell r="S453" t="str">
            <v>Omnia Abdelaziz</v>
          </cell>
          <cell r="T453">
            <v>46132</v>
          </cell>
          <cell r="U453" t="str">
            <v>Lindsay Hudacik</v>
          </cell>
          <cell r="V453">
            <v>46147</v>
          </cell>
          <cell r="W453">
            <v>46198</v>
          </cell>
          <cell r="Y453">
            <v>46128</v>
          </cell>
          <cell r="AC453">
            <v>46189</v>
          </cell>
        </row>
        <row r="454">
          <cell r="I454" t="str">
            <v>EDI</v>
          </cell>
          <cell r="L454">
            <v>4803</v>
          </cell>
          <cell r="N454" t="str">
            <v>Production</v>
          </cell>
          <cell r="O454" t="str">
            <v>No</v>
          </cell>
          <cell r="Q454" t="str">
            <v>Live</v>
          </cell>
          <cell r="R454">
            <v>46113.565925925926</v>
          </cell>
          <cell r="S454" t="str">
            <v>Omnia Abdelaziz</v>
          </cell>
          <cell r="T454">
            <v>46132</v>
          </cell>
          <cell r="U454" t="str">
            <v>Lindsay Hudacik</v>
          </cell>
          <cell r="V454">
            <v>46163</v>
          </cell>
          <cell r="W454">
            <v>46195</v>
          </cell>
          <cell r="Y454">
            <v>46128</v>
          </cell>
          <cell r="AC454">
            <v>46189</v>
          </cell>
        </row>
        <row r="455">
          <cell r="I455" t="str">
            <v>EDI</v>
          </cell>
          <cell r="L455">
            <v>4726</v>
          </cell>
          <cell r="N455" t="str">
            <v>Production</v>
          </cell>
          <cell r="O455" t="str">
            <v>No</v>
          </cell>
          <cell r="Q455" t="str">
            <v>Live</v>
          </cell>
          <cell r="R455">
            <v>46113.56591435185</v>
          </cell>
          <cell r="S455" t="str">
            <v>Reem Radwan</v>
          </cell>
          <cell r="T455">
            <v>46117</v>
          </cell>
          <cell r="U455" t="str">
            <v>Lindsay Hudacik</v>
          </cell>
          <cell r="V455">
            <v>46133</v>
          </cell>
          <cell r="W455">
            <v>46142</v>
          </cell>
          <cell r="Y455">
            <v>46115</v>
          </cell>
          <cell r="AC455">
            <v>46142</v>
          </cell>
        </row>
        <row r="456">
          <cell r="I456" t="str">
            <v>EDI</v>
          </cell>
          <cell r="L456">
            <v>4739</v>
          </cell>
          <cell r="N456" t="str">
            <v>Production</v>
          </cell>
          <cell r="O456" t="str">
            <v>No</v>
          </cell>
          <cell r="Q456" t="str">
            <v>Live</v>
          </cell>
          <cell r="R456">
            <v>46113.56590277778</v>
          </cell>
          <cell r="S456" t="str">
            <v>Reem Radwan</v>
          </cell>
          <cell r="T456">
            <v>46117</v>
          </cell>
          <cell r="U456" t="str">
            <v>Lindsay Hudacik</v>
          </cell>
          <cell r="V456">
            <v>46133</v>
          </cell>
          <cell r="W456">
            <v>46142</v>
          </cell>
          <cell r="Y456">
            <v>46115</v>
          </cell>
          <cell r="AC456">
            <v>46142</v>
          </cell>
        </row>
        <row r="457">
          <cell r="I457" t="str">
            <v>EDI</v>
          </cell>
          <cell r="L457">
            <v>4785</v>
          </cell>
          <cell r="N457" t="str">
            <v>Testing</v>
          </cell>
          <cell r="O457" t="str">
            <v>No</v>
          </cell>
          <cell r="Q457" t="str">
            <v>In Progress</v>
          </cell>
          <cell r="R457">
            <v>46112.729525462957</v>
          </cell>
          <cell r="S457" t="str">
            <v>Omnia Abdelaziz</v>
          </cell>
          <cell r="T457">
            <v>46128</v>
          </cell>
          <cell r="U457" t="str">
            <v>Lindsay Hudacik</v>
          </cell>
          <cell r="V457">
            <v>46142</v>
          </cell>
          <cell r="Y457">
            <v>46128</v>
          </cell>
        </row>
        <row r="458">
          <cell r="I458" t="str">
            <v>EDI</v>
          </cell>
          <cell r="L458">
            <v>4745</v>
          </cell>
          <cell r="N458" t="str">
            <v>Testing</v>
          </cell>
          <cell r="O458" t="str">
            <v>eBenefits Network</v>
          </cell>
          <cell r="P458" t="str">
            <v>Phase 1 - Map Built</v>
          </cell>
          <cell r="Q458" t="str">
            <v>In Progress</v>
          </cell>
          <cell r="R458">
            <v>46112.72320601852</v>
          </cell>
          <cell r="S458" t="str">
            <v>Mark Albert</v>
          </cell>
          <cell r="T458">
            <v>46117</v>
          </cell>
          <cell r="U458" t="str">
            <v>Lindsay Hudacik</v>
          </cell>
          <cell r="Y458">
            <v>46115</v>
          </cell>
        </row>
        <row r="459">
          <cell r="I459" t="str">
            <v>EDI</v>
          </cell>
          <cell r="L459">
            <v>4744</v>
          </cell>
          <cell r="N459" t="str">
            <v>Testing</v>
          </cell>
          <cell r="O459" t="str">
            <v>eBenefits Network</v>
          </cell>
          <cell r="P459" t="str">
            <v>Phase 1 - Map Built</v>
          </cell>
          <cell r="Q459" t="str">
            <v>In Progress</v>
          </cell>
          <cell r="R459">
            <v>46112.723194444443</v>
          </cell>
          <cell r="S459" t="str">
            <v>Mark Albert</v>
          </cell>
          <cell r="T459">
            <v>46117</v>
          </cell>
          <cell r="U459" t="str">
            <v>Lindsay Hudacik</v>
          </cell>
          <cell r="Y459">
            <v>46115</v>
          </cell>
        </row>
        <row r="460">
          <cell r="I460" t="str">
            <v>EDI</v>
          </cell>
          <cell r="L460">
            <v>4750</v>
          </cell>
          <cell r="N460" t="str">
            <v>Production</v>
          </cell>
          <cell r="O460" t="str">
            <v>eBenefits Network</v>
          </cell>
          <cell r="P460" t="str">
            <v>Migration Testing</v>
          </cell>
          <cell r="Q460" t="str">
            <v>Live</v>
          </cell>
          <cell r="R460">
            <v>46112.623449074083</v>
          </cell>
          <cell r="S460" t="str">
            <v>Karen Ramy</v>
          </cell>
          <cell r="T460">
            <v>46117</v>
          </cell>
          <cell r="U460" t="str">
            <v>Lindsay Hudacik</v>
          </cell>
          <cell r="V460">
            <v>46147</v>
          </cell>
          <cell r="W460">
            <v>25569</v>
          </cell>
          <cell r="Y460">
            <v>46115</v>
          </cell>
          <cell r="AC460">
            <v>46177</v>
          </cell>
        </row>
        <row r="461">
          <cell r="I461" t="str">
            <v>EDI</v>
          </cell>
          <cell r="L461">
            <v>4749</v>
          </cell>
          <cell r="N461" t="str">
            <v>Testing</v>
          </cell>
          <cell r="O461" t="str">
            <v>eBenefits Network</v>
          </cell>
          <cell r="P461" t="str">
            <v>Migration Testing</v>
          </cell>
          <cell r="Q461" t="str">
            <v>In Progress</v>
          </cell>
          <cell r="R461">
            <v>46112.623437499999</v>
          </cell>
          <cell r="S461" t="str">
            <v>Karen Ramy</v>
          </cell>
          <cell r="T461">
            <v>46117</v>
          </cell>
          <cell r="U461" t="str">
            <v>Lindsay Hudacik</v>
          </cell>
          <cell r="V461">
            <v>46145</v>
          </cell>
          <cell r="Y461">
            <v>46115</v>
          </cell>
        </row>
        <row r="462">
          <cell r="I462" t="str">
            <v>EDI</v>
          </cell>
          <cell r="L462">
            <v>4748</v>
          </cell>
          <cell r="N462" t="str">
            <v>Production</v>
          </cell>
          <cell r="O462" t="str">
            <v>eBenefits Network</v>
          </cell>
          <cell r="P462" t="str">
            <v>Production</v>
          </cell>
          <cell r="Q462" t="str">
            <v>Live</v>
          </cell>
          <cell r="R462">
            <v>46112.623425925929</v>
          </cell>
          <cell r="S462" t="str">
            <v>Karen Ramy</v>
          </cell>
          <cell r="T462">
            <v>46117</v>
          </cell>
          <cell r="U462" t="str">
            <v>Lindsay Hudacik</v>
          </cell>
          <cell r="V462">
            <v>46134</v>
          </cell>
          <cell r="W462">
            <v>46203</v>
          </cell>
          <cell r="Y462">
            <v>46115</v>
          </cell>
          <cell r="AC462">
            <v>46200</v>
          </cell>
        </row>
        <row r="463">
          <cell r="I463" t="str">
            <v>EDI</v>
          </cell>
          <cell r="L463">
            <v>4793</v>
          </cell>
          <cell r="N463" t="str">
            <v>Ready for Production</v>
          </cell>
          <cell r="O463" t="str">
            <v>No</v>
          </cell>
          <cell r="Q463" t="str">
            <v>In Progress</v>
          </cell>
          <cell r="R463">
            <v>46112.614039351851</v>
          </cell>
          <cell r="S463" t="str">
            <v>Zeyad Khaled</v>
          </cell>
          <cell r="T463">
            <v>46128</v>
          </cell>
          <cell r="U463" t="str">
            <v>Rhettsmey Meak</v>
          </cell>
          <cell r="V463">
            <v>46182</v>
          </cell>
          <cell r="Y463">
            <v>46117</v>
          </cell>
        </row>
        <row r="464">
          <cell r="I464" t="str">
            <v>EDI</v>
          </cell>
          <cell r="L464">
            <v>4742</v>
          </cell>
          <cell r="N464" t="str">
            <v>Production</v>
          </cell>
          <cell r="O464" t="str">
            <v>eBenefits Network</v>
          </cell>
          <cell r="P464" t="str">
            <v>Production</v>
          </cell>
          <cell r="Q464" t="str">
            <v>Live</v>
          </cell>
          <cell r="R464">
            <v>46112.610185185193</v>
          </cell>
          <cell r="S464" t="str">
            <v>Andrew Ramy</v>
          </cell>
          <cell r="T464">
            <v>46117</v>
          </cell>
          <cell r="U464" t="str">
            <v>Lindsay Hudacik</v>
          </cell>
          <cell r="V464">
            <v>46119</v>
          </cell>
          <cell r="W464">
            <v>46141</v>
          </cell>
          <cell r="Y464">
            <v>46115</v>
          </cell>
          <cell r="AC464">
            <v>46140</v>
          </cell>
        </row>
        <row r="465">
          <cell r="I465" t="str">
            <v>EDI</v>
          </cell>
          <cell r="L465">
            <v>4734</v>
          </cell>
          <cell r="N465" t="str">
            <v>Production</v>
          </cell>
          <cell r="O465" t="str">
            <v>eBenefits Network</v>
          </cell>
          <cell r="P465" t="str">
            <v>Production</v>
          </cell>
          <cell r="Q465" t="str">
            <v>Live</v>
          </cell>
          <cell r="R465">
            <v>46112.610173611109</v>
          </cell>
          <cell r="S465" t="str">
            <v>Andrew Ramy</v>
          </cell>
          <cell r="T465">
            <v>46117</v>
          </cell>
          <cell r="U465" t="str">
            <v>Lindsay Hudacik</v>
          </cell>
          <cell r="V465">
            <v>46119</v>
          </cell>
          <cell r="W465">
            <v>46147</v>
          </cell>
          <cell r="Y465">
            <v>46115</v>
          </cell>
          <cell r="AC465">
            <v>46140</v>
          </cell>
        </row>
        <row r="466">
          <cell r="I466" t="str">
            <v>EDI</v>
          </cell>
          <cell r="L466">
            <v>4738</v>
          </cell>
          <cell r="N466" t="str">
            <v>Testing</v>
          </cell>
          <cell r="O466" t="str">
            <v>eBenefits Network</v>
          </cell>
          <cell r="P466" t="str">
            <v>Phase 1 - Map Built</v>
          </cell>
          <cell r="Q466" t="str">
            <v>In Progress</v>
          </cell>
          <cell r="R466">
            <v>46112.610162037039</v>
          </cell>
          <cell r="S466" t="str">
            <v>Alaa Yehia</v>
          </cell>
          <cell r="T466">
            <v>46117</v>
          </cell>
          <cell r="U466" t="str">
            <v>Lindsay Hudacik</v>
          </cell>
          <cell r="V466">
            <v>46126</v>
          </cell>
          <cell r="Y466">
            <v>46115</v>
          </cell>
        </row>
        <row r="467">
          <cell r="I467" t="str">
            <v>EDI</v>
          </cell>
          <cell r="L467">
            <v>4747</v>
          </cell>
          <cell r="N467" t="str">
            <v>Production</v>
          </cell>
          <cell r="O467" t="str">
            <v>eBenefits Network</v>
          </cell>
          <cell r="P467" t="str">
            <v>Migration Testing</v>
          </cell>
          <cell r="Q467" t="str">
            <v>Live</v>
          </cell>
          <cell r="R467">
            <v>46112.601018518522</v>
          </cell>
          <cell r="S467" t="str">
            <v>Omnia Abdelaziz</v>
          </cell>
          <cell r="T467">
            <v>46117</v>
          </cell>
          <cell r="U467" t="str">
            <v>Lindsay Hudacik</v>
          </cell>
          <cell r="V467">
            <v>46140</v>
          </cell>
          <cell r="W467">
            <v>46163</v>
          </cell>
          <cell r="Y467">
            <v>46115</v>
          </cell>
          <cell r="AC467">
            <v>46161</v>
          </cell>
        </row>
        <row r="468">
          <cell r="I468" t="str">
            <v>EDI</v>
          </cell>
          <cell r="L468">
            <v>4746</v>
          </cell>
          <cell r="N468" t="str">
            <v>Production</v>
          </cell>
          <cell r="O468" t="str">
            <v>eBenefits Network</v>
          </cell>
          <cell r="P468" t="str">
            <v>Migration Testing</v>
          </cell>
          <cell r="Q468" t="str">
            <v>Live</v>
          </cell>
          <cell r="R468">
            <v>46112.601006944453</v>
          </cell>
          <cell r="S468" t="str">
            <v>Omnia Abdelaziz</v>
          </cell>
          <cell r="T468">
            <v>46117</v>
          </cell>
          <cell r="U468" t="str">
            <v>Lindsay Hudacik</v>
          </cell>
          <cell r="V468">
            <v>46134</v>
          </cell>
          <cell r="W468">
            <v>46162</v>
          </cell>
          <cell r="Y468">
            <v>46115</v>
          </cell>
          <cell r="AC468">
            <v>46161</v>
          </cell>
        </row>
        <row r="469">
          <cell r="I469" t="str">
            <v>EDI</v>
          </cell>
          <cell r="L469">
            <v>4740</v>
          </cell>
          <cell r="N469" t="str">
            <v>Testing</v>
          </cell>
          <cell r="O469" t="str">
            <v>eBenefits Network</v>
          </cell>
          <cell r="P469" t="str">
            <v>Migration Testing</v>
          </cell>
          <cell r="Q469" t="str">
            <v>In Progress</v>
          </cell>
          <cell r="R469">
            <v>46112.592187499999</v>
          </cell>
          <cell r="S469" t="str">
            <v>Mirna Azmy</v>
          </cell>
          <cell r="T469">
            <v>46117</v>
          </cell>
          <cell r="U469" t="str">
            <v>Lindsay Hudacik</v>
          </cell>
          <cell r="V469">
            <v>46182</v>
          </cell>
          <cell r="Y469">
            <v>46115</v>
          </cell>
        </row>
        <row r="470">
          <cell r="I470" t="str">
            <v>EDI</v>
          </cell>
          <cell r="L470">
            <v>4737</v>
          </cell>
          <cell r="N470" t="str">
            <v>Testing</v>
          </cell>
          <cell r="O470" t="str">
            <v>eBenefits Network</v>
          </cell>
          <cell r="P470" t="str">
            <v>Phase 1 - Map Built</v>
          </cell>
          <cell r="Q470" t="str">
            <v>In Progress</v>
          </cell>
          <cell r="R470">
            <v>46112.583252314813</v>
          </cell>
          <cell r="S470" t="str">
            <v>Josephine Ossama</v>
          </cell>
          <cell r="T470">
            <v>46117</v>
          </cell>
          <cell r="U470" t="str">
            <v>Lindsay Hudacik</v>
          </cell>
          <cell r="V470">
            <v>46212</v>
          </cell>
          <cell r="Y470">
            <v>46115</v>
          </cell>
        </row>
        <row r="471">
          <cell r="I471" t="str">
            <v>EDI</v>
          </cell>
          <cell r="L471">
            <v>4872</v>
          </cell>
          <cell r="N471" t="str">
            <v>Production</v>
          </cell>
          <cell r="O471" t="str">
            <v>No</v>
          </cell>
          <cell r="Q471" t="str">
            <v>Live</v>
          </cell>
          <cell r="R471">
            <v>46111.801168981481</v>
          </cell>
          <cell r="S471" t="str">
            <v>Andrew Ramy</v>
          </cell>
          <cell r="T471">
            <v>46152</v>
          </cell>
          <cell r="U471" t="str">
            <v>Trish Kalinczok</v>
          </cell>
          <cell r="V471">
            <v>46188</v>
          </cell>
          <cell r="W471">
            <v>46216</v>
          </cell>
          <cell r="Y471">
            <v>46146</v>
          </cell>
          <cell r="AC471">
            <v>46215</v>
          </cell>
        </row>
        <row r="472">
          <cell r="I472" t="str">
            <v>EDI</v>
          </cell>
          <cell r="L472">
            <v>4774</v>
          </cell>
          <cell r="N472" t="str">
            <v>Production</v>
          </cell>
          <cell r="O472" t="str">
            <v>No</v>
          </cell>
          <cell r="Q472" t="str">
            <v>Live</v>
          </cell>
          <cell r="R472">
            <v>46111.801168981481</v>
          </cell>
          <cell r="S472" t="str">
            <v>Andrew Ramy</v>
          </cell>
          <cell r="T472">
            <v>46128</v>
          </cell>
          <cell r="U472" t="str">
            <v>Trish Kalinczok</v>
          </cell>
          <cell r="V472">
            <v>46177</v>
          </cell>
          <cell r="W472">
            <v>46195</v>
          </cell>
          <cell r="Y472">
            <v>46127</v>
          </cell>
          <cell r="AC472">
            <v>46189</v>
          </cell>
        </row>
        <row r="473">
          <cell r="I473" t="str">
            <v>EDI</v>
          </cell>
          <cell r="L473">
            <v>4797</v>
          </cell>
          <cell r="N473" t="str">
            <v>Production</v>
          </cell>
          <cell r="O473" t="str">
            <v>No</v>
          </cell>
          <cell r="Q473" t="str">
            <v>Live</v>
          </cell>
          <cell r="R473">
            <v>46111.801157407397</v>
          </cell>
          <cell r="S473" t="str">
            <v>Alaa Yehia</v>
          </cell>
          <cell r="T473">
            <v>46134</v>
          </cell>
          <cell r="U473" t="str">
            <v>Trish Kalinczok</v>
          </cell>
          <cell r="V473">
            <v>46147</v>
          </cell>
          <cell r="W473">
            <v>46168</v>
          </cell>
          <cell r="Y473">
            <v>46131</v>
          </cell>
          <cell r="AC473">
            <v>46163</v>
          </cell>
        </row>
        <row r="474">
          <cell r="I474" t="str">
            <v>EDI</v>
          </cell>
          <cell r="L474">
            <v>4732</v>
          </cell>
          <cell r="N474" t="str">
            <v>Production</v>
          </cell>
          <cell r="O474" t="str">
            <v>No</v>
          </cell>
          <cell r="Q474" t="str">
            <v>Live</v>
          </cell>
          <cell r="R474">
            <v>46111.801145833328</v>
          </cell>
          <cell r="S474" t="str">
            <v>Zeyad Khaled</v>
          </cell>
          <cell r="T474">
            <v>46117</v>
          </cell>
          <cell r="U474" t="str">
            <v>Trish Kalinczok</v>
          </cell>
          <cell r="V474">
            <v>46133</v>
          </cell>
          <cell r="W474">
            <v>46146</v>
          </cell>
          <cell r="Y474">
            <v>46113</v>
          </cell>
          <cell r="AC474">
            <v>46139</v>
          </cell>
        </row>
        <row r="475">
          <cell r="I475" t="str">
            <v>EDI</v>
          </cell>
          <cell r="L475">
            <v>4853</v>
          </cell>
          <cell r="N475" t="str">
            <v>Production</v>
          </cell>
          <cell r="O475" t="str">
            <v>No</v>
          </cell>
          <cell r="Q475" t="str">
            <v>Live</v>
          </cell>
          <cell r="R475">
            <v>46111.801134259258</v>
          </cell>
          <cell r="S475" t="str">
            <v>Alaa Yehia</v>
          </cell>
          <cell r="T475">
            <v>46145</v>
          </cell>
          <cell r="U475" t="str">
            <v>Trish Kalinczok</v>
          </cell>
          <cell r="V475">
            <v>46159</v>
          </cell>
          <cell r="W475">
            <v>46195</v>
          </cell>
          <cell r="Y475">
            <v>46144</v>
          </cell>
          <cell r="AC475">
            <v>46190</v>
          </cell>
        </row>
        <row r="476">
          <cell r="I476" t="str">
            <v>EDI</v>
          </cell>
          <cell r="L476">
            <v>4777</v>
          </cell>
          <cell r="N476" t="str">
            <v>Production</v>
          </cell>
          <cell r="O476" t="str">
            <v>No</v>
          </cell>
          <cell r="Q476" t="str">
            <v>Live</v>
          </cell>
          <cell r="R476">
            <v>46111.793576388889</v>
          </cell>
          <cell r="S476" t="str">
            <v>Reem Radwan</v>
          </cell>
          <cell r="T476">
            <v>46128</v>
          </cell>
          <cell r="U476" t="str">
            <v>Rhettsmey Meak</v>
          </cell>
          <cell r="V476">
            <v>46135</v>
          </cell>
          <cell r="W476">
            <v>46156</v>
          </cell>
          <cell r="Y476">
            <v>46119</v>
          </cell>
          <cell r="AC476">
            <v>46156</v>
          </cell>
        </row>
        <row r="477">
          <cell r="I477" t="str">
            <v>EDI</v>
          </cell>
          <cell r="L477">
            <v>4810</v>
          </cell>
          <cell r="N477" t="str">
            <v>Production</v>
          </cell>
          <cell r="O477" t="str">
            <v>No</v>
          </cell>
          <cell r="Q477" t="str">
            <v>Live</v>
          </cell>
          <cell r="R477">
            <v>46111.790949074071</v>
          </cell>
          <cell r="S477" t="str">
            <v>Reem Radwan</v>
          </cell>
          <cell r="T477">
            <v>46134</v>
          </cell>
          <cell r="U477" t="str">
            <v>Rhettsmey Meak</v>
          </cell>
          <cell r="V477">
            <v>46175</v>
          </cell>
          <cell r="W477">
            <v>46204</v>
          </cell>
          <cell r="Y477">
            <v>46132</v>
          </cell>
          <cell r="AC477">
            <v>46204</v>
          </cell>
        </row>
        <row r="478">
          <cell r="I478" t="str">
            <v>EDI</v>
          </cell>
          <cell r="L478">
            <v>4768</v>
          </cell>
          <cell r="N478" t="str">
            <v>Production</v>
          </cell>
          <cell r="O478" t="str">
            <v>No</v>
          </cell>
          <cell r="Q478" t="str">
            <v>Live</v>
          </cell>
          <cell r="R478">
            <v>46108.812534722223</v>
          </cell>
          <cell r="S478" t="str">
            <v>Mirna Azmy</v>
          </cell>
          <cell r="T478">
            <v>46128</v>
          </cell>
          <cell r="U478" t="str">
            <v>Melanie Rhine</v>
          </cell>
          <cell r="V478">
            <v>46142</v>
          </cell>
          <cell r="W478">
            <v>46161</v>
          </cell>
          <cell r="Y478">
            <v>46125</v>
          </cell>
          <cell r="AC478">
            <v>46160</v>
          </cell>
        </row>
        <row r="479">
          <cell r="I479" t="str">
            <v>EDI</v>
          </cell>
          <cell r="L479">
            <v>4767</v>
          </cell>
          <cell r="N479" t="str">
            <v>Production</v>
          </cell>
          <cell r="O479" t="str">
            <v>No</v>
          </cell>
          <cell r="Q479" t="str">
            <v>Live</v>
          </cell>
          <cell r="R479">
            <v>46108.812523148154</v>
          </cell>
          <cell r="S479" t="str">
            <v>Mirna Azmy</v>
          </cell>
          <cell r="T479">
            <v>46128</v>
          </cell>
          <cell r="U479" t="str">
            <v>Melanie Rhine</v>
          </cell>
          <cell r="V479">
            <v>46142</v>
          </cell>
          <cell r="W479">
            <v>46175</v>
          </cell>
          <cell r="Y479">
            <v>46125</v>
          </cell>
          <cell r="AC479">
            <v>46175</v>
          </cell>
        </row>
        <row r="480">
          <cell r="I480" t="str">
            <v>EDI</v>
          </cell>
          <cell r="L480">
            <v>4910</v>
          </cell>
          <cell r="N480" t="str">
            <v>Testing</v>
          </cell>
          <cell r="O480" t="str">
            <v>No</v>
          </cell>
          <cell r="Q480" t="str">
            <v>In Progress</v>
          </cell>
          <cell r="R480">
            <v>46108.654120370367</v>
          </cell>
          <cell r="S480" t="str">
            <v>Giulie Alaa</v>
          </cell>
          <cell r="T480">
            <v>46163</v>
          </cell>
          <cell r="U480" t="str">
            <v>Trish Kalinczok</v>
          </cell>
          <cell r="V480">
            <v>46204</v>
          </cell>
          <cell r="Y480">
            <v>46161</v>
          </cell>
        </row>
        <row r="481">
          <cell r="I481" t="str">
            <v>EDI</v>
          </cell>
          <cell r="L481">
            <v>4736</v>
          </cell>
          <cell r="N481" t="str">
            <v>Mapping</v>
          </cell>
          <cell r="O481" t="str">
            <v>eBenefits Network</v>
          </cell>
          <cell r="P481" t="str">
            <v>Phase 1 - Map Built</v>
          </cell>
          <cell r="Q481" t="str">
            <v>In Progress</v>
          </cell>
          <cell r="R481">
            <v>46107.649398148147</v>
          </cell>
          <cell r="S481" t="str">
            <v>Josephine Ossama</v>
          </cell>
          <cell r="T481">
            <v>46113</v>
          </cell>
          <cell r="U481" t="str">
            <v>Lindsay Hudacik</v>
          </cell>
          <cell r="Y481">
            <v>46112</v>
          </cell>
        </row>
        <row r="482">
          <cell r="I482" t="str">
            <v>EDI</v>
          </cell>
          <cell r="L482">
            <v>4727</v>
          </cell>
          <cell r="N482" t="str">
            <v>Production</v>
          </cell>
          <cell r="O482" t="str">
            <v>eBenefits Network</v>
          </cell>
          <cell r="P482" t="str">
            <v>Production</v>
          </cell>
          <cell r="Q482" t="str">
            <v>Live</v>
          </cell>
          <cell r="R482">
            <v>46107.631018518521</v>
          </cell>
          <cell r="S482" t="str">
            <v>Aya Fathy</v>
          </cell>
          <cell r="T482">
            <v>46113</v>
          </cell>
          <cell r="U482" t="str">
            <v>Lindsay Hudacik</v>
          </cell>
          <cell r="V482">
            <v>46140</v>
          </cell>
          <cell r="W482">
            <v>46149</v>
          </cell>
          <cell r="Y482">
            <v>46112</v>
          </cell>
          <cell r="AC482">
            <v>46148</v>
          </cell>
        </row>
        <row r="483">
          <cell r="I483" t="str">
            <v>EDI</v>
          </cell>
          <cell r="L483">
            <v>4728</v>
          </cell>
          <cell r="N483" t="str">
            <v>Production</v>
          </cell>
          <cell r="O483" t="str">
            <v>eBenefits Network</v>
          </cell>
          <cell r="P483" t="str">
            <v>Migration Testing</v>
          </cell>
          <cell r="Q483" t="str">
            <v>Live</v>
          </cell>
          <cell r="R483">
            <v>46107.628240740742</v>
          </cell>
          <cell r="S483" t="str">
            <v>Aya Fathy</v>
          </cell>
          <cell r="T483">
            <v>46113</v>
          </cell>
          <cell r="U483" t="str">
            <v>Lindsay Hudacik</v>
          </cell>
          <cell r="V483">
            <v>46156</v>
          </cell>
          <cell r="W483">
            <v>46182</v>
          </cell>
          <cell r="Y483">
            <v>46112</v>
          </cell>
          <cell r="AC483">
            <v>46180</v>
          </cell>
        </row>
        <row r="484">
          <cell r="I484" t="str">
            <v>EDI</v>
          </cell>
          <cell r="L484">
            <v>4808</v>
          </cell>
          <cell r="N484" t="str">
            <v>Testing</v>
          </cell>
          <cell r="O484" t="str">
            <v>No</v>
          </cell>
          <cell r="Q484" t="str">
            <v>In Progress</v>
          </cell>
          <cell r="R484">
            <v>46107.619247685187</v>
          </cell>
          <cell r="S484" t="str">
            <v>Josephine Ossama</v>
          </cell>
          <cell r="T484">
            <v>46128</v>
          </cell>
          <cell r="U484" t="str">
            <v>Lindsay Hudacik</v>
          </cell>
          <cell r="V484">
            <v>46177</v>
          </cell>
          <cell r="Y484">
            <v>46127</v>
          </cell>
        </row>
        <row r="485">
          <cell r="I485" t="str">
            <v>EDI</v>
          </cell>
          <cell r="L485">
            <v>4784</v>
          </cell>
          <cell r="N485" t="str">
            <v>Testing</v>
          </cell>
          <cell r="O485" t="str">
            <v>No</v>
          </cell>
          <cell r="Q485" t="str">
            <v>In Progress</v>
          </cell>
          <cell r="R485">
            <v>46107.598252314812</v>
          </cell>
          <cell r="S485" t="str">
            <v>Omnia Abdelaziz</v>
          </cell>
          <cell r="T485">
            <v>46128</v>
          </cell>
          <cell r="U485" t="str">
            <v>Lindsay Hudacik</v>
          </cell>
          <cell r="V485">
            <v>46142</v>
          </cell>
          <cell r="Y485">
            <v>46119</v>
          </cell>
        </row>
        <row r="486">
          <cell r="I486" t="str">
            <v>EDI</v>
          </cell>
          <cell r="L486">
            <v>4731</v>
          </cell>
          <cell r="N486" t="str">
            <v>Ready for Production</v>
          </cell>
          <cell r="O486" t="str">
            <v>No</v>
          </cell>
          <cell r="Q486" t="str">
            <v>In Progress</v>
          </cell>
          <cell r="R486">
            <v>46107.598240740743</v>
          </cell>
          <cell r="S486" t="str">
            <v>Zeyad Khaled</v>
          </cell>
          <cell r="T486">
            <v>46117</v>
          </cell>
          <cell r="U486" t="str">
            <v>Lindsay Hudacik</v>
          </cell>
          <cell r="V486">
            <v>46139</v>
          </cell>
          <cell r="Y486">
            <v>46116</v>
          </cell>
        </row>
        <row r="487">
          <cell r="I487" t="str">
            <v>EDI</v>
          </cell>
          <cell r="L487">
            <v>4758</v>
          </cell>
          <cell r="N487" t="str">
            <v>Testing</v>
          </cell>
          <cell r="O487" t="str">
            <v>No</v>
          </cell>
          <cell r="Q487" t="str">
            <v>In Progress</v>
          </cell>
          <cell r="R487">
            <v>46107.598240740743</v>
          </cell>
          <cell r="S487" t="str">
            <v>Ahmed Ali</v>
          </cell>
          <cell r="T487">
            <v>46126</v>
          </cell>
          <cell r="U487" t="str">
            <v>Lindsay Hudacik</v>
          </cell>
          <cell r="V487">
            <v>46160</v>
          </cell>
          <cell r="Y487">
            <v>46125</v>
          </cell>
        </row>
        <row r="488">
          <cell r="I488" t="str">
            <v>EDI</v>
          </cell>
          <cell r="L488">
            <v>4729</v>
          </cell>
          <cell r="N488" t="str">
            <v>Production</v>
          </cell>
          <cell r="O488" t="str">
            <v>eBenefits Network</v>
          </cell>
          <cell r="P488" t="str">
            <v>Production</v>
          </cell>
          <cell r="Q488" t="str">
            <v>Live</v>
          </cell>
          <cell r="R488">
            <v>46107.590057870373</v>
          </cell>
          <cell r="S488" t="str">
            <v>Alaa Yehia</v>
          </cell>
          <cell r="T488">
            <v>46113</v>
          </cell>
          <cell r="U488" t="str">
            <v>Lindsay Hudacik</v>
          </cell>
          <cell r="V488">
            <v>46135</v>
          </cell>
          <cell r="W488">
            <v>46198</v>
          </cell>
          <cell r="Y488">
            <v>46111</v>
          </cell>
          <cell r="AC488">
            <v>46196</v>
          </cell>
        </row>
        <row r="489">
          <cell r="I489" t="str">
            <v>EDI</v>
          </cell>
          <cell r="L489">
            <v>4735</v>
          </cell>
          <cell r="N489" t="str">
            <v>Testing</v>
          </cell>
          <cell r="O489" t="str">
            <v>eBenefits Network</v>
          </cell>
          <cell r="P489" t="str">
            <v>Migration Testing</v>
          </cell>
          <cell r="Q489" t="str">
            <v>In Progress</v>
          </cell>
          <cell r="R489">
            <v>46107.570486111108</v>
          </cell>
          <cell r="S489" t="str">
            <v>Josephine Ossama</v>
          </cell>
          <cell r="T489">
            <v>46117</v>
          </cell>
          <cell r="U489" t="str">
            <v>Lindsay Hudacik</v>
          </cell>
          <cell r="V489">
            <v>46180</v>
          </cell>
          <cell r="Y489">
            <v>46115</v>
          </cell>
        </row>
        <row r="490">
          <cell r="I490" t="str">
            <v>EDI</v>
          </cell>
          <cell r="L490">
            <v>4764</v>
          </cell>
          <cell r="N490" t="str">
            <v>Testing</v>
          </cell>
          <cell r="O490" t="str">
            <v>No</v>
          </cell>
          <cell r="Q490" t="str">
            <v>In Progress</v>
          </cell>
          <cell r="R490">
            <v>46106.666365740741</v>
          </cell>
          <cell r="S490" t="str">
            <v>Ahmed Ali</v>
          </cell>
          <cell r="T490">
            <v>46128</v>
          </cell>
          <cell r="U490" t="str">
            <v>Benjamin Labowitz</v>
          </cell>
          <cell r="V490">
            <v>46183</v>
          </cell>
          <cell r="Y490">
            <v>46112</v>
          </cell>
        </row>
        <row r="491">
          <cell r="I491" t="str">
            <v>EDI</v>
          </cell>
          <cell r="N491" t="str">
            <v>Pending Start</v>
          </cell>
          <cell r="O491" t="str">
            <v>No</v>
          </cell>
          <cell r="Q491" t="str">
            <v>Cancelled</v>
          </cell>
          <cell r="R491">
            <v>46106.666365740741</v>
          </cell>
          <cell r="U491" t="str">
            <v>Benjamin Labowitz</v>
          </cell>
        </row>
        <row r="492">
          <cell r="I492" t="str">
            <v>EDI</v>
          </cell>
          <cell r="N492" t="str">
            <v>Pending Start</v>
          </cell>
          <cell r="O492" t="str">
            <v>No</v>
          </cell>
          <cell r="Q492" t="str">
            <v>Cancelled</v>
          </cell>
          <cell r="R492">
            <v>46106.666342592587</v>
          </cell>
          <cell r="U492" t="str">
            <v>Benjamin Labowitz</v>
          </cell>
        </row>
        <row r="493">
          <cell r="I493" t="str">
            <v>Forms</v>
          </cell>
          <cell r="L493" t="str">
            <v>[4703]</v>
          </cell>
          <cell r="N493" t="str">
            <v>Production</v>
          </cell>
          <cell r="O493" t="str">
            <v>Everything Benefits</v>
          </cell>
          <cell r="P493" t="str">
            <v>Production</v>
          </cell>
          <cell r="Q493" t="str">
            <v>Live</v>
          </cell>
          <cell r="R493">
            <v>46106.630624999998</v>
          </cell>
          <cell r="S493" t="str">
            <v>Mark Albert</v>
          </cell>
          <cell r="T493">
            <v>46112</v>
          </cell>
          <cell r="U493" t="str">
            <v>Robbie Schappell</v>
          </cell>
          <cell r="AC493">
            <v>46177</v>
          </cell>
        </row>
        <row r="494">
          <cell r="I494" t="str">
            <v>EDI</v>
          </cell>
          <cell r="L494">
            <v>4791</v>
          </cell>
          <cell r="N494" t="str">
            <v>Production</v>
          </cell>
          <cell r="O494" t="str">
            <v>No</v>
          </cell>
          <cell r="Q494" t="str">
            <v>Live</v>
          </cell>
          <cell r="R494">
            <v>46105.872418981482</v>
          </cell>
          <cell r="S494" t="str">
            <v>Mark Albert</v>
          </cell>
          <cell r="T494">
            <v>46126</v>
          </cell>
          <cell r="U494" t="str">
            <v>KJ Ampy</v>
          </cell>
          <cell r="W494">
            <v>46202</v>
          </cell>
          <cell r="Y494">
            <v>46125</v>
          </cell>
          <cell r="AC494">
            <v>46197</v>
          </cell>
        </row>
        <row r="495">
          <cell r="I495" t="str">
            <v>EDI</v>
          </cell>
          <cell r="L495">
            <v>4753</v>
          </cell>
          <cell r="N495" t="str">
            <v>Testing</v>
          </cell>
          <cell r="O495" t="str">
            <v>No</v>
          </cell>
          <cell r="Q495" t="str">
            <v>In Progress</v>
          </cell>
          <cell r="R495">
            <v>46105.80572916667</v>
          </cell>
          <cell r="S495" t="str">
            <v>Ahmed Ali</v>
          </cell>
          <cell r="T495">
            <v>46120</v>
          </cell>
          <cell r="U495" t="str">
            <v>Gregory Dubec</v>
          </cell>
          <cell r="V495">
            <v>46183</v>
          </cell>
          <cell r="Y495">
            <v>46119</v>
          </cell>
        </row>
        <row r="496">
          <cell r="I496" t="str">
            <v>EDI</v>
          </cell>
          <cell r="L496">
            <v>4733</v>
          </cell>
          <cell r="N496" t="str">
            <v>Testing</v>
          </cell>
          <cell r="O496" t="str">
            <v>No</v>
          </cell>
          <cell r="Q496" t="str">
            <v>In Progress</v>
          </cell>
          <cell r="R496">
            <v>46104.848576388889</v>
          </cell>
          <cell r="S496" t="str">
            <v>Andrew Ramy</v>
          </cell>
          <cell r="T496">
            <v>46113</v>
          </cell>
          <cell r="U496" t="str">
            <v>Gregory Dubec</v>
          </cell>
          <cell r="V496">
            <v>46119</v>
          </cell>
          <cell r="Y496">
            <v>46108</v>
          </cell>
        </row>
        <row r="497">
          <cell r="I497" t="str">
            <v>EDI</v>
          </cell>
          <cell r="L497">
            <v>4695</v>
          </cell>
          <cell r="N497" t="str">
            <v>Testing</v>
          </cell>
          <cell r="O497" t="str">
            <v>No</v>
          </cell>
          <cell r="Q497" t="str">
            <v>In Progress</v>
          </cell>
          <cell r="R497">
            <v>46104.806469907409</v>
          </cell>
          <cell r="S497" t="str">
            <v>Ahmed Ali</v>
          </cell>
          <cell r="T497">
            <v>46110</v>
          </cell>
          <cell r="U497" t="str">
            <v>Melanie Rhine</v>
          </cell>
          <cell r="V497">
            <v>46140</v>
          </cell>
          <cell r="Y497">
            <v>46106</v>
          </cell>
        </row>
        <row r="498">
          <cell r="I498" t="str">
            <v>EDI</v>
          </cell>
          <cell r="L498">
            <v>4717</v>
          </cell>
          <cell r="N498" t="str">
            <v>Testing</v>
          </cell>
          <cell r="O498" t="str">
            <v>No</v>
          </cell>
          <cell r="Q498" t="str">
            <v>In Progress</v>
          </cell>
          <cell r="R498">
            <v>46104.806469907409</v>
          </cell>
          <cell r="S498" t="str">
            <v>Aya Fathy</v>
          </cell>
          <cell r="T498">
            <v>46110</v>
          </cell>
          <cell r="U498" t="str">
            <v>Melanie Rhine</v>
          </cell>
          <cell r="V498">
            <v>46121</v>
          </cell>
          <cell r="Y498">
            <v>46106</v>
          </cell>
        </row>
        <row r="499">
          <cell r="I499" t="str">
            <v>EDI</v>
          </cell>
          <cell r="L499">
            <v>4691</v>
          </cell>
          <cell r="N499" t="str">
            <v>Production</v>
          </cell>
          <cell r="O499" t="str">
            <v>No</v>
          </cell>
          <cell r="Q499" t="str">
            <v>Live</v>
          </cell>
          <cell r="R499">
            <v>46101.814039351862</v>
          </cell>
          <cell r="S499" t="str">
            <v>Alaa Yehia</v>
          </cell>
          <cell r="T499">
            <v>46107</v>
          </cell>
          <cell r="U499" t="str">
            <v>Tammy Davies</v>
          </cell>
          <cell r="V499">
            <v>46110</v>
          </cell>
          <cell r="W499">
            <v>46141</v>
          </cell>
          <cell r="Y499">
            <v>46106</v>
          </cell>
          <cell r="AC499">
            <v>46127</v>
          </cell>
        </row>
        <row r="500">
          <cell r="I500" t="str">
            <v>EDI</v>
          </cell>
          <cell r="N500" t="str">
            <v>Requirements Gathering</v>
          </cell>
          <cell r="O500" t="str">
            <v>No</v>
          </cell>
          <cell r="Q500" t="str">
            <v>Cancelled</v>
          </cell>
          <cell r="R500">
            <v>46101.695462962962</v>
          </cell>
          <cell r="S500" t="str">
            <v>Sandra Adel</v>
          </cell>
          <cell r="T500">
            <v>46105</v>
          </cell>
          <cell r="U500" t="str">
            <v>Tammy Davies</v>
          </cell>
        </row>
        <row r="501">
          <cell r="I501" t="str">
            <v>EDI</v>
          </cell>
          <cell r="L501">
            <v>4709</v>
          </cell>
          <cell r="N501" t="str">
            <v>Production</v>
          </cell>
          <cell r="O501" t="str">
            <v>No</v>
          </cell>
          <cell r="Q501" t="str">
            <v>Live</v>
          </cell>
          <cell r="R501">
            <v>46101.646805555552</v>
          </cell>
          <cell r="S501" t="str">
            <v>Mark Albert</v>
          </cell>
          <cell r="T501">
            <v>46110</v>
          </cell>
          <cell r="U501" t="str">
            <v>Joel Costanzo</v>
          </cell>
          <cell r="V501">
            <v>46128</v>
          </cell>
          <cell r="W501">
            <v>46181</v>
          </cell>
          <cell r="Y501">
            <v>46107</v>
          </cell>
          <cell r="AC501">
            <v>46176</v>
          </cell>
        </row>
        <row r="502">
          <cell r="I502" t="str">
            <v>EDI</v>
          </cell>
          <cell r="L502">
            <v>4720</v>
          </cell>
          <cell r="N502" t="str">
            <v>Testing</v>
          </cell>
          <cell r="O502" t="str">
            <v>eBenefits Network</v>
          </cell>
          <cell r="P502" t="str">
            <v>Migration Testing</v>
          </cell>
          <cell r="Q502" t="str">
            <v>In Progress</v>
          </cell>
          <cell r="R502">
            <v>46100.652650462973</v>
          </cell>
          <cell r="S502" t="str">
            <v>Omnia Abdelaziz</v>
          </cell>
          <cell r="T502">
            <v>46110</v>
          </cell>
          <cell r="U502" t="str">
            <v>Shelly Knox</v>
          </cell>
          <cell r="V502">
            <v>46142</v>
          </cell>
          <cell r="Y502">
            <v>46108</v>
          </cell>
        </row>
        <row r="503">
          <cell r="I503" t="str">
            <v>EDI</v>
          </cell>
          <cell r="L503">
            <v>4708</v>
          </cell>
          <cell r="N503" t="str">
            <v>Production</v>
          </cell>
          <cell r="O503" t="str">
            <v>eBenefits Network</v>
          </cell>
          <cell r="P503" t="str">
            <v>Migration Testing</v>
          </cell>
          <cell r="Q503" t="str">
            <v>Live</v>
          </cell>
          <cell r="R503">
            <v>46100.652638888889</v>
          </cell>
          <cell r="S503" t="str">
            <v>Omnia Abdelaziz</v>
          </cell>
          <cell r="T503">
            <v>46110</v>
          </cell>
          <cell r="U503" t="str">
            <v>Shelly Knox</v>
          </cell>
          <cell r="V503">
            <v>46142</v>
          </cell>
          <cell r="W503">
            <v>46198</v>
          </cell>
          <cell r="Y503">
            <v>46108</v>
          </cell>
          <cell r="AC503">
            <v>46196</v>
          </cell>
        </row>
        <row r="504">
          <cell r="I504" t="str">
            <v>EDI</v>
          </cell>
          <cell r="L504">
            <v>4721</v>
          </cell>
          <cell r="N504" t="str">
            <v>Testing</v>
          </cell>
          <cell r="O504" t="str">
            <v>eBenefits Network</v>
          </cell>
          <cell r="P504" t="str">
            <v>Migration Testing</v>
          </cell>
          <cell r="Q504" t="str">
            <v>In Progress</v>
          </cell>
          <cell r="R504">
            <v>46100.652638888889</v>
          </cell>
          <cell r="S504" t="str">
            <v>Omnia Abdelaziz</v>
          </cell>
          <cell r="T504">
            <v>46110</v>
          </cell>
          <cell r="U504" t="str">
            <v>Shelly Knox</v>
          </cell>
          <cell r="V504">
            <v>46142</v>
          </cell>
          <cell r="Y504">
            <v>46108</v>
          </cell>
        </row>
        <row r="505">
          <cell r="I505" t="str">
            <v>EDI</v>
          </cell>
          <cell r="L505">
            <v>4751</v>
          </cell>
          <cell r="N505" t="str">
            <v>Production</v>
          </cell>
          <cell r="O505" t="str">
            <v>Everything Benefits</v>
          </cell>
          <cell r="P505" t="str">
            <v>Production</v>
          </cell>
          <cell r="Q505" t="str">
            <v>Live</v>
          </cell>
          <cell r="R505">
            <v>46100.642951388887</v>
          </cell>
          <cell r="S505" t="str">
            <v>Karen Ramy</v>
          </cell>
          <cell r="T505">
            <v>46120</v>
          </cell>
          <cell r="U505" t="str">
            <v>Shelly Knox</v>
          </cell>
          <cell r="V505">
            <v>46155</v>
          </cell>
          <cell r="W505">
            <v>46216</v>
          </cell>
          <cell r="Y505">
            <v>46119</v>
          </cell>
          <cell r="AC505">
            <v>46216</v>
          </cell>
        </row>
        <row r="506">
          <cell r="I506" t="str">
            <v>EDI</v>
          </cell>
          <cell r="L506">
            <v>4697</v>
          </cell>
          <cell r="N506" t="str">
            <v>Production</v>
          </cell>
          <cell r="O506" t="str">
            <v>Everything Benefits</v>
          </cell>
          <cell r="P506" t="str">
            <v>Production</v>
          </cell>
          <cell r="Q506" t="str">
            <v>Live</v>
          </cell>
          <cell r="R506">
            <v>46100.642939814818</v>
          </cell>
          <cell r="S506" t="str">
            <v>Karen Ramy</v>
          </cell>
          <cell r="T506">
            <v>46107</v>
          </cell>
          <cell r="U506" t="str">
            <v>Shelly Knox</v>
          </cell>
          <cell r="V506">
            <v>46118</v>
          </cell>
          <cell r="W506">
            <v>46195</v>
          </cell>
          <cell r="Y506">
            <v>46105</v>
          </cell>
          <cell r="AC506">
            <v>46194</v>
          </cell>
        </row>
        <row r="507">
          <cell r="I507" t="str">
            <v>EDI</v>
          </cell>
          <cell r="L507">
            <v>4775</v>
          </cell>
          <cell r="N507" t="str">
            <v>Production</v>
          </cell>
          <cell r="O507" t="str">
            <v>Everything Benefits</v>
          </cell>
          <cell r="P507" t="str">
            <v>Production</v>
          </cell>
          <cell r="Q507" t="str">
            <v>Live</v>
          </cell>
          <cell r="R507">
            <v>46100.63622685185</v>
          </cell>
          <cell r="S507" t="str">
            <v>Aya Fathy</v>
          </cell>
          <cell r="T507">
            <v>46126</v>
          </cell>
          <cell r="U507" t="str">
            <v>Shelly Knox</v>
          </cell>
          <cell r="V507">
            <v>46162</v>
          </cell>
          <cell r="W507">
            <v>46195</v>
          </cell>
          <cell r="Y507">
            <v>46121</v>
          </cell>
          <cell r="AC507">
            <v>46194</v>
          </cell>
        </row>
        <row r="508">
          <cell r="I508" t="str">
            <v>EDI</v>
          </cell>
          <cell r="L508">
            <v>4918</v>
          </cell>
          <cell r="N508" t="str">
            <v>Testing</v>
          </cell>
          <cell r="O508" t="str">
            <v>Everything Benefits</v>
          </cell>
          <cell r="P508" t="str">
            <v>Migration Testing</v>
          </cell>
          <cell r="Q508" t="str">
            <v>In Progress</v>
          </cell>
          <cell r="R508">
            <v>46100.63622685185</v>
          </cell>
          <cell r="S508" t="str">
            <v>Andrew Ramy</v>
          </cell>
          <cell r="T508">
            <v>46166</v>
          </cell>
          <cell r="U508" t="str">
            <v>Shelly Knox</v>
          </cell>
          <cell r="V508">
            <v>46168</v>
          </cell>
          <cell r="Y508">
            <v>46161</v>
          </cell>
        </row>
        <row r="509">
          <cell r="I509" t="str">
            <v>EDI</v>
          </cell>
          <cell r="L509">
            <v>4694</v>
          </cell>
          <cell r="N509" t="str">
            <v>Production</v>
          </cell>
          <cell r="O509" t="str">
            <v>No</v>
          </cell>
          <cell r="Q509" t="str">
            <v>Live</v>
          </cell>
          <cell r="R509">
            <v>46099.646990740737</v>
          </cell>
          <cell r="S509" t="str">
            <v>Ahmed Ali</v>
          </cell>
          <cell r="T509">
            <v>46110</v>
          </cell>
          <cell r="U509" t="str">
            <v>Gregory Dubec</v>
          </cell>
          <cell r="V509">
            <v>46148</v>
          </cell>
          <cell r="W509">
            <v>46212</v>
          </cell>
          <cell r="Y509">
            <v>46109</v>
          </cell>
          <cell r="AC509">
            <v>46212</v>
          </cell>
        </row>
        <row r="510">
          <cell r="I510" t="str">
            <v>EDI</v>
          </cell>
          <cell r="L510">
            <v>4762</v>
          </cell>
          <cell r="N510" t="str">
            <v>Production</v>
          </cell>
          <cell r="O510" t="str">
            <v>No</v>
          </cell>
          <cell r="Q510" t="str">
            <v>Live</v>
          </cell>
          <cell r="R510">
            <v>46099.644178240742</v>
          </cell>
          <cell r="S510" t="str">
            <v>Marwan Tawfik</v>
          </cell>
          <cell r="T510">
            <v>46120</v>
          </cell>
          <cell r="U510" t="str">
            <v>Jay Lang</v>
          </cell>
          <cell r="V510">
            <v>46153</v>
          </cell>
          <cell r="W510">
            <v>46184</v>
          </cell>
          <cell r="Y510">
            <v>46118</v>
          </cell>
          <cell r="AC510">
            <v>46184</v>
          </cell>
        </row>
        <row r="511">
          <cell r="I511" t="str">
            <v>EDI</v>
          </cell>
          <cell r="L511">
            <v>4763</v>
          </cell>
          <cell r="N511" t="str">
            <v>Production</v>
          </cell>
          <cell r="O511" t="str">
            <v>No</v>
          </cell>
          <cell r="Q511" t="str">
            <v>Live</v>
          </cell>
          <cell r="R511">
            <v>46099.627893518518</v>
          </cell>
          <cell r="S511" t="str">
            <v>Aya Fathy</v>
          </cell>
          <cell r="T511">
            <v>46120</v>
          </cell>
          <cell r="U511" t="str">
            <v>Gregory Dubec</v>
          </cell>
          <cell r="V511">
            <v>46133</v>
          </cell>
          <cell r="W511">
            <v>46149</v>
          </cell>
          <cell r="Y511">
            <v>46119</v>
          </cell>
          <cell r="AC511">
            <v>46146</v>
          </cell>
        </row>
        <row r="512">
          <cell r="I512" t="str">
            <v>EDI</v>
          </cell>
          <cell r="L512">
            <v>4719</v>
          </cell>
          <cell r="N512" t="str">
            <v>Production</v>
          </cell>
          <cell r="O512" t="str">
            <v>No</v>
          </cell>
          <cell r="Q512" t="str">
            <v>Live</v>
          </cell>
          <cell r="R512">
            <v>46099.604317129633</v>
          </cell>
          <cell r="S512" t="str">
            <v>Ahmed Ali</v>
          </cell>
          <cell r="T512">
            <v>46113</v>
          </cell>
          <cell r="U512" t="str">
            <v>Gregory Dubec</v>
          </cell>
          <cell r="V512">
            <v>46115</v>
          </cell>
          <cell r="W512">
            <v>46149</v>
          </cell>
          <cell r="Y512">
            <v>46112</v>
          </cell>
          <cell r="AC512">
            <v>46149</v>
          </cell>
        </row>
        <row r="513">
          <cell r="I513" t="str">
            <v>Forms</v>
          </cell>
          <cell r="L513" t="str">
            <v>[4702]</v>
          </cell>
          <cell r="N513" t="str">
            <v>Production</v>
          </cell>
          <cell r="O513" t="str">
            <v>Everything Benefits</v>
          </cell>
          <cell r="P513" t="str">
            <v>Production</v>
          </cell>
          <cell r="Q513" t="str">
            <v>Live</v>
          </cell>
          <cell r="R513">
            <v>46099.5940162037</v>
          </cell>
          <cell r="S513" t="str">
            <v>Reem Radwan</v>
          </cell>
          <cell r="T513">
            <v>46112</v>
          </cell>
          <cell r="U513" t="str">
            <v>Trish Kalinczok</v>
          </cell>
          <cell r="AC513">
            <v>46153</v>
          </cell>
        </row>
        <row r="514">
          <cell r="I514" t="str">
            <v>Forms</v>
          </cell>
          <cell r="L514" t="str">
            <v>[4715]</v>
          </cell>
          <cell r="N514" t="str">
            <v>Ready for Production</v>
          </cell>
          <cell r="O514" t="str">
            <v>Everything Benefits</v>
          </cell>
          <cell r="P514" t="str">
            <v>Migration Testing</v>
          </cell>
          <cell r="Q514" t="str">
            <v>Cancelled</v>
          </cell>
          <cell r="R514">
            <v>46098.735011574077</v>
          </cell>
          <cell r="S514" t="str">
            <v>Aya Fathy</v>
          </cell>
          <cell r="T514">
            <v>46099</v>
          </cell>
          <cell r="U514" t="str">
            <v>Trish Kalinczok</v>
          </cell>
        </row>
        <row r="515">
          <cell r="I515" t="str">
            <v>EDI</v>
          </cell>
          <cell r="L515">
            <v>4699</v>
          </cell>
          <cell r="N515" t="str">
            <v>Testing</v>
          </cell>
          <cell r="O515" t="str">
            <v>No</v>
          </cell>
          <cell r="Q515" t="str">
            <v>In Progress</v>
          </cell>
          <cell r="R515">
            <v>46098.73369212963</v>
          </cell>
          <cell r="S515" t="str">
            <v>Andrew Ramy</v>
          </cell>
          <cell r="T515">
            <v>46107</v>
          </cell>
          <cell r="U515" t="str">
            <v>Tyler  Raposa</v>
          </cell>
          <cell r="V515">
            <v>46128</v>
          </cell>
          <cell r="Y515">
            <v>46105</v>
          </cell>
        </row>
        <row r="516">
          <cell r="I516" t="str">
            <v>EDI</v>
          </cell>
          <cell r="L516">
            <v>4682</v>
          </cell>
          <cell r="N516" t="str">
            <v>Production</v>
          </cell>
          <cell r="O516" t="str">
            <v>No</v>
          </cell>
          <cell r="Q516" t="str">
            <v>Live</v>
          </cell>
          <cell r="R516">
            <v>46098.73369212963</v>
          </cell>
          <cell r="S516" t="str">
            <v>Aya Fathy</v>
          </cell>
          <cell r="T516">
            <v>46105</v>
          </cell>
          <cell r="U516" t="str">
            <v>Tyler  Raposa</v>
          </cell>
          <cell r="V516">
            <v>25569</v>
          </cell>
          <cell r="W516">
            <v>46213</v>
          </cell>
          <cell r="Y516">
            <v>46103</v>
          </cell>
          <cell r="AC516">
            <v>46210</v>
          </cell>
        </row>
        <row r="517">
          <cell r="I517" t="str">
            <v>EDI</v>
          </cell>
          <cell r="L517">
            <v>4771</v>
          </cell>
          <cell r="N517" t="str">
            <v>Testing</v>
          </cell>
          <cell r="O517" t="str">
            <v>No</v>
          </cell>
          <cell r="Q517" t="str">
            <v>In Progress</v>
          </cell>
          <cell r="R517">
            <v>46098.733680555553</v>
          </cell>
          <cell r="S517" t="str">
            <v>Mirna Azmy</v>
          </cell>
          <cell r="T517">
            <v>46128</v>
          </cell>
          <cell r="U517" t="str">
            <v>Tyler  Raposa</v>
          </cell>
          <cell r="V517">
            <v>46129</v>
          </cell>
          <cell r="Y517">
            <v>46127</v>
          </cell>
        </row>
        <row r="518">
          <cell r="I518" t="str">
            <v>Forms</v>
          </cell>
          <cell r="L518" t="str">
            <v>[4685]</v>
          </cell>
          <cell r="N518" t="str">
            <v>Production</v>
          </cell>
          <cell r="O518" t="str">
            <v>Everything Benefits</v>
          </cell>
          <cell r="P518" t="str">
            <v>Production</v>
          </cell>
          <cell r="Q518" t="str">
            <v>Live</v>
          </cell>
          <cell r="R518">
            <v>46098.727037037039</v>
          </cell>
          <cell r="S518" t="str">
            <v>Reem Radwan</v>
          </cell>
          <cell r="T518">
            <v>46099</v>
          </cell>
          <cell r="U518" t="str">
            <v>Trish Kalinczok</v>
          </cell>
          <cell r="AC518">
            <v>46128</v>
          </cell>
        </row>
        <row r="519">
          <cell r="I519" t="str">
            <v>EDI</v>
          </cell>
          <cell r="L519">
            <v>4663</v>
          </cell>
          <cell r="N519" t="str">
            <v>Production</v>
          </cell>
          <cell r="O519" t="str">
            <v>No</v>
          </cell>
          <cell r="Q519" t="str">
            <v>Live</v>
          </cell>
          <cell r="R519">
            <v>46098.584178240737</v>
          </cell>
          <cell r="S519" t="str">
            <v>Andrew Ramy</v>
          </cell>
          <cell r="T519">
            <v>46105</v>
          </cell>
          <cell r="U519" t="str">
            <v>Rhettsmey Meak</v>
          </cell>
          <cell r="V519">
            <v>46107</v>
          </cell>
          <cell r="W519">
            <v>46132</v>
          </cell>
          <cell r="Y519">
            <v>46099</v>
          </cell>
          <cell r="AC519">
            <v>46127</v>
          </cell>
        </row>
        <row r="520">
          <cell r="I520" t="str">
            <v>Forms</v>
          </cell>
          <cell r="L520" t="str">
            <v>[4670, 4707]</v>
          </cell>
          <cell r="N520" t="str">
            <v>Production</v>
          </cell>
          <cell r="O520" t="str">
            <v>Everything Benefits</v>
          </cell>
          <cell r="P520" t="str">
            <v>Production</v>
          </cell>
          <cell r="Q520" t="str">
            <v>Live</v>
          </cell>
          <cell r="R520">
            <v>46098.582453703697</v>
          </cell>
          <cell r="S520" t="str">
            <v>Alaa Yehia</v>
          </cell>
          <cell r="T520">
            <v>46099</v>
          </cell>
          <cell r="U520" t="str">
            <v>Trish Kalinczok</v>
          </cell>
          <cell r="AC520">
            <v>46159</v>
          </cell>
        </row>
        <row r="521">
          <cell r="I521" t="str">
            <v>EDI</v>
          </cell>
          <cell r="L521">
            <v>4654</v>
          </cell>
          <cell r="N521" t="str">
            <v>Production</v>
          </cell>
          <cell r="O521" t="str">
            <v>No</v>
          </cell>
          <cell r="Q521" t="str">
            <v>Live</v>
          </cell>
          <cell r="R521">
            <v>46098.54550925926</v>
          </cell>
          <cell r="S521" t="str">
            <v>Mirna Azmy</v>
          </cell>
          <cell r="T521">
            <v>46099</v>
          </cell>
          <cell r="U521" t="str">
            <v>Trish Kalinczok</v>
          </cell>
          <cell r="AC521">
            <v>46099</v>
          </cell>
        </row>
        <row r="522">
          <cell r="I522" t="str">
            <v>EDI</v>
          </cell>
          <cell r="L522">
            <v>4711</v>
          </cell>
          <cell r="N522" t="str">
            <v>Production</v>
          </cell>
          <cell r="O522" t="str">
            <v>No</v>
          </cell>
          <cell r="Q522" t="str">
            <v>Live</v>
          </cell>
          <cell r="R522">
            <v>46098.543703703697</v>
          </cell>
          <cell r="S522" t="str">
            <v>Marwan Tawfik</v>
          </cell>
          <cell r="T522">
            <v>46110</v>
          </cell>
          <cell r="U522" t="str">
            <v>Rhettsmey Meak</v>
          </cell>
          <cell r="V522">
            <v>46160</v>
          </cell>
          <cell r="W522">
            <v>46190</v>
          </cell>
          <cell r="Y522">
            <v>46107</v>
          </cell>
          <cell r="AC522">
            <v>46189</v>
          </cell>
        </row>
        <row r="523">
          <cell r="I523" t="str">
            <v>EDI</v>
          </cell>
          <cell r="L523">
            <v>4701</v>
          </cell>
          <cell r="N523" t="str">
            <v>Production</v>
          </cell>
          <cell r="O523" t="str">
            <v>No</v>
          </cell>
          <cell r="Q523" t="str">
            <v>Live</v>
          </cell>
          <cell r="R523">
            <v>46098.530023148152</v>
          </cell>
          <cell r="S523" t="str">
            <v>Zeyad Khaled</v>
          </cell>
          <cell r="T523">
            <v>46110</v>
          </cell>
          <cell r="U523" t="str">
            <v>Rhettsmey Meak</v>
          </cell>
          <cell r="V523">
            <v>46121</v>
          </cell>
          <cell r="W523">
            <v>46143</v>
          </cell>
          <cell r="Y523">
            <v>46109</v>
          </cell>
          <cell r="AC523">
            <v>46139</v>
          </cell>
        </row>
        <row r="524">
          <cell r="I524" t="str">
            <v>EDI</v>
          </cell>
          <cell r="L524">
            <v>4704</v>
          </cell>
          <cell r="N524" t="str">
            <v>Production</v>
          </cell>
          <cell r="O524" t="str">
            <v>No</v>
          </cell>
          <cell r="Q524" t="str">
            <v>Live</v>
          </cell>
          <cell r="R524">
            <v>46098.472361111111</v>
          </cell>
          <cell r="S524" t="str">
            <v>Josephine Ossama</v>
          </cell>
          <cell r="T524">
            <v>46105</v>
          </cell>
          <cell r="U524" t="str">
            <v>Peter Abdelmalek</v>
          </cell>
          <cell r="V524">
            <v>46118</v>
          </cell>
          <cell r="W524">
            <v>46133</v>
          </cell>
          <cell r="Y524">
            <v>46098</v>
          </cell>
          <cell r="AC524">
            <v>46128</v>
          </cell>
        </row>
        <row r="525">
          <cell r="I525" t="str">
            <v>EDI</v>
          </cell>
          <cell r="L525">
            <v>4533</v>
          </cell>
          <cell r="N525" t="str">
            <v>Testing</v>
          </cell>
          <cell r="O525" t="str">
            <v>No</v>
          </cell>
          <cell r="Q525" t="str">
            <v>In Progress</v>
          </cell>
          <cell r="R525">
            <v>46097.605949074074</v>
          </cell>
          <cell r="U525" t="str">
            <v>Carolina Tanoue</v>
          </cell>
          <cell r="V525">
            <v>46098</v>
          </cell>
          <cell r="W525">
            <v>46118</v>
          </cell>
        </row>
        <row r="526">
          <cell r="I526" t="str">
            <v>EDI</v>
          </cell>
          <cell r="L526">
            <v>4667</v>
          </cell>
          <cell r="N526" t="str">
            <v>Production</v>
          </cell>
          <cell r="O526" t="str">
            <v>No</v>
          </cell>
          <cell r="Q526" t="str">
            <v>Live</v>
          </cell>
          <cell r="R526">
            <v>46093.960277777784</v>
          </cell>
          <cell r="S526" t="str">
            <v>Alaa Yehia</v>
          </cell>
          <cell r="T526">
            <v>46097</v>
          </cell>
          <cell r="U526" t="str">
            <v>Trish Kalinczok</v>
          </cell>
          <cell r="V526">
            <v>46112</v>
          </cell>
          <cell r="W526">
            <v>46163</v>
          </cell>
          <cell r="AC526">
            <v>46153</v>
          </cell>
        </row>
        <row r="527">
          <cell r="I527" t="str">
            <v>EDI</v>
          </cell>
          <cell r="L527">
            <v>4665</v>
          </cell>
          <cell r="N527" t="str">
            <v>Production</v>
          </cell>
          <cell r="O527" t="str">
            <v>No</v>
          </cell>
          <cell r="Q527" t="str">
            <v>Live</v>
          </cell>
          <cell r="R527">
            <v>46093.686608796299</v>
          </cell>
          <cell r="S527" t="str">
            <v>Omnia Abdelaziz</v>
          </cell>
          <cell r="T527">
            <v>46105</v>
          </cell>
          <cell r="U527" t="str">
            <v>Peter Abdelmalek</v>
          </cell>
          <cell r="V527">
            <v>46107</v>
          </cell>
          <cell r="W527">
            <v>46118</v>
          </cell>
          <cell r="Y527">
            <v>46093</v>
          </cell>
          <cell r="AC527">
            <v>46107</v>
          </cell>
        </row>
        <row r="528">
          <cell r="I528" t="str">
            <v>EDI</v>
          </cell>
          <cell r="L528">
            <v>4778</v>
          </cell>
          <cell r="N528" t="str">
            <v>Testing</v>
          </cell>
          <cell r="O528" t="str">
            <v>No</v>
          </cell>
          <cell r="Q528" t="str">
            <v>In Progress</v>
          </cell>
          <cell r="R528">
            <v>46093.678715277783</v>
          </cell>
          <cell r="S528" t="str">
            <v>Reem Radwan</v>
          </cell>
          <cell r="T528">
            <v>46128</v>
          </cell>
          <cell r="U528" t="str">
            <v>Peter Abdelmalek</v>
          </cell>
          <cell r="V528">
            <v>46161</v>
          </cell>
          <cell r="Y528">
            <v>46128</v>
          </cell>
        </row>
        <row r="529">
          <cell r="I529" t="str">
            <v>EDI</v>
          </cell>
          <cell r="L529">
            <v>4673</v>
          </cell>
          <cell r="N529" t="str">
            <v>Production</v>
          </cell>
          <cell r="O529" t="str">
            <v>No</v>
          </cell>
          <cell r="Q529" t="str">
            <v>Live</v>
          </cell>
          <cell r="R529">
            <v>46092.719560185193</v>
          </cell>
          <cell r="S529" t="str">
            <v>Karen Ramy</v>
          </cell>
          <cell r="T529">
            <v>46105</v>
          </cell>
          <cell r="U529" t="str">
            <v>Lindsay Hudacik</v>
          </cell>
          <cell r="V529">
            <v>46116</v>
          </cell>
          <cell r="W529">
            <v>46185</v>
          </cell>
          <cell r="Y529">
            <v>46098</v>
          </cell>
          <cell r="AC529">
            <v>46181</v>
          </cell>
        </row>
        <row r="530">
          <cell r="I530" t="str">
            <v>EDI</v>
          </cell>
          <cell r="N530" t="str">
            <v>Requirements Gathering</v>
          </cell>
          <cell r="O530" t="str">
            <v>No</v>
          </cell>
          <cell r="Q530" t="str">
            <v>In Progress</v>
          </cell>
          <cell r="R530">
            <v>46092.709039351852</v>
          </cell>
          <cell r="S530" t="str">
            <v>Sandra Adel</v>
          </cell>
          <cell r="T530">
            <v>46092</v>
          </cell>
          <cell r="U530" t="str">
            <v>Trish Kalinczok</v>
          </cell>
        </row>
        <row r="531">
          <cell r="I531" t="str">
            <v>EDI</v>
          </cell>
          <cell r="L531">
            <v>4941</v>
          </cell>
          <cell r="N531" t="str">
            <v>Production</v>
          </cell>
          <cell r="O531" t="str">
            <v>No</v>
          </cell>
          <cell r="Q531" t="str">
            <v>Live</v>
          </cell>
          <cell r="R531">
            <v>46092.596932870372</v>
          </cell>
          <cell r="S531" t="str">
            <v>Alaa Yehia</v>
          </cell>
          <cell r="T531">
            <v>46180</v>
          </cell>
          <cell r="U531" t="str">
            <v>Rhettsmey Meak</v>
          </cell>
          <cell r="W531">
            <v>46202</v>
          </cell>
          <cell r="Y531">
            <v>46177</v>
          </cell>
          <cell r="AC531">
            <v>46197</v>
          </cell>
        </row>
        <row r="532">
          <cell r="I532" t="str">
            <v>EDI</v>
          </cell>
          <cell r="L532">
            <v>4686</v>
          </cell>
          <cell r="N532" t="str">
            <v>Production</v>
          </cell>
          <cell r="O532" t="str">
            <v>No</v>
          </cell>
          <cell r="Q532" t="str">
            <v>Live</v>
          </cell>
          <cell r="R532">
            <v>46092.586284722223</v>
          </cell>
          <cell r="S532" t="str">
            <v>Ahmed Ali</v>
          </cell>
          <cell r="T532">
            <v>46107</v>
          </cell>
          <cell r="U532" t="str">
            <v>Rhettsmey Meak</v>
          </cell>
          <cell r="V532">
            <v>46112</v>
          </cell>
          <cell r="W532">
            <v>46143</v>
          </cell>
          <cell r="Y532">
            <v>46105</v>
          </cell>
          <cell r="AC532">
            <v>46142</v>
          </cell>
        </row>
        <row r="533">
          <cell r="I533" t="str">
            <v>EDI</v>
          </cell>
          <cell r="L533">
            <v>4692</v>
          </cell>
          <cell r="N533" t="str">
            <v>Production</v>
          </cell>
          <cell r="O533" t="str">
            <v>No</v>
          </cell>
          <cell r="Q533" t="str">
            <v>Live</v>
          </cell>
          <cell r="R533">
            <v>46092.584328703713</v>
          </cell>
          <cell r="S533" t="str">
            <v>Josephine Ossama</v>
          </cell>
          <cell r="T533">
            <v>46107</v>
          </cell>
          <cell r="U533" t="str">
            <v>Lindsay Hudacik</v>
          </cell>
          <cell r="V533">
            <v>46114</v>
          </cell>
          <cell r="W533">
            <v>46170</v>
          </cell>
          <cell r="Y533">
            <v>46105</v>
          </cell>
          <cell r="AC533">
            <v>46163</v>
          </cell>
        </row>
        <row r="534">
          <cell r="I534" t="str">
            <v>EDI</v>
          </cell>
          <cell r="L534">
            <v>4743</v>
          </cell>
          <cell r="N534" t="str">
            <v>Production</v>
          </cell>
          <cell r="O534" t="str">
            <v>No</v>
          </cell>
          <cell r="Q534" t="str">
            <v>Live</v>
          </cell>
          <cell r="R534">
            <v>46092.576747685183</v>
          </cell>
          <cell r="S534" t="str">
            <v>Dina Medhat</v>
          </cell>
          <cell r="T534">
            <v>46092</v>
          </cell>
          <cell r="U534" t="str">
            <v>Lindsay Hudacik</v>
          </cell>
          <cell r="V534">
            <v>46135</v>
          </cell>
          <cell r="W534">
            <v>46175</v>
          </cell>
          <cell r="AC534">
            <v>46183</v>
          </cell>
        </row>
        <row r="535">
          <cell r="I535" t="str">
            <v>EDI</v>
          </cell>
          <cell r="L535">
            <v>4743</v>
          </cell>
          <cell r="N535" t="str">
            <v>Production</v>
          </cell>
          <cell r="O535" t="str">
            <v>No</v>
          </cell>
          <cell r="Q535" t="str">
            <v>Live</v>
          </cell>
          <cell r="R535">
            <v>46092.574259259258</v>
          </cell>
          <cell r="S535" t="str">
            <v>Omnia Abdelaziz</v>
          </cell>
          <cell r="T535">
            <v>46117</v>
          </cell>
          <cell r="U535" t="str">
            <v>Lindsay Hudacik</v>
          </cell>
          <cell r="V535">
            <v>46135</v>
          </cell>
          <cell r="W535">
            <v>46175</v>
          </cell>
          <cell r="Y535">
            <v>46114</v>
          </cell>
          <cell r="AC535">
            <v>46175</v>
          </cell>
        </row>
        <row r="536">
          <cell r="I536" t="str">
            <v>EDI</v>
          </cell>
          <cell r="L536">
            <v>4813</v>
          </cell>
          <cell r="N536" t="str">
            <v>Testing</v>
          </cell>
          <cell r="O536" t="str">
            <v>No</v>
          </cell>
          <cell r="Q536" t="str">
            <v>In Progress</v>
          </cell>
          <cell r="R536">
            <v>46091.747361111113</v>
          </cell>
          <cell r="S536" t="str">
            <v>Zeyad Khaled</v>
          </cell>
          <cell r="T536">
            <v>46134</v>
          </cell>
          <cell r="U536" t="str">
            <v>Lexy Hudson</v>
          </cell>
          <cell r="V536">
            <v>46140</v>
          </cell>
          <cell r="Y536">
            <v>46133</v>
          </cell>
        </row>
        <row r="537">
          <cell r="I537" t="str">
            <v>EDI</v>
          </cell>
          <cell r="L537">
            <v>4755</v>
          </cell>
          <cell r="N537" t="str">
            <v>Testing</v>
          </cell>
          <cell r="O537" t="str">
            <v>No</v>
          </cell>
          <cell r="Q537" t="str">
            <v>In Progress</v>
          </cell>
          <cell r="R537">
            <v>46091.747361111113</v>
          </cell>
          <cell r="S537" t="str">
            <v>Zeyad Khaled</v>
          </cell>
          <cell r="T537">
            <v>46120</v>
          </cell>
          <cell r="U537" t="str">
            <v>Lexy Hudson</v>
          </cell>
          <cell r="V537">
            <v>46139</v>
          </cell>
          <cell r="Y537">
            <v>46119</v>
          </cell>
        </row>
        <row r="538">
          <cell r="I538" t="str">
            <v>EDI</v>
          </cell>
          <cell r="L538">
            <v>4672</v>
          </cell>
          <cell r="N538" t="str">
            <v>Production</v>
          </cell>
          <cell r="O538" t="str">
            <v>No</v>
          </cell>
          <cell r="Q538" t="str">
            <v>Live</v>
          </cell>
          <cell r="R538">
            <v>46091.706574074073</v>
          </cell>
          <cell r="S538" t="str">
            <v>Mirna Azmy</v>
          </cell>
          <cell r="T538">
            <v>46105</v>
          </cell>
          <cell r="U538" t="str">
            <v>Melanie Rhine</v>
          </cell>
          <cell r="V538">
            <v>46106</v>
          </cell>
          <cell r="W538">
            <v>46183</v>
          </cell>
          <cell r="Y538">
            <v>46093</v>
          </cell>
          <cell r="AC538">
            <v>46175</v>
          </cell>
        </row>
        <row r="539">
          <cell r="I539" t="str">
            <v>EDI</v>
          </cell>
          <cell r="L539">
            <v>4680</v>
          </cell>
          <cell r="N539" t="str">
            <v>Testing</v>
          </cell>
          <cell r="O539" t="str">
            <v>No</v>
          </cell>
          <cell r="Q539" t="str">
            <v>In Progress</v>
          </cell>
          <cell r="R539">
            <v>46091.706562500003</v>
          </cell>
          <cell r="S539" t="str">
            <v>Mirna Azmy</v>
          </cell>
          <cell r="T539">
            <v>46105</v>
          </cell>
          <cell r="U539" t="str">
            <v>Melanie Rhine</v>
          </cell>
          <cell r="V539">
            <v>46110</v>
          </cell>
          <cell r="Y539">
            <v>46098</v>
          </cell>
        </row>
        <row r="540">
          <cell r="I540" t="str">
            <v>EDI</v>
          </cell>
          <cell r="N540" t="str">
            <v>Pending Start</v>
          </cell>
          <cell r="O540" t="str">
            <v>No</v>
          </cell>
          <cell r="Q540" t="str">
            <v>Cancelled</v>
          </cell>
          <cell r="R540">
            <v>46091.679351851853</v>
          </cell>
          <cell r="U540" t="str">
            <v>Melanie Rhine</v>
          </cell>
        </row>
        <row r="541">
          <cell r="I541" t="str">
            <v>EDI</v>
          </cell>
          <cell r="N541" t="str">
            <v>Pending Start</v>
          </cell>
          <cell r="O541" t="str">
            <v>No</v>
          </cell>
          <cell r="Q541" t="str">
            <v>Cancelled</v>
          </cell>
          <cell r="R541">
            <v>46091.679340277777</v>
          </cell>
          <cell r="U541" t="str">
            <v>Melanie Rhine</v>
          </cell>
        </row>
        <row r="542">
          <cell r="I542" t="str">
            <v>EDI</v>
          </cell>
          <cell r="L542">
            <v>4649</v>
          </cell>
          <cell r="N542" t="str">
            <v>Production</v>
          </cell>
          <cell r="O542" t="str">
            <v>No</v>
          </cell>
          <cell r="Q542" t="str">
            <v>Live</v>
          </cell>
          <cell r="R542">
            <v>46091.656168981477</v>
          </cell>
          <cell r="S542" t="str">
            <v>Karen Ramy</v>
          </cell>
          <cell r="T542">
            <v>46097</v>
          </cell>
          <cell r="U542" t="str">
            <v>Gregory Dubec</v>
          </cell>
          <cell r="V542">
            <v>46127</v>
          </cell>
          <cell r="W542">
            <v>46205</v>
          </cell>
          <cell r="Y542">
            <v>46096</v>
          </cell>
          <cell r="AC542">
            <v>46204</v>
          </cell>
        </row>
        <row r="543">
          <cell r="I543" t="str">
            <v>EDI</v>
          </cell>
          <cell r="L543">
            <v>4684</v>
          </cell>
          <cell r="N543" t="str">
            <v>Production</v>
          </cell>
          <cell r="O543" t="str">
            <v>No</v>
          </cell>
          <cell r="Q543" t="str">
            <v>Live</v>
          </cell>
          <cell r="R543">
            <v>46091.550844907397</v>
          </cell>
          <cell r="S543" t="str">
            <v>Ahmed Ali</v>
          </cell>
          <cell r="T543">
            <v>46099</v>
          </cell>
          <cell r="U543" t="str">
            <v>Rhettsmey Meak</v>
          </cell>
          <cell r="V543">
            <v>46139</v>
          </cell>
          <cell r="W543">
            <v>46154</v>
          </cell>
          <cell r="Y543">
            <v>46098</v>
          </cell>
          <cell r="AC543">
            <v>46154</v>
          </cell>
        </row>
        <row r="544">
          <cell r="I544" t="str">
            <v>EDI</v>
          </cell>
          <cell r="L544">
            <v>4643</v>
          </cell>
          <cell r="N544" t="str">
            <v>Production</v>
          </cell>
          <cell r="O544" t="str">
            <v>No</v>
          </cell>
          <cell r="Q544" t="str">
            <v>Live</v>
          </cell>
          <cell r="R544">
            <v>46090.800983796304</v>
          </cell>
          <cell r="S544" t="str">
            <v>Mirna Azmy</v>
          </cell>
          <cell r="T544">
            <v>46096</v>
          </cell>
          <cell r="U544" t="str">
            <v>Rhettsmey Meak</v>
          </cell>
          <cell r="V544">
            <v>46097</v>
          </cell>
          <cell r="W544">
            <v>46107</v>
          </cell>
          <cell r="Y544">
            <v>46092</v>
          </cell>
          <cell r="AC544">
            <v>46105</v>
          </cell>
        </row>
        <row r="545">
          <cell r="I545" t="str">
            <v>EDI</v>
          </cell>
          <cell r="L545">
            <v>4660</v>
          </cell>
          <cell r="N545" t="str">
            <v>Production</v>
          </cell>
          <cell r="O545" t="str">
            <v>No</v>
          </cell>
          <cell r="Q545" t="str">
            <v>Live</v>
          </cell>
          <cell r="R545">
            <v>46090.797905092593</v>
          </cell>
          <cell r="S545" t="str">
            <v>Omnia Abdelaziz</v>
          </cell>
          <cell r="T545">
            <v>46099</v>
          </cell>
          <cell r="U545" t="str">
            <v>Rhettsmey Meak</v>
          </cell>
          <cell r="V545">
            <v>46127</v>
          </cell>
          <cell r="W545">
            <v>46142</v>
          </cell>
          <cell r="Y545">
            <v>46096</v>
          </cell>
          <cell r="AC545">
            <v>46139</v>
          </cell>
        </row>
        <row r="546">
          <cell r="I546" t="str">
            <v>EDI</v>
          </cell>
          <cell r="N546" t="str">
            <v>Requirements Gathering</v>
          </cell>
          <cell r="O546" t="str">
            <v>No</v>
          </cell>
          <cell r="Q546" t="str">
            <v>Cancelled</v>
          </cell>
          <cell r="R546">
            <v>46090.730995370373</v>
          </cell>
          <cell r="S546" t="str">
            <v>Sandra Adel</v>
          </cell>
          <cell r="T546">
            <v>46090</v>
          </cell>
          <cell r="U546" t="str">
            <v>Lindsay Hudacik</v>
          </cell>
        </row>
        <row r="547">
          <cell r="I547" t="str">
            <v>EDI</v>
          </cell>
          <cell r="N547" t="str">
            <v>Requirements Gathering</v>
          </cell>
          <cell r="O547" t="str">
            <v>No</v>
          </cell>
          <cell r="Q547" t="str">
            <v>Cancelled</v>
          </cell>
          <cell r="R547">
            <v>46090.730983796297</v>
          </cell>
          <cell r="S547" t="str">
            <v>Sandra Adel</v>
          </cell>
          <cell r="T547">
            <v>46090</v>
          </cell>
          <cell r="U547" t="str">
            <v>Lindsay Hudacik</v>
          </cell>
        </row>
        <row r="548">
          <cell r="I548" t="str">
            <v>EDI</v>
          </cell>
          <cell r="L548">
            <v>4706</v>
          </cell>
          <cell r="N548" t="str">
            <v>Production</v>
          </cell>
          <cell r="O548" t="str">
            <v>No</v>
          </cell>
          <cell r="Q548" t="str">
            <v>Live</v>
          </cell>
          <cell r="R548">
            <v>46090.662939814807</v>
          </cell>
          <cell r="S548" t="str">
            <v>Reem Radwan</v>
          </cell>
          <cell r="T548">
            <v>46111</v>
          </cell>
          <cell r="U548" t="str">
            <v>Lindsay Hudacik</v>
          </cell>
          <cell r="V548">
            <v>25569</v>
          </cell>
          <cell r="W548">
            <v>46146</v>
          </cell>
          <cell r="Y548">
            <v>46111</v>
          </cell>
          <cell r="AC548">
            <v>46142</v>
          </cell>
        </row>
        <row r="549">
          <cell r="I549" t="str">
            <v>EDI</v>
          </cell>
          <cell r="L549">
            <v>4622</v>
          </cell>
          <cell r="N549" t="str">
            <v>Production</v>
          </cell>
          <cell r="O549" t="str">
            <v>No</v>
          </cell>
          <cell r="Q549" t="str">
            <v>Live</v>
          </cell>
          <cell r="R549">
            <v>46086.814259259263</v>
          </cell>
          <cell r="S549" t="str">
            <v>Mirna Azmy</v>
          </cell>
          <cell r="T549">
            <v>46091</v>
          </cell>
          <cell r="U549" t="str">
            <v>Lindsay Hudacik</v>
          </cell>
          <cell r="V549">
            <v>46120</v>
          </cell>
          <cell r="W549">
            <v>46161</v>
          </cell>
          <cell r="Y549">
            <v>46086</v>
          </cell>
          <cell r="AC549">
            <v>46161</v>
          </cell>
        </row>
        <row r="550">
          <cell r="I550" t="str">
            <v>EDI</v>
          </cell>
          <cell r="L550">
            <v>4655</v>
          </cell>
          <cell r="N550" t="str">
            <v>Production</v>
          </cell>
          <cell r="O550" t="str">
            <v>No</v>
          </cell>
          <cell r="Q550" t="str">
            <v>Live</v>
          </cell>
          <cell r="R550">
            <v>46086.620289351849</v>
          </cell>
          <cell r="S550" t="str">
            <v>Omnia Abdelaziz</v>
          </cell>
          <cell r="T550">
            <v>46096</v>
          </cell>
          <cell r="U550" t="str">
            <v>Rhettsmey Meak</v>
          </cell>
          <cell r="V550">
            <v>46106</v>
          </cell>
          <cell r="W550">
            <v>46113</v>
          </cell>
          <cell r="Y550">
            <v>46093</v>
          </cell>
          <cell r="AC550">
            <v>46112</v>
          </cell>
        </row>
        <row r="551">
          <cell r="I551" t="str">
            <v>EDI</v>
          </cell>
          <cell r="L551">
            <v>4645</v>
          </cell>
          <cell r="N551" t="str">
            <v>Production</v>
          </cell>
          <cell r="O551" t="str">
            <v>No</v>
          </cell>
          <cell r="Q551" t="str">
            <v>Live</v>
          </cell>
          <cell r="R551">
            <v>46084.864131944443</v>
          </cell>
          <cell r="S551" t="str">
            <v>Mark Albert</v>
          </cell>
          <cell r="T551">
            <v>46096</v>
          </cell>
          <cell r="U551" t="str">
            <v>Gregory Dubec</v>
          </cell>
          <cell r="V551">
            <v>46119</v>
          </cell>
          <cell r="W551">
            <v>46127</v>
          </cell>
          <cell r="Y551">
            <v>46086</v>
          </cell>
          <cell r="AC551">
            <v>46120</v>
          </cell>
        </row>
        <row r="552">
          <cell r="I552" t="str">
            <v>EDI</v>
          </cell>
          <cell r="L552">
            <v>4242</v>
          </cell>
          <cell r="N552" t="str">
            <v>Production</v>
          </cell>
          <cell r="O552" t="str">
            <v>No</v>
          </cell>
          <cell r="Q552" t="str">
            <v>Live</v>
          </cell>
          <cell r="R552">
            <v>46084.615729166668</v>
          </cell>
          <cell r="S552" t="str">
            <v>Dina Medhat</v>
          </cell>
          <cell r="T552">
            <v>46085</v>
          </cell>
          <cell r="U552" t="str">
            <v>Matt Howell</v>
          </cell>
          <cell r="W552">
            <v>46057</v>
          </cell>
          <cell r="AC552">
            <v>46086</v>
          </cell>
        </row>
        <row r="553">
          <cell r="I553" t="str">
            <v>EDI</v>
          </cell>
          <cell r="L553">
            <v>3842</v>
          </cell>
          <cell r="N553" t="str">
            <v>Production</v>
          </cell>
          <cell r="O553" t="str">
            <v>No</v>
          </cell>
          <cell r="Q553" t="str">
            <v>Live</v>
          </cell>
          <cell r="R553">
            <v>46084.615717592591</v>
          </cell>
          <cell r="S553" t="str">
            <v>Dina Medhat</v>
          </cell>
          <cell r="T553">
            <v>46085</v>
          </cell>
          <cell r="U553" t="str">
            <v>Matt Howell</v>
          </cell>
          <cell r="V553">
            <v>45888</v>
          </cell>
          <cell r="W553">
            <v>46002</v>
          </cell>
          <cell r="AC553">
            <v>46086</v>
          </cell>
        </row>
        <row r="554">
          <cell r="I554" t="str">
            <v>EDI</v>
          </cell>
          <cell r="L554">
            <v>4239</v>
          </cell>
          <cell r="N554" t="str">
            <v>Production</v>
          </cell>
          <cell r="O554" t="str">
            <v>No</v>
          </cell>
          <cell r="Q554" t="str">
            <v>Live</v>
          </cell>
          <cell r="R554">
            <v>46084.615717592591</v>
          </cell>
          <cell r="S554" t="str">
            <v>Dina Medhat</v>
          </cell>
          <cell r="T554">
            <v>46085</v>
          </cell>
          <cell r="U554" t="str">
            <v>Matt Howell</v>
          </cell>
          <cell r="V554">
            <v>46028</v>
          </cell>
          <cell r="W554">
            <v>46037</v>
          </cell>
          <cell r="AC554">
            <v>46086</v>
          </cell>
        </row>
        <row r="555">
          <cell r="I555" t="str">
            <v>EDI</v>
          </cell>
          <cell r="L555">
            <v>3494</v>
          </cell>
          <cell r="N555" t="str">
            <v>Production</v>
          </cell>
          <cell r="O555" t="str">
            <v>No</v>
          </cell>
          <cell r="Q555" t="str">
            <v>Live</v>
          </cell>
          <cell r="R555">
            <v>46084.615706018521</v>
          </cell>
          <cell r="S555" t="str">
            <v>Dina Medhat</v>
          </cell>
          <cell r="T555">
            <v>46085</v>
          </cell>
          <cell r="U555" t="str">
            <v>Matt Howell</v>
          </cell>
          <cell r="V555">
            <v>45732</v>
          </cell>
          <cell r="W555">
            <v>45799</v>
          </cell>
          <cell r="AC555">
            <v>46086</v>
          </cell>
        </row>
        <row r="556">
          <cell r="I556" t="str">
            <v>EDI</v>
          </cell>
          <cell r="L556">
            <v>3509</v>
          </cell>
          <cell r="N556" t="str">
            <v>Production</v>
          </cell>
          <cell r="O556" t="str">
            <v>No</v>
          </cell>
          <cell r="Q556" t="str">
            <v>Live</v>
          </cell>
          <cell r="R556">
            <v>46084.615706018521</v>
          </cell>
          <cell r="S556" t="str">
            <v>Dina Medhat</v>
          </cell>
          <cell r="T556">
            <v>46085</v>
          </cell>
          <cell r="U556" t="str">
            <v>Matt Howell</v>
          </cell>
          <cell r="V556">
            <v>45747</v>
          </cell>
          <cell r="W556">
            <v>45841</v>
          </cell>
          <cell r="AC556">
            <v>46086</v>
          </cell>
        </row>
        <row r="557">
          <cell r="I557" t="str">
            <v>EDI</v>
          </cell>
          <cell r="L557">
            <v>4741</v>
          </cell>
          <cell r="N557" t="str">
            <v>Production</v>
          </cell>
          <cell r="O557" t="str">
            <v>No</v>
          </cell>
          <cell r="Q557" t="str">
            <v>Live</v>
          </cell>
          <cell r="R557">
            <v>46083.632187499999</v>
          </cell>
          <cell r="S557" t="str">
            <v>Omnia Abdelaziz</v>
          </cell>
          <cell r="T557">
            <v>46113</v>
          </cell>
          <cell r="U557" t="str">
            <v>Rhettsmey Meak</v>
          </cell>
          <cell r="V557">
            <v>46126</v>
          </cell>
          <cell r="W557">
            <v>46129</v>
          </cell>
          <cell r="Y557">
            <v>46112</v>
          </cell>
          <cell r="AC557">
            <v>46127</v>
          </cell>
        </row>
        <row r="558">
          <cell r="I558" t="str">
            <v>EDI</v>
          </cell>
          <cell r="L558">
            <v>4612</v>
          </cell>
          <cell r="N558" t="str">
            <v>Testing</v>
          </cell>
          <cell r="O558" t="str">
            <v>No</v>
          </cell>
          <cell r="Q558" t="str">
            <v>Cancelled</v>
          </cell>
          <cell r="R558">
            <v>46083.631504629629</v>
          </cell>
          <cell r="S558" t="str">
            <v>Alaa Yehia</v>
          </cell>
          <cell r="T558">
            <v>46085</v>
          </cell>
          <cell r="U558" t="str">
            <v>Peter Abdelmalek</v>
          </cell>
          <cell r="V558">
            <v>46090</v>
          </cell>
          <cell r="Y558">
            <v>46085</v>
          </cell>
        </row>
        <row r="559">
          <cell r="I559" t="str">
            <v>EDI</v>
          </cell>
          <cell r="L559">
            <v>4812</v>
          </cell>
          <cell r="N559" t="str">
            <v>Production</v>
          </cell>
          <cell r="O559" t="str">
            <v>No</v>
          </cell>
          <cell r="Q559" t="str">
            <v>Live</v>
          </cell>
          <cell r="R559">
            <v>46083.596666666657</v>
          </cell>
          <cell r="S559" t="str">
            <v>Mark Albert</v>
          </cell>
          <cell r="T559">
            <v>46135</v>
          </cell>
          <cell r="U559" t="str">
            <v>Rhettsmey Meak</v>
          </cell>
          <cell r="W559">
            <v>46161</v>
          </cell>
          <cell r="Y559">
            <v>46134</v>
          </cell>
          <cell r="AC559">
            <v>46159</v>
          </cell>
        </row>
        <row r="560">
          <cell r="I560" t="str">
            <v>EDI</v>
          </cell>
          <cell r="L560">
            <v>4593</v>
          </cell>
          <cell r="N560" t="str">
            <v>Production</v>
          </cell>
          <cell r="O560" t="str">
            <v>eBenefits Network</v>
          </cell>
          <cell r="P560" t="str">
            <v>Migration Testing</v>
          </cell>
          <cell r="Q560" t="str">
            <v>Live</v>
          </cell>
          <cell r="R560">
            <v>46080.740231481483</v>
          </cell>
          <cell r="S560" t="str">
            <v>Peter Abdelmalek</v>
          </cell>
          <cell r="T560">
            <v>46083</v>
          </cell>
          <cell r="U560" t="str">
            <v>Lindsay Hudacik</v>
          </cell>
          <cell r="V560">
            <v>46107</v>
          </cell>
          <cell r="W560">
            <v>46112</v>
          </cell>
          <cell r="Y560">
            <v>46083</v>
          </cell>
          <cell r="AC560">
            <v>46111</v>
          </cell>
        </row>
        <row r="561">
          <cell r="I561" t="str">
            <v>EDI</v>
          </cell>
          <cell r="N561" t="str">
            <v>Requirements Gathering</v>
          </cell>
          <cell r="O561" t="str">
            <v>No</v>
          </cell>
          <cell r="Q561" t="str">
            <v>Cancelled</v>
          </cell>
          <cell r="R561">
            <v>46080.661921296298</v>
          </cell>
          <cell r="S561" t="str">
            <v>Karim Tarek</v>
          </cell>
          <cell r="T561">
            <v>46082</v>
          </cell>
          <cell r="U561" t="str">
            <v>Rhettsmey Meak</v>
          </cell>
        </row>
        <row r="562">
          <cell r="I562" t="str">
            <v>EDI</v>
          </cell>
          <cell r="L562">
            <v>4674</v>
          </cell>
          <cell r="N562" t="str">
            <v>Production</v>
          </cell>
          <cell r="O562" t="str">
            <v>No</v>
          </cell>
          <cell r="Q562" t="str">
            <v>Live</v>
          </cell>
          <cell r="R562">
            <v>46080.637638888889</v>
          </cell>
          <cell r="S562" t="str">
            <v>Zeyad Khaled</v>
          </cell>
          <cell r="T562">
            <v>46096</v>
          </cell>
          <cell r="U562" t="str">
            <v>Trish Kalinczok</v>
          </cell>
          <cell r="V562">
            <v>46114</v>
          </cell>
          <cell r="W562">
            <v>46133</v>
          </cell>
          <cell r="Y562">
            <v>46092</v>
          </cell>
          <cell r="AC562">
            <v>46128</v>
          </cell>
        </row>
        <row r="563">
          <cell r="I563" t="str">
            <v>EDI</v>
          </cell>
          <cell r="L563">
            <v>4650</v>
          </cell>
          <cell r="N563" t="str">
            <v>Production</v>
          </cell>
          <cell r="O563" t="str">
            <v>No</v>
          </cell>
          <cell r="Q563" t="str">
            <v>Live</v>
          </cell>
          <cell r="R563">
            <v>46080.600810185177</v>
          </cell>
          <cell r="S563" t="str">
            <v>Ahmed Ali</v>
          </cell>
          <cell r="T563">
            <v>46092</v>
          </cell>
          <cell r="U563" t="str">
            <v>Rhettsmey Meak</v>
          </cell>
          <cell r="V563">
            <v>25569</v>
          </cell>
          <cell r="W563">
            <v>46143</v>
          </cell>
          <cell r="Y563">
            <v>46091</v>
          </cell>
          <cell r="AC563">
            <v>46142</v>
          </cell>
        </row>
        <row r="564">
          <cell r="I564" t="str">
            <v>EDI</v>
          </cell>
          <cell r="L564">
            <v>4908</v>
          </cell>
          <cell r="N564" t="str">
            <v>Mapping</v>
          </cell>
          <cell r="O564" t="str">
            <v>No</v>
          </cell>
          <cell r="Q564" t="str">
            <v>In Progress</v>
          </cell>
          <cell r="R564">
            <v>46078.91646990741</v>
          </cell>
          <cell r="S564" t="str">
            <v>Omnia Abdelaziz</v>
          </cell>
          <cell r="T564">
            <v>46159</v>
          </cell>
          <cell r="U564" t="str">
            <v>Gregory Dubec</v>
          </cell>
          <cell r="Y564">
            <v>46156</v>
          </cell>
        </row>
        <row r="565">
          <cell r="I565" t="str">
            <v>EDI</v>
          </cell>
          <cell r="L565">
            <v>4710</v>
          </cell>
          <cell r="N565" t="str">
            <v>Production</v>
          </cell>
          <cell r="O565" t="str">
            <v>No</v>
          </cell>
          <cell r="Q565" t="str">
            <v>Live</v>
          </cell>
          <cell r="R565">
            <v>46078.904120370367</v>
          </cell>
          <cell r="S565" t="str">
            <v>Mark Albert</v>
          </cell>
          <cell r="T565">
            <v>46107</v>
          </cell>
          <cell r="U565" t="str">
            <v>Melanie Rhine</v>
          </cell>
          <cell r="W565">
            <v>46160</v>
          </cell>
          <cell r="Y565">
            <v>46105</v>
          </cell>
          <cell r="AC565">
            <v>46155</v>
          </cell>
        </row>
        <row r="566">
          <cell r="I566" t="str">
            <v>EDI</v>
          </cell>
          <cell r="N566" t="str">
            <v>Requirements Gathering</v>
          </cell>
          <cell r="O566" t="str">
            <v>No</v>
          </cell>
          <cell r="Q566" t="str">
            <v>Cancelled</v>
          </cell>
          <cell r="R566">
            <v>46078.857152777768</v>
          </cell>
          <cell r="S566" t="str">
            <v>Sandra Adel</v>
          </cell>
          <cell r="T566">
            <v>46082</v>
          </cell>
          <cell r="U566" t="str">
            <v>Lonnie Celestin</v>
          </cell>
        </row>
        <row r="567">
          <cell r="I567" t="str">
            <v>EDI</v>
          </cell>
          <cell r="L567">
            <v>4636</v>
          </cell>
          <cell r="N567" t="str">
            <v>Production</v>
          </cell>
          <cell r="O567" t="str">
            <v>No</v>
          </cell>
          <cell r="Q567" t="str">
            <v>Live</v>
          </cell>
          <cell r="R567">
            <v>46078.857141203713</v>
          </cell>
          <cell r="S567" t="str">
            <v>Aya Fathy</v>
          </cell>
          <cell r="T567">
            <v>46092</v>
          </cell>
          <cell r="U567" t="str">
            <v>Lonnie Celestin</v>
          </cell>
          <cell r="V567">
            <v>46104</v>
          </cell>
          <cell r="W567">
            <v>46171</v>
          </cell>
          <cell r="Y567">
            <v>46086</v>
          </cell>
          <cell r="AC567">
            <v>46166</v>
          </cell>
        </row>
        <row r="568">
          <cell r="I568" t="str">
            <v>EDI</v>
          </cell>
          <cell r="L568">
            <v>4712</v>
          </cell>
          <cell r="N568" t="str">
            <v>Testing</v>
          </cell>
          <cell r="O568" t="str">
            <v>No</v>
          </cell>
          <cell r="Q568" t="str">
            <v>Cancelled</v>
          </cell>
          <cell r="R568">
            <v>46078.857129629629</v>
          </cell>
          <cell r="S568" t="str">
            <v>Marwan Tawfik</v>
          </cell>
          <cell r="T568">
            <v>46107</v>
          </cell>
          <cell r="U568" t="str">
            <v>Lonnie Celestin</v>
          </cell>
          <cell r="V568">
            <v>46133</v>
          </cell>
          <cell r="Y568">
            <v>46105</v>
          </cell>
        </row>
        <row r="569">
          <cell r="I569" t="str">
            <v>EDI</v>
          </cell>
          <cell r="L569">
            <v>4635</v>
          </cell>
          <cell r="N569" t="str">
            <v>Production</v>
          </cell>
          <cell r="O569" t="str">
            <v>No</v>
          </cell>
          <cell r="Q569" t="str">
            <v>Live</v>
          </cell>
          <cell r="R569">
            <v>46078.857129629629</v>
          </cell>
          <cell r="S569" t="str">
            <v>Aya Fathy</v>
          </cell>
          <cell r="T569">
            <v>46092</v>
          </cell>
          <cell r="U569" t="str">
            <v>Lonnie Celestin</v>
          </cell>
          <cell r="V569">
            <v>46096</v>
          </cell>
          <cell r="W569">
            <v>46122</v>
          </cell>
          <cell r="Y569">
            <v>46091</v>
          </cell>
          <cell r="AC569">
            <v>46120</v>
          </cell>
        </row>
        <row r="570">
          <cell r="I570" t="str">
            <v>EDI</v>
          </cell>
          <cell r="L570">
            <v>4713</v>
          </cell>
          <cell r="N570" t="str">
            <v>Testing</v>
          </cell>
          <cell r="O570" t="str">
            <v>No</v>
          </cell>
          <cell r="Q570" t="str">
            <v>In Progress</v>
          </cell>
          <cell r="R570">
            <v>46078.857118055559</v>
          </cell>
          <cell r="S570" t="str">
            <v>Marwan Tawfik</v>
          </cell>
          <cell r="T570">
            <v>46107</v>
          </cell>
          <cell r="U570" t="str">
            <v>Lonnie Celestin</v>
          </cell>
          <cell r="V570">
            <v>46133</v>
          </cell>
          <cell r="Y570">
            <v>46105</v>
          </cell>
        </row>
        <row r="571">
          <cell r="I571" t="str">
            <v>EDI</v>
          </cell>
          <cell r="L571">
            <v>4648</v>
          </cell>
          <cell r="N571" t="str">
            <v>Production</v>
          </cell>
          <cell r="O571" t="str">
            <v>No</v>
          </cell>
          <cell r="Q571" t="str">
            <v>Live</v>
          </cell>
          <cell r="R571">
            <v>46078.690266203703</v>
          </cell>
          <cell r="S571" t="str">
            <v>Karen Ramy</v>
          </cell>
          <cell r="T571">
            <v>46092</v>
          </cell>
          <cell r="U571" t="str">
            <v>Peter Abdelmalek</v>
          </cell>
          <cell r="V571">
            <v>46120</v>
          </cell>
          <cell r="W571">
            <v>46126</v>
          </cell>
          <cell r="Y571">
            <v>46086</v>
          </cell>
          <cell r="AC571">
            <v>46125</v>
          </cell>
        </row>
        <row r="572">
          <cell r="I572" t="str">
            <v>EDI</v>
          </cell>
          <cell r="L572">
            <v>4905</v>
          </cell>
          <cell r="N572" t="str">
            <v>Testing</v>
          </cell>
          <cell r="O572" t="str">
            <v>No</v>
          </cell>
          <cell r="Q572" t="str">
            <v>In Progress</v>
          </cell>
          <cell r="R572">
            <v>46078.131388888891</v>
          </cell>
          <cell r="S572" t="str">
            <v>Reem Radwan</v>
          </cell>
          <cell r="T572">
            <v>46155</v>
          </cell>
          <cell r="U572" t="str">
            <v>Rhettsmey Meak</v>
          </cell>
          <cell r="V572">
            <v>46176</v>
          </cell>
          <cell r="Y572">
            <v>46152</v>
          </cell>
        </row>
        <row r="573">
          <cell r="I573" t="str">
            <v>EDI</v>
          </cell>
          <cell r="L573">
            <v>4855</v>
          </cell>
          <cell r="N573" t="str">
            <v>Testing</v>
          </cell>
          <cell r="O573" t="str">
            <v>No</v>
          </cell>
          <cell r="Q573" t="str">
            <v>In Progress</v>
          </cell>
          <cell r="R573">
            <v>46078.131377314807</v>
          </cell>
          <cell r="S573" t="str">
            <v>Mark Albert</v>
          </cell>
          <cell r="T573">
            <v>46147</v>
          </cell>
          <cell r="U573" t="str">
            <v>Rhettsmey Meak</v>
          </cell>
          <cell r="Y573">
            <v>46147</v>
          </cell>
        </row>
        <row r="574">
          <cell r="I574" t="str">
            <v>EDI</v>
          </cell>
          <cell r="L574">
            <v>4618</v>
          </cell>
          <cell r="N574" t="str">
            <v>Production</v>
          </cell>
          <cell r="O574" t="str">
            <v>No</v>
          </cell>
          <cell r="Q574" t="str">
            <v>Live</v>
          </cell>
          <cell r="R574">
            <v>46078.131377314807</v>
          </cell>
          <cell r="S574" t="str">
            <v>Aya Fathy</v>
          </cell>
          <cell r="T574">
            <v>46090</v>
          </cell>
          <cell r="U574" t="str">
            <v>Rhettsmey Meak</v>
          </cell>
          <cell r="V574">
            <v>46092</v>
          </cell>
          <cell r="W574">
            <v>46189</v>
          </cell>
          <cell r="Y574">
            <v>46086</v>
          </cell>
          <cell r="AC574">
            <v>46185</v>
          </cell>
        </row>
        <row r="575">
          <cell r="I575" t="str">
            <v>EDI</v>
          </cell>
          <cell r="L575">
            <v>4662</v>
          </cell>
          <cell r="N575" t="str">
            <v>Production</v>
          </cell>
          <cell r="O575" t="str">
            <v>No</v>
          </cell>
          <cell r="Q575" t="str">
            <v>Live</v>
          </cell>
          <cell r="R575">
            <v>46077.934618055559</v>
          </cell>
          <cell r="S575" t="str">
            <v>Andrew Ramy</v>
          </cell>
          <cell r="T575">
            <v>46092</v>
          </cell>
          <cell r="U575" t="str">
            <v>Trish Kalinczok</v>
          </cell>
          <cell r="V575">
            <v>46099</v>
          </cell>
          <cell r="W575">
            <v>46133</v>
          </cell>
          <cell r="Y575">
            <v>46085</v>
          </cell>
          <cell r="AC575">
            <v>46127</v>
          </cell>
        </row>
        <row r="576">
          <cell r="I576" t="str">
            <v>EDI</v>
          </cell>
          <cell r="L576">
            <v>4651</v>
          </cell>
          <cell r="N576" t="str">
            <v>Production</v>
          </cell>
          <cell r="O576" t="str">
            <v>No</v>
          </cell>
          <cell r="Q576" t="str">
            <v>Live</v>
          </cell>
          <cell r="R576">
            <v>46077.928506944438</v>
          </cell>
          <cell r="S576" t="str">
            <v>Josephine Ossama</v>
          </cell>
          <cell r="T576">
            <v>46092</v>
          </cell>
          <cell r="U576" t="str">
            <v>Jay Lang</v>
          </cell>
          <cell r="V576">
            <v>46146</v>
          </cell>
          <cell r="W576">
            <v>46199</v>
          </cell>
          <cell r="Y576">
            <v>46089</v>
          </cell>
          <cell r="AC576">
            <v>46198</v>
          </cell>
        </row>
        <row r="577">
          <cell r="I577" t="str">
            <v>EDI</v>
          </cell>
          <cell r="L577">
            <v>4600</v>
          </cell>
          <cell r="N577" t="str">
            <v>Production</v>
          </cell>
          <cell r="O577" t="str">
            <v>No</v>
          </cell>
          <cell r="Q577" t="str">
            <v>Live</v>
          </cell>
          <cell r="R577">
            <v>46077.8984375</v>
          </cell>
          <cell r="S577" t="str">
            <v>Ahmed Ali</v>
          </cell>
          <cell r="T577">
            <v>46085</v>
          </cell>
          <cell r="U577" t="str">
            <v>Gregory Dubec</v>
          </cell>
          <cell r="V577">
            <v>25569</v>
          </cell>
          <cell r="W577">
            <v>46191</v>
          </cell>
          <cell r="Y577">
            <v>46083</v>
          </cell>
          <cell r="AC577">
            <v>46190</v>
          </cell>
        </row>
        <row r="578">
          <cell r="I578" t="str">
            <v>EDI</v>
          </cell>
          <cell r="L578">
            <v>4640</v>
          </cell>
          <cell r="N578" t="str">
            <v>Production</v>
          </cell>
          <cell r="O578" t="str">
            <v>No</v>
          </cell>
          <cell r="Q578" t="str">
            <v>Live</v>
          </cell>
          <cell r="R578">
            <v>46077.864652777767</v>
          </cell>
          <cell r="S578" t="str">
            <v>Alaa Yehia</v>
          </cell>
          <cell r="T578">
            <v>46092</v>
          </cell>
          <cell r="U578" t="str">
            <v>Robbie Schappell</v>
          </cell>
          <cell r="V578">
            <v>46098</v>
          </cell>
          <cell r="W578">
            <v>46100</v>
          </cell>
          <cell r="Y578">
            <v>46086</v>
          </cell>
          <cell r="AC578">
            <v>46099</v>
          </cell>
        </row>
        <row r="579">
          <cell r="I579" t="str">
            <v>EDI</v>
          </cell>
          <cell r="L579">
            <v>4844</v>
          </cell>
          <cell r="N579" t="str">
            <v>Mapping</v>
          </cell>
          <cell r="O579" t="str">
            <v>No</v>
          </cell>
          <cell r="Q579" t="str">
            <v>In Progress</v>
          </cell>
          <cell r="R579">
            <v>46077.734386574077</v>
          </cell>
          <cell r="S579" t="str">
            <v>Zeyad Khaled</v>
          </cell>
          <cell r="T579">
            <v>46140</v>
          </cell>
          <cell r="U579" t="str">
            <v>Gregory Dubec</v>
          </cell>
          <cell r="Y579">
            <v>46139</v>
          </cell>
        </row>
        <row r="580">
          <cell r="I580" t="str">
            <v>EDI</v>
          </cell>
          <cell r="L580">
            <v>4620</v>
          </cell>
          <cell r="N580" t="str">
            <v>Production</v>
          </cell>
          <cell r="O580" t="str">
            <v>No</v>
          </cell>
          <cell r="Q580" t="str">
            <v>Live</v>
          </cell>
          <cell r="R580">
            <v>46077.734386574077</v>
          </cell>
          <cell r="S580" t="str">
            <v>Andrew Ramy</v>
          </cell>
          <cell r="T580">
            <v>46085</v>
          </cell>
          <cell r="U580" t="str">
            <v>Gregory Dubec</v>
          </cell>
          <cell r="V580">
            <v>46111</v>
          </cell>
          <cell r="W580">
            <v>46141</v>
          </cell>
          <cell r="Y580">
            <v>46078</v>
          </cell>
          <cell r="AC580">
            <v>46139</v>
          </cell>
        </row>
        <row r="581">
          <cell r="I581" t="str">
            <v>EDI</v>
          </cell>
          <cell r="L581">
            <v>4630</v>
          </cell>
          <cell r="N581" t="str">
            <v>Testing</v>
          </cell>
          <cell r="O581" t="str">
            <v>No</v>
          </cell>
          <cell r="Q581" t="str">
            <v>In Progress</v>
          </cell>
          <cell r="R581">
            <v>46077.681817129633</v>
          </cell>
          <cell r="S581" t="str">
            <v>Mark Albert</v>
          </cell>
          <cell r="T581">
            <v>46092</v>
          </cell>
          <cell r="U581" t="str">
            <v>Gregory Dubec</v>
          </cell>
          <cell r="Y581">
            <v>46086</v>
          </cell>
        </row>
        <row r="582">
          <cell r="I582" t="str">
            <v>EDI</v>
          </cell>
          <cell r="L582">
            <v>4678</v>
          </cell>
          <cell r="N582" t="str">
            <v>Testing</v>
          </cell>
          <cell r="O582" t="str">
            <v>No</v>
          </cell>
          <cell r="Q582" t="str">
            <v>In Progress</v>
          </cell>
          <cell r="R582">
            <v>46077.681817129633</v>
          </cell>
          <cell r="S582" t="str">
            <v>Reem Radwan</v>
          </cell>
          <cell r="T582">
            <v>46096</v>
          </cell>
          <cell r="U582" t="str">
            <v>Gregory Dubec</v>
          </cell>
          <cell r="V582">
            <v>46176</v>
          </cell>
          <cell r="Y582">
            <v>46095</v>
          </cell>
        </row>
        <row r="583">
          <cell r="I583" t="str">
            <v>EDI</v>
          </cell>
          <cell r="L583">
            <v>4658</v>
          </cell>
          <cell r="N583" t="str">
            <v>Testing</v>
          </cell>
          <cell r="O583" t="str">
            <v>No</v>
          </cell>
          <cell r="Q583" t="str">
            <v>In Progress</v>
          </cell>
          <cell r="R583">
            <v>46077.617812500001</v>
          </cell>
          <cell r="S583" t="str">
            <v>Omnia Abdelaziz</v>
          </cell>
          <cell r="T583">
            <v>46099</v>
          </cell>
          <cell r="U583" t="str">
            <v>Lindsay Hudacik</v>
          </cell>
          <cell r="V583">
            <v>46105</v>
          </cell>
          <cell r="Y583">
            <v>46093</v>
          </cell>
        </row>
        <row r="584">
          <cell r="I584" t="str">
            <v>EDI</v>
          </cell>
          <cell r="L584">
            <v>4659</v>
          </cell>
          <cell r="N584" t="str">
            <v>Testing</v>
          </cell>
          <cell r="O584" t="str">
            <v>No</v>
          </cell>
          <cell r="Q584" t="str">
            <v>In Progress</v>
          </cell>
          <cell r="R584">
            <v>46077.617800925917</v>
          </cell>
          <cell r="S584" t="str">
            <v>Omnia Abdelaziz</v>
          </cell>
          <cell r="T584">
            <v>46099</v>
          </cell>
          <cell r="U584" t="str">
            <v>Lindsay Hudacik</v>
          </cell>
          <cell r="V584">
            <v>46154</v>
          </cell>
          <cell r="Y584">
            <v>46093</v>
          </cell>
        </row>
        <row r="585">
          <cell r="I585" t="str">
            <v>EDI</v>
          </cell>
          <cell r="L585">
            <v>4642</v>
          </cell>
          <cell r="N585" t="str">
            <v>Production</v>
          </cell>
          <cell r="O585" t="str">
            <v>No</v>
          </cell>
          <cell r="Q585" t="str">
            <v>Live</v>
          </cell>
          <cell r="R585">
            <v>46077.609571759262</v>
          </cell>
          <cell r="S585" t="str">
            <v>Mirna Azmy</v>
          </cell>
          <cell r="T585">
            <v>46092</v>
          </cell>
          <cell r="U585" t="str">
            <v>Gregory Dubec</v>
          </cell>
          <cell r="V585">
            <v>25569</v>
          </cell>
          <cell r="W585">
            <v>46140</v>
          </cell>
          <cell r="Y585">
            <v>46086</v>
          </cell>
          <cell r="AC585">
            <v>46134</v>
          </cell>
        </row>
        <row r="586">
          <cell r="I586" t="str">
            <v>EDI</v>
          </cell>
          <cell r="L586">
            <v>4632</v>
          </cell>
          <cell r="N586" t="str">
            <v>Production</v>
          </cell>
          <cell r="O586" t="str">
            <v>No</v>
          </cell>
          <cell r="Q586" t="str">
            <v>Live</v>
          </cell>
          <cell r="R586">
            <v>46077.609560185178</v>
          </cell>
          <cell r="S586" t="str">
            <v>Mirna Azmy</v>
          </cell>
          <cell r="T586">
            <v>46092</v>
          </cell>
          <cell r="U586" t="str">
            <v>Gregory Dubec</v>
          </cell>
          <cell r="V586">
            <v>46097</v>
          </cell>
          <cell r="W586">
            <v>46107</v>
          </cell>
          <cell r="Y586">
            <v>46087</v>
          </cell>
          <cell r="AC586">
            <v>46105</v>
          </cell>
        </row>
        <row r="587">
          <cell r="I587" t="str">
            <v>EDI</v>
          </cell>
          <cell r="L587">
            <v>4761</v>
          </cell>
          <cell r="N587" t="str">
            <v>Testing</v>
          </cell>
          <cell r="O587" t="str">
            <v>No</v>
          </cell>
          <cell r="Q587" t="str">
            <v>In Progress</v>
          </cell>
          <cell r="R587">
            <v>46076.398518518523</v>
          </cell>
          <cell r="S587" t="str">
            <v>Alaa Yehia</v>
          </cell>
          <cell r="T587">
            <v>46126</v>
          </cell>
          <cell r="U587" t="str">
            <v>Beth Coon</v>
          </cell>
          <cell r="V587">
            <v>46188</v>
          </cell>
          <cell r="Y587">
            <v>46125</v>
          </cell>
        </row>
        <row r="588">
          <cell r="I588" t="str">
            <v>EDI</v>
          </cell>
          <cell r="L588">
            <v>4611</v>
          </cell>
          <cell r="N588" t="str">
            <v>Production</v>
          </cell>
          <cell r="O588" t="str">
            <v>No</v>
          </cell>
          <cell r="Q588" t="str">
            <v>Live</v>
          </cell>
          <cell r="R588">
            <v>46076.398506944453</v>
          </cell>
          <cell r="S588" t="str">
            <v>Reem Radwan</v>
          </cell>
          <cell r="T588">
            <v>46085</v>
          </cell>
          <cell r="U588" t="str">
            <v>Beth Coon</v>
          </cell>
          <cell r="V588">
            <v>46121</v>
          </cell>
          <cell r="W588">
            <v>46155</v>
          </cell>
          <cell r="Y588">
            <v>46083</v>
          </cell>
          <cell r="AC588">
            <v>46155</v>
          </cell>
        </row>
        <row r="589">
          <cell r="I589" t="str">
            <v>EDI</v>
          </cell>
          <cell r="L589">
            <v>4609</v>
          </cell>
          <cell r="N589" t="str">
            <v>Testing</v>
          </cell>
          <cell r="O589" t="str">
            <v>No</v>
          </cell>
          <cell r="Q589" t="str">
            <v>In Progress</v>
          </cell>
          <cell r="R589">
            <v>46076.394490740742</v>
          </cell>
          <cell r="S589" t="str">
            <v>Reem Radwan</v>
          </cell>
          <cell r="T589">
            <v>46085</v>
          </cell>
          <cell r="U589" t="str">
            <v>Beth Coon</v>
          </cell>
          <cell r="V589">
            <v>46114</v>
          </cell>
          <cell r="Y589">
            <v>46083</v>
          </cell>
        </row>
        <row r="590">
          <cell r="I590" t="str">
            <v>EDI</v>
          </cell>
          <cell r="L590">
            <v>4613</v>
          </cell>
          <cell r="N590" t="str">
            <v>Testing</v>
          </cell>
          <cell r="O590" t="str">
            <v>No</v>
          </cell>
          <cell r="Q590" t="str">
            <v>In Progress</v>
          </cell>
          <cell r="R590">
            <v>46076.194652777784</v>
          </cell>
          <cell r="S590" t="str">
            <v>Alaa Yehia</v>
          </cell>
          <cell r="T590">
            <v>46085</v>
          </cell>
          <cell r="U590" t="str">
            <v>Peter Abdelmalek</v>
          </cell>
          <cell r="V590">
            <v>46090</v>
          </cell>
          <cell r="Y590">
            <v>46077</v>
          </cell>
        </row>
        <row r="591">
          <cell r="I591" t="str">
            <v>EDI</v>
          </cell>
          <cell r="L591">
            <v>4621</v>
          </cell>
          <cell r="N591" t="str">
            <v>Production</v>
          </cell>
          <cell r="O591" t="str">
            <v>No</v>
          </cell>
          <cell r="Q591" t="str">
            <v>Live</v>
          </cell>
          <cell r="R591">
            <v>46076.194641203707</v>
          </cell>
          <cell r="S591" t="str">
            <v>Alaa Yehia</v>
          </cell>
          <cell r="T591">
            <v>46085</v>
          </cell>
          <cell r="U591" t="str">
            <v>Peter Abdelmalek</v>
          </cell>
          <cell r="V591">
            <v>46093</v>
          </cell>
          <cell r="W591">
            <v>46210</v>
          </cell>
          <cell r="Y591">
            <v>46077</v>
          </cell>
          <cell r="AC591">
            <v>46208</v>
          </cell>
        </row>
        <row r="592">
          <cell r="I592" t="str">
            <v>EDI</v>
          </cell>
          <cell r="L592">
            <v>4696</v>
          </cell>
          <cell r="N592" t="str">
            <v>Testing</v>
          </cell>
          <cell r="O592" t="str">
            <v>No</v>
          </cell>
          <cell r="Q592" t="str">
            <v>In Progress</v>
          </cell>
          <cell r="R592">
            <v>46073.876273148147</v>
          </cell>
          <cell r="S592" t="str">
            <v>Karen Ramy</v>
          </cell>
          <cell r="T592">
            <v>46107</v>
          </cell>
          <cell r="U592" t="str">
            <v>Trish Kalinczok</v>
          </cell>
          <cell r="V592">
            <v>46127</v>
          </cell>
          <cell r="Y592">
            <v>46106</v>
          </cell>
        </row>
        <row r="593">
          <cell r="I593" t="str">
            <v>EDI</v>
          </cell>
          <cell r="L593">
            <v>4646</v>
          </cell>
          <cell r="N593" t="str">
            <v>Production</v>
          </cell>
          <cell r="O593" t="str">
            <v>No</v>
          </cell>
          <cell r="Q593" t="str">
            <v>Live</v>
          </cell>
          <cell r="R593">
            <v>46073.758738425917</v>
          </cell>
          <cell r="S593" t="str">
            <v>Aya Fathy</v>
          </cell>
          <cell r="T593">
            <v>46096</v>
          </cell>
          <cell r="U593" t="str">
            <v>Rhettsmey Meak</v>
          </cell>
          <cell r="V593">
            <v>46104</v>
          </cell>
          <cell r="W593">
            <v>46154</v>
          </cell>
          <cell r="Y593">
            <v>46094</v>
          </cell>
          <cell r="AC593">
            <v>46154</v>
          </cell>
        </row>
        <row r="594">
          <cell r="I594" t="str">
            <v>EDI</v>
          </cell>
          <cell r="L594">
            <v>4693</v>
          </cell>
          <cell r="N594" t="str">
            <v>Production</v>
          </cell>
          <cell r="O594" t="str">
            <v>No</v>
          </cell>
          <cell r="Q594" t="str">
            <v>Live</v>
          </cell>
          <cell r="R594">
            <v>46073.662256944437</v>
          </cell>
          <cell r="S594" t="str">
            <v>Reem Radwan</v>
          </cell>
          <cell r="T594">
            <v>46107</v>
          </cell>
          <cell r="U594" t="str">
            <v>Lindsay Hudacik</v>
          </cell>
          <cell r="V594">
            <v>46111</v>
          </cell>
          <cell r="W594">
            <v>46126</v>
          </cell>
          <cell r="Y594">
            <v>46089</v>
          </cell>
          <cell r="AC594">
            <v>46126</v>
          </cell>
        </row>
        <row r="595">
          <cell r="I595" t="str">
            <v>EDI</v>
          </cell>
          <cell r="L595">
            <v>4806</v>
          </cell>
          <cell r="N595" t="str">
            <v>Production</v>
          </cell>
          <cell r="O595" t="str">
            <v>No</v>
          </cell>
          <cell r="Q595" t="str">
            <v>Live</v>
          </cell>
          <cell r="R595">
            <v>46073.650543981479</v>
          </cell>
          <cell r="S595" t="str">
            <v>Josephine Ossama</v>
          </cell>
          <cell r="T595">
            <v>46126</v>
          </cell>
          <cell r="U595" t="str">
            <v>Lindsay Hudacik</v>
          </cell>
          <cell r="V595">
            <v>46177</v>
          </cell>
          <cell r="W595">
            <v>46197</v>
          </cell>
          <cell r="Y595">
            <v>46121</v>
          </cell>
          <cell r="AC595">
            <v>46196</v>
          </cell>
        </row>
        <row r="596">
          <cell r="I596" t="str">
            <v>EDI</v>
          </cell>
          <cell r="L596">
            <v>4664</v>
          </cell>
          <cell r="N596" t="str">
            <v>Production</v>
          </cell>
          <cell r="O596" t="str">
            <v>No</v>
          </cell>
          <cell r="Q596" t="str">
            <v>Live</v>
          </cell>
          <cell r="R596">
            <v>46073.645983796298</v>
          </cell>
          <cell r="S596" t="str">
            <v>Alaa Yehia</v>
          </cell>
          <cell r="T596">
            <v>46096</v>
          </cell>
          <cell r="U596" t="str">
            <v>Lindsay Hudacik</v>
          </cell>
          <cell r="V596">
            <v>46101</v>
          </cell>
          <cell r="W596">
            <v>46131</v>
          </cell>
          <cell r="Y596">
            <v>46094</v>
          </cell>
          <cell r="AC596">
            <v>46120</v>
          </cell>
        </row>
        <row r="597">
          <cell r="I597" t="str">
            <v>EDI</v>
          </cell>
          <cell r="L597">
            <v>4631</v>
          </cell>
          <cell r="N597" t="str">
            <v>Production</v>
          </cell>
          <cell r="O597" t="str">
            <v>No</v>
          </cell>
          <cell r="Q597" t="str">
            <v>Live</v>
          </cell>
          <cell r="R597">
            <v>46073.637141203697</v>
          </cell>
          <cell r="S597" t="str">
            <v>Andrew Ramy</v>
          </cell>
          <cell r="T597">
            <v>46091</v>
          </cell>
          <cell r="U597" t="str">
            <v>Lindsay Hudacik</v>
          </cell>
          <cell r="V597">
            <v>46127</v>
          </cell>
          <cell r="W597">
            <v>46177</v>
          </cell>
          <cell r="Y597">
            <v>46085</v>
          </cell>
          <cell r="AC597">
            <v>46176</v>
          </cell>
        </row>
        <row r="598">
          <cell r="I598" t="str">
            <v>EDI</v>
          </cell>
          <cell r="L598">
            <v>4607</v>
          </cell>
          <cell r="N598" t="str">
            <v>Testing</v>
          </cell>
          <cell r="O598" t="str">
            <v>No</v>
          </cell>
          <cell r="Q598" t="str">
            <v>In Progress</v>
          </cell>
          <cell r="R598">
            <v>46073.634930555563</v>
          </cell>
          <cell r="S598" t="str">
            <v>Aya Fathy</v>
          </cell>
          <cell r="T598">
            <v>46085</v>
          </cell>
          <cell r="U598" t="str">
            <v>Peter Abdelmalek</v>
          </cell>
          <cell r="V598">
            <v>46110</v>
          </cell>
          <cell r="Y598">
            <v>46084</v>
          </cell>
        </row>
        <row r="599">
          <cell r="I599" t="str">
            <v>EDI</v>
          </cell>
          <cell r="L599">
            <v>4606</v>
          </cell>
          <cell r="N599" t="str">
            <v>Production</v>
          </cell>
          <cell r="O599" t="str">
            <v>No</v>
          </cell>
          <cell r="Q599" t="str">
            <v>Live</v>
          </cell>
          <cell r="R599">
            <v>46073.634918981479</v>
          </cell>
          <cell r="S599" t="str">
            <v>Aya Fathy</v>
          </cell>
          <cell r="T599">
            <v>46085</v>
          </cell>
          <cell r="U599" t="str">
            <v>Peter Abdelmalek</v>
          </cell>
          <cell r="V599">
            <v>46091</v>
          </cell>
          <cell r="W599">
            <v>46106</v>
          </cell>
          <cell r="Y599">
            <v>46082</v>
          </cell>
          <cell r="AC599">
            <v>46105</v>
          </cell>
        </row>
        <row r="600">
          <cell r="I600" t="str">
            <v>EDI</v>
          </cell>
          <cell r="L600">
            <v>4687</v>
          </cell>
          <cell r="N600" t="str">
            <v>Production</v>
          </cell>
          <cell r="O600" t="str">
            <v>No</v>
          </cell>
          <cell r="Q600" t="str">
            <v>Live</v>
          </cell>
          <cell r="R600">
            <v>46073.60083333333</v>
          </cell>
          <cell r="S600" t="str">
            <v>Omnia Abdelaziz</v>
          </cell>
          <cell r="T600">
            <v>46105</v>
          </cell>
          <cell r="U600" t="str">
            <v>Trish Kalinczok</v>
          </cell>
          <cell r="V600">
            <v>46111</v>
          </cell>
          <cell r="W600">
            <v>46126</v>
          </cell>
          <cell r="Y600">
            <v>46099</v>
          </cell>
          <cell r="AC600">
            <v>46112</v>
          </cell>
        </row>
        <row r="601">
          <cell r="I601" t="str">
            <v>EDI</v>
          </cell>
          <cell r="L601">
            <v>4605</v>
          </cell>
          <cell r="N601" t="str">
            <v>Production</v>
          </cell>
          <cell r="O601" t="str">
            <v>No</v>
          </cell>
          <cell r="Q601" t="str">
            <v>Live</v>
          </cell>
          <cell r="R601">
            <v>46073.5937037037</v>
          </cell>
          <cell r="S601" t="str">
            <v>Andrew Ramy</v>
          </cell>
          <cell r="T601">
            <v>46083</v>
          </cell>
          <cell r="U601" t="str">
            <v>Trish Kalinczok</v>
          </cell>
          <cell r="V601">
            <v>46106</v>
          </cell>
          <cell r="W601">
            <v>46128</v>
          </cell>
          <cell r="Y601">
            <v>46075</v>
          </cell>
          <cell r="AC601">
            <v>46128</v>
          </cell>
        </row>
        <row r="602">
          <cell r="I602" t="str">
            <v>EDI</v>
          </cell>
          <cell r="L602">
            <v>4716</v>
          </cell>
          <cell r="N602" t="str">
            <v>Production</v>
          </cell>
          <cell r="O602" t="str">
            <v>No</v>
          </cell>
          <cell r="Q602" t="str">
            <v>Live</v>
          </cell>
          <cell r="R602">
            <v>46072.85565972222</v>
          </cell>
          <cell r="S602" t="str">
            <v>Mirna Azmy</v>
          </cell>
          <cell r="T602">
            <v>46113</v>
          </cell>
          <cell r="U602" t="str">
            <v>Tammy Davies</v>
          </cell>
          <cell r="V602">
            <v>46127</v>
          </cell>
          <cell r="W602">
            <v>46181</v>
          </cell>
          <cell r="Y602">
            <v>46110</v>
          </cell>
          <cell r="AC602">
            <v>46180</v>
          </cell>
        </row>
        <row r="603">
          <cell r="I603" t="str">
            <v>EDI</v>
          </cell>
          <cell r="L603">
            <v>4576</v>
          </cell>
          <cell r="N603" t="str">
            <v>Production</v>
          </cell>
          <cell r="O603" t="str">
            <v>No</v>
          </cell>
          <cell r="Q603" t="str">
            <v>Live</v>
          </cell>
          <cell r="R603">
            <v>46072.768750000003</v>
          </cell>
          <cell r="S603" t="str">
            <v>Mirna Azmy</v>
          </cell>
          <cell r="T603">
            <v>46076</v>
          </cell>
          <cell r="U603" t="str">
            <v>Tammy Davies</v>
          </cell>
          <cell r="V603">
            <v>46079</v>
          </cell>
          <cell r="W603">
            <v>46189</v>
          </cell>
          <cell r="AC603">
            <v>46187</v>
          </cell>
        </row>
        <row r="604">
          <cell r="I604" t="str">
            <v>EDI</v>
          </cell>
          <cell r="L604">
            <v>4698</v>
          </cell>
          <cell r="N604" t="str">
            <v>Dataset Validation</v>
          </cell>
          <cell r="O604" t="str">
            <v>No</v>
          </cell>
          <cell r="Q604" t="str">
            <v>In Progress</v>
          </cell>
          <cell r="R604">
            <v>46072.753784722219</v>
          </cell>
          <cell r="S604" t="str">
            <v>Mirna Azmy</v>
          </cell>
          <cell r="T604">
            <v>46107</v>
          </cell>
          <cell r="U604" t="str">
            <v>Melanie Rhine</v>
          </cell>
          <cell r="Y604">
            <v>46106</v>
          </cell>
        </row>
        <row r="605">
          <cell r="I605" t="str">
            <v>EDI</v>
          </cell>
          <cell r="L605">
            <v>4756</v>
          </cell>
          <cell r="N605" t="str">
            <v>Production</v>
          </cell>
          <cell r="O605" t="str">
            <v>No</v>
          </cell>
          <cell r="Q605" t="str">
            <v>Live</v>
          </cell>
          <cell r="R605">
            <v>46071.905219907407</v>
          </cell>
          <cell r="S605" t="str">
            <v>Mark Albert</v>
          </cell>
          <cell r="T605">
            <v>46120</v>
          </cell>
          <cell r="U605" t="str">
            <v>Amy Bergstrom</v>
          </cell>
          <cell r="V605">
            <v>46135</v>
          </cell>
          <cell r="W605">
            <v>46156</v>
          </cell>
          <cell r="Y605">
            <v>46118</v>
          </cell>
          <cell r="AC605">
            <v>46155</v>
          </cell>
        </row>
        <row r="606">
          <cell r="I606" t="str">
            <v>EDI</v>
          </cell>
          <cell r="N606" t="str">
            <v>Pending Start</v>
          </cell>
          <cell r="O606" t="str">
            <v>No</v>
          </cell>
          <cell r="Q606" t="str">
            <v>Cancelled</v>
          </cell>
          <cell r="R606">
            <v>46071.824745370373</v>
          </cell>
          <cell r="U606" t="str">
            <v>Melanie Rhine</v>
          </cell>
        </row>
        <row r="607">
          <cell r="I607" t="str">
            <v>EDI</v>
          </cell>
          <cell r="L607">
            <v>4623</v>
          </cell>
          <cell r="N607" t="str">
            <v>Production</v>
          </cell>
          <cell r="O607" t="str">
            <v>Everything Benefits</v>
          </cell>
          <cell r="P607" t="str">
            <v>Production</v>
          </cell>
          <cell r="Q607" t="str">
            <v>Live</v>
          </cell>
          <cell r="R607">
            <v>46071.722175925926</v>
          </cell>
          <cell r="S607" t="str">
            <v>Mark Albert</v>
          </cell>
          <cell r="T607">
            <v>46083</v>
          </cell>
          <cell r="U607" t="str">
            <v>Joel Costanzo</v>
          </cell>
          <cell r="W607">
            <v>46188</v>
          </cell>
          <cell r="Y607">
            <v>46079</v>
          </cell>
          <cell r="AC607">
            <v>46184</v>
          </cell>
        </row>
        <row r="608">
          <cell r="I608" t="str">
            <v>EDI</v>
          </cell>
          <cell r="L608">
            <v>4616</v>
          </cell>
          <cell r="N608" t="str">
            <v>Production</v>
          </cell>
          <cell r="O608" t="str">
            <v>Everything Benefits</v>
          </cell>
          <cell r="P608" t="str">
            <v>Production</v>
          </cell>
          <cell r="Q608" t="str">
            <v>Live</v>
          </cell>
          <cell r="R608">
            <v>46071.72216435185</v>
          </cell>
          <cell r="S608" t="str">
            <v>Karen Ramy</v>
          </cell>
          <cell r="T608">
            <v>46083</v>
          </cell>
          <cell r="U608" t="str">
            <v>Joel Costanzo</v>
          </cell>
          <cell r="V608">
            <v>46142</v>
          </cell>
          <cell r="W608">
            <v>46202</v>
          </cell>
          <cell r="Y608">
            <v>46079</v>
          </cell>
          <cell r="AC608">
            <v>46198</v>
          </cell>
        </row>
        <row r="609">
          <cell r="I609" t="str">
            <v>EDI</v>
          </cell>
          <cell r="L609">
            <v>4617</v>
          </cell>
          <cell r="N609" t="str">
            <v>Production</v>
          </cell>
          <cell r="O609" t="str">
            <v>Everything Benefits</v>
          </cell>
          <cell r="P609" t="str">
            <v>Migration Testing</v>
          </cell>
          <cell r="Q609" t="str">
            <v>Live</v>
          </cell>
          <cell r="R609">
            <v>46071.72215277778</v>
          </cell>
          <cell r="S609" t="str">
            <v>Karen Ramy</v>
          </cell>
          <cell r="T609">
            <v>46083</v>
          </cell>
          <cell r="U609" t="str">
            <v>Joel Costanzo</v>
          </cell>
          <cell r="V609">
            <v>25569</v>
          </cell>
          <cell r="W609">
            <v>46188</v>
          </cell>
          <cell r="Y609">
            <v>46079</v>
          </cell>
          <cell r="AC609">
            <v>46185</v>
          </cell>
        </row>
        <row r="610">
          <cell r="I610" t="str">
            <v>EDI</v>
          </cell>
          <cell r="L610">
            <v>4669</v>
          </cell>
          <cell r="N610" t="str">
            <v>Production</v>
          </cell>
          <cell r="O610" t="str">
            <v>Everything Benefits</v>
          </cell>
          <cell r="P610" t="str">
            <v>Production</v>
          </cell>
          <cell r="Q610" t="str">
            <v>Live</v>
          </cell>
          <cell r="R610">
            <v>46071.72215277778</v>
          </cell>
          <cell r="S610" t="str">
            <v>Karen Ramy</v>
          </cell>
          <cell r="T610">
            <v>46099</v>
          </cell>
          <cell r="U610" t="str">
            <v>Joel Costanzo</v>
          </cell>
          <cell r="V610">
            <v>46118</v>
          </cell>
          <cell r="W610">
            <v>46155</v>
          </cell>
          <cell r="Y610">
            <v>46096</v>
          </cell>
          <cell r="AC610">
            <v>46153</v>
          </cell>
        </row>
        <row r="611">
          <cell r="I611" t="str">
            <v>EDI</v>
          </cell>
          <cell r="L611">
            <v>4668</v>
          </cell>
          <cell r="N611" t="str">
            <v>Production</v>
          </cell>
          <cell r="O611" t="str">
            <v>Everything Benefits</v>
          </cell>
          <cell r="P611" t="str">
            <v>Production</v>
          </cell>
          <cell r="Q611" t="str">
            <v>Live</v>
          </cell>
          <cell r="R611">
            <v>46071.722141203703</v>
          </cell>
          <cell r="S611" t="str">
            <v>Karen Ramy</v>
          </cell>
          <cell r="T611">
            <v>46099</v>
          </cell>
          <cell r="U611" t="str">
            <v>Joel Costanzo</v>
          </cell>
          <cell r="V611">
            <v>46118</v>
          </cell>
          <cell r="W611">
            <v>46153</v>
          </cell>
          <cell r="Y611">
            <v>46096</v>
          </cell>
          <cell r="AC611">
            <v>46153</v>
          </cell>
        </row>
        <row r="612">
          <cell r="I612" t="str">
            <v>EDI</v>
          </cell>
          <cell r="L612">
            <v>4603</v>
          </cell>
          <cell r="N612" t="str">
            <v>Production</v>
          </cell>
          <cell r="O612" t="str">
            <v>Everything Benefits</v>
          </cell>
          <cell r="P612" t="str">
            <v>Production</v>
          </cell>
          <cell r="Q612" t="str">
            <v>Live</v>
          </cell>
          <cell r="R612">
            <v>46071.722129629627</v>
          </cell>
          <cell r="S612" t="str">
            <v>Josephine Ossama</v>
          </cell>
          <cell r="T612">
            <v>46083</v>
          </cell>
          <cell r="U612" t="str">
            <v>Joel Costanzo</v>
          </cell>
          <cell r="V612">
            <v>46145</v>
          </cell>
          <cell r="W612">
            <v>46153</v>
          </cell>
          <cell r="Y612">
            <v>46079</v>
          </cell>
          <cell r="AC612">
            <v>46153</v>
          </cell>
        </row>
        <row r="613">
          <cell r="I613" t="str">
            <v>EDI</v>
          </cell>
          <cell r="L613">
            <v>4647</v>
          </cell>
          <cell r="N613" t="str">
            <v>Production</v>
          </cell>
          <cell r="O613" t="str">
            <v>No</v>
          </cell>
          <cell r="Q613" t="str">
            <v>Live</v>
          </cell>
          <cell r="R613">
            <v>46071.676365740743</v>
          </cell>
          <cell r="S613" t="str">
            <v>Karen Ramy</v>
          </cell>
          <cell r="T613">
            <v>46091</v>
          </cell>
          <cell r="U613" t="str">
            <v>Gregory Dubec</v>
          </cell>
          <cell r="V613">
            <v>46127</v>
          </cell>
          <cell r="W613">
            <v>46145</v>
          </cell>
          <cell r="Y613">
            <v>46086</v>
          </cell>
          <cell r="AC613">
            <v>46141</v>
          </cell>
        </row>
        <row r="614">
          <cell r="I614" t="str">
            <v>EDI</v>
          </cell>
          <cell r="L614">
            <v>4714</v>
          </cell>
          <cell r="N614" t="str">
            <v>Production</v>
          </cell>
          <cell r="O614" t="str">
            <v>No</v>
          </cell>
          <cell r="Q614" t="str">
            <v>Live</v>
          </cell>
          <cell r="R614">
            <v>46071.650937500002</v>
          </cell>
          <cell r="S614" t="str">
            <v>Marwan Tawfik</v>
          </cell>
          <cell r="T614">
            <v>46096</v>
          </cell>
          <cell r="U614" t="str">
            <v>Gregory Dubec</v>
          </cell>
          <cell r="V614">
            <v>46147</v>
          </cell>
          <cell r="W614">
            <v>46155</v>
          </cell>
          <cell r="Y614">
            <v>46093</v>
          </cell>
          <cell r="AC614">
            <v>46152</v>
          </cell>
        </row>
        <row r="615">
          <cell r="I615" t="str">
            <v>EDI</v>
          </cell>
          <cell r="L615">
            <v>4604</v>
          </cell>
          <cell r="N615" t="str">
            <v>Production</v>
          </cell>
          <cell r="O615" t="str">
            <v>No</v>
          </cell>
          <cell r="Q615" t="str">
            <v>Live</v>
          </cell>
          <cell r="R615">
            <v>46071.621678240743</v>
          </cell>
          <cell r="S615" t="str">
            <v>Andrew Ramy</v>
          </cell>
          <cell r="T615">
            <v>46083</v>
          </cell>
          <cell r="U615" t="str">
            <v>Gregory Dubec</v>
          </cell>
          <cell r="V615">
            <v>46091</v>
          </cell>
          <cell r="W615">
            <v>46121</v>
          </cell>
          <cell r="Y615">
            <v>46075</v>
          </cell>
          <cell r="AC615">
            <v>46114</v>
          </cell>
        </row>
        <row r="616">
          <cell r="I616" t="str">
            <v>EDI</v>
          </cell>
          <cell r="L616">
            <v>4677</v>
          </cell>
          <cell r="N616" t="str">
            <v>Production</v>
          </cell>
          <cell r="O616" t="str">
            <v>No</v>
          </cell>
          <cell r="Q616" t="str">
            <v>Live</v>
          </cell>
          <cell r="R616">
            <v>46070.766909722217</v>
          </cell>
          <cell r="S616" t="str">
            <v>Andrew Ramy</v>
          </cell>
          <cell r="T616">
            <v>46099</v>
          </cell>
          <cell r="U616" t="str">
            <v>Lexy Hudson</v>
          </cell>
          <cell r="V616">
            <v>46138</v>
          </cell>
          <cell r="W616">
            <v>25569</v>
          </cell>
          <cell r="Y616">
            <v>46097</v>
          </cell>
          <cell r="AC616">
            <v>46159</v>
          </cell>
        </row>
        <row r="617">
          <cell r="I617" t="str">
            <v>EDI</v>
          </cell>
          <cell r="L617">
            <v>4594</v>
          </cell>
          <cell r="N617" t="str">
            <v>Production</v>
          </cell>
          <cell r="O617" t="str">
            <v>No</v>
          </cell>
          <cell r="Q617" t="str">
            <v>Live</v>
          </cell>
          <cell r="R617">
            <v>46069.94798611111</v>
          </cell>
          <cell r="S617" t="str">
            <v>Dina Medhat</v>
          </cell>
          <cell r="T617">
            <v>46071</v>
          </cell>
          <cell r="U617" t="str">
            <v>Peter Abdelmalek</v>
          </cell>
          <cell r="V617">
            <v>46084</v>
          </cell>
          <cell r="W617">
            <v>46113</v>
          </cell>
          <cell r="AC617">
            <v>46114</v>
          </cell>
        </row>
        <row r="618">
          <cell r="I618" t="str">
            <v>EDI</v>
          </cell>
          <cell r="L618">
            <v>4594</v>
          </cell>
          <cell r="N618" t="str">
            <v>Production</v>
          </cell>
          <cell r="O618" t="str">
            <v>No</v>
          </cell>
          <cell r="Q618" t="str">
            <v>Live</v>
          </cell>
          <cell r="R618">
            <v>46069.944166666668</v>
          </cell>
          <cell r="S618" t="str">
            <v>Aya Fathy</v>
          </cell>
          <cell r="T618">
            <v>46083</v>
          </cell>
          <cell r="U618" t="str">
            <v>Peter Abdelmalek</v>
          </cell>
          <cell r="V618">
            <v>46084</v>
          </cell>
          <cell r="W618">
            <v>46113</v>
          </cell>
          <cell r="Y618">
            <v>46076</v>
          </cell>
          <cell r="AC618">
            <v>46106</v>
          </cell>
        </row>
        <row r="619">
          <cell r="I619" t="str">
            <v>EDI</v>
          </cell>
          <cell r="L619">
            <v>4757</v>
          </cell>
          <cell r="N619" t="str">
            <v>Production</v>
          </cell>
          <cell r="O619" t="str">
            <v>No</v>
          </cell>
          <cell r="Q619" t="str">
            <v>Live</v>
          </cell>
          <cell r="R619">
            <v>46069.920243055552</v>
          </cell>
          <cell r="S619" t="str">
            <v>Reem Radwan</v>
          </cell>
          <cell r="T619">
            <v>46075</v>
          </cell>
          <cell r="U619" t="str">
            <v>Rosalie Whitty</v>
          </cell>
          <cell r="V619">
            <v>25569</v>
          </cell>
          <cell r="W619">
            <v>46181</v>
          </cell>
          <cell r="Y619">
            <v>46072</v>
          </cell>
          <cell r="AC619">
            <v>46179</v>
          </cell>
        </row>
        <row r="620">
          <cell r="I620" t="str">
            <v>EDI</v>
          </cell>
          <cell r="L620">
            <v>3250</v>
          </cell>
          <cell r="N620" t="str">
            <v>Production</v>
          </cell>
          <cell r="O620" t="str">
            <v>No</v>
          </cell>
          <cell r="Q620" t="str">
            <v>Live</v>
          </cell>
          <cell r="R620">
            <v>46069.666770833333</v>
          </cell>
          <cell r="S620" t="str">
            <v>Dina Medhat</v>
          </cell>
          <cell r="T620">
            <v>46075</v>
          </cell>
          <cell r="U620" t="str">
            <v>Trish Kalinczok</v>
          </cell>
          <cell r="V620">
            <v>45552</v>
          </cell>
          <cell r="W620">
            <v>45575</v>
          </cell>
          <cell r="Y620">
            <v>46075</v>
          </cell>
          <cell r="AC620">
            <v>46078</v>
          </cell>
        </row>
        <row r="621">
          <cell r="I621" t="str">
            <v>EDI</v>
          </cell>
          <cell r="L621">
            <v>2835</v>
          </cell>
          <cell r="N621" t="str">
            <v>Production</v>
          </cell>
          <cell r="O621" t="str">
            <v>No</v>
          </cell>
          <cell r="Q621" t="str">
            <v>Live</v>
          </cell>
          <cell r="R621">
            <v>46069.666759259257</v>
          </cell>
          <cell r="S621" t="str">
            <v>Dina Medhat</v>
          </cell>
          <cell r="T621">
            <v>46075</v>
          </cell>
          <cell r="U621" t="str">
            <v>Trish Kalinczok</v>
          </cell>
          <cell r="V621">
            <v>25569</v>
          </cell>
          <cell r="W621">
            <v>45742</v>
          </cell>
          <cell r="Y621">
            <v>46075</v>
          </cell>
          <cell r="AC621">
            <v>46078</v>
          </cell>
        </row>
        <row r="622">
          <cell r="I622" t="str">
            <v>EDI</v>
          </cell>
          <cell r="L622">
            <v>2883</v>
          </cell>
          <cell r="N622" t="str">
            <v>Production</v>
          </cell>
          <cell r="O622" t="str">
            <v>No</v>
          </cell>
          <cell r="Q622" t="str">
            <v>Live</v>
          </cell>
          <cell r="R622">
            <v>46069.666759259257</v>
          </cell>
          <cell r="S622" t="str">
            <v>Dina Medhat</v>
          </cell>
          <cell r="T622">
            <v>46075</v>
          </cell>
          <cell r="U622" t="str">
            <v>Trish Kalinczok</v>
          </cell>
          <cell r="V622">
            <v>45428</v>
          </cell>
          <cell r="W622">
            <v>45650</v>
          </cell>
          <cell r="Y622">
            <v>46075</v>
          </cell>
          <cell r="AC622">
            <v>46078</v>
          </cell>
        </row>
        <row r="623">
          <cell r="I623" t="str">
            <v>EDI</v>
          </cell>
          <cell r="L623">
            <v>4688</v>
          </cell>
          <cell r="N623" t="str">
            <v>Production</v>
          </cell>
          <cell r="O623" t="str">
            <v>No</v>
          </cell>
          <cell r="Q623" t="str">
            <v>Live</v>
          </cell>
          <cell r="R623">
            <v>46066.966377314813</v>
          </cell>
          <cell r="S623" t="str">
            <v>Omnia Abdelaziz</v>
          </cell>
          <cell r="T623">
            <v>46105</v>
          </cell>
          <cell r="U623" t="str">
            <v>Lindsay Hudacik</v>
          </cell>
          <cell r="V623">
            <v>46111</v>
          </cell>
          <cell r="W623">
            <v>46118</v>
          </cell>
          <cell r="Y623">
            <v>46099</v>
          </cell>
          <cell r="AC623">
            <v>46118</v>
          </cell>
        </row>
        <row r="624">
          <cell r="I624" t="str">
            <v>EDI</v>
          </cell>
          <cell r="L624">
            <v>4562</v>
          </cell>
          <cell r="N624" t="str">
            <v>Testing</v>
          </cell>
          <cell r="O624" t="str">
            <v>No</v>
          </cell>
          <cell r="Q624" t="str">
            <v>In Progress</v>
          </cell>
          <cell r="R624">
            <v>46066.964421296303</v>
          </cell>
          <cell r="S624" t="str">
            <v>Mirna Azmy</v>
          </cell>
          <cell r="T624">
            <v>46075</v>
          </cell>
          <cell r="U624" t="str">
            <v>Lindsay Hudacik</v>
          </cell>
          <cell r="V624">
            <v>46090</v>
          </cell>
          <cell r="Y624">
            <v>46071</v>
          </cell>
        </row>
        <row r="625">
          <cell r="I625" t="str">
            <v>EDI</v>
          </cell>
          <cell r="L625">
            <v>4754</v>
          </cell>
          <cell r="N625" t="str">
            <v>Production</v>
          </cell>
          <cell r="O625" t="str">
            <v>No</v>
          </cell>
          <cell r="Q625" t="str">
            <v>Live</v>
          </cell>
          <cell r="R625">
            <v>46066.876458333332</v>
          </cell>
          <cell r="S625" t="str">
            <v>Zeyad Khaled</v>
          </cell>
          <cell r="T625">
            <v>46120</v>
          </cell>
          <cell r="U625" t="str">
            <v>Sean Torres</v>
          </cell>
          <cell r="V625">
            <v>46139</v>
          </cell>
          <cell r="W625">
            <v>46167</v>
          </cell>
          <cell r="Y625">
            <v>46119</v>
          </cell>
          <cell r="AC625">
            <v>46162</v>
          </cell>
        </row>
        <row r="626">
          <cell r="I626" t="str">
            <v>EDI</v>
          </cell>
          <cell r="L626">
            <v>4661</v>
          </cell>
          <cell r="N626" t="str">
            <v>Production</v>
          </cell>
          <cell r="O626" t="str">
            <v>No</v>
          </cell>
          <cell r="Q626" t="str">
            <v>Live</v>
          </cell>
          <cell r="R626">
            <v>46066.876446759263</v>
          </cell>
          <cell r="S626" t="str">
            <v>Andrew Ramy</v>
          </cell>
          <cell r="T626">
            <v>46099</v>
          </cell>
          <cell r="U626" t="str">
            <v>Sean Torres</v>
          </cell>
          <cell r="V626">
            <v>46135</v>
          </cell>
          <cell r="W626">
            <v>46181</v>
          </cell>
          <cell r="Y626">
            <v>46079</v>
          </cell>
          <cell r="AC626">
            <v>46176</v>
          </cell>
        </row>
        <row r="627">
          <cell r="I627" t="str">
            <v>EDI</v>
          </cell>
          <cell r="L627">
            <v>4700</v>
          </cell>
          <cell r="N627" t="str">
            <v>Production</v>
          </cell>
          <cell r="O627" t="str">
            <v>No</v>
          </cell>
          <cell r="Q627" t="str">
            <v>Live</v>
          </cell>
          <cell r="R627">
            <v>46065.649189814823</v>
          </cell>
          <cell r="S627" t="str">
            <v>Zeyad Khaled</v>
          </cell>
          <cell r="T627">
            <v>46107</v>
          </cell>
          <cell r="U627" t="str">
            <v>Rhettsmey Meak</v>
          </cell>
          <cell r="V627">
            <v>46120</v>
          </cell>
          <cell r="W627">
            <v>46204</v>
          </cell>
          <cell r="Y627">
            <v>46105</v>
          </cell>
          <cell r="AC627">
            <v>46203</v>
          </cell>
        </row>
        <row r="628">
          <cell r="I628" t="str">
            <v>EDI</v>
          </cell>
          <cell r="L628">
            <v>4641</v>
          </cell>
          <cell r="N628" t="str">
            <v>Production</v>
          </cell>
          <cell r="O628" t="str">
            <v>No</v>
          </cell>
          <cell r="Q628" t="str">
            <v>Live</v>
          </cell>
          <cell r="R628">
            <v>46065.645960648151</v>
          </cell>
          <cell r="S628" t="str">
            <v>Alaa Yehia</v>
          </cell>
          <cell r="T628">
            <v>46092</v>
          </cell>
          <cell r="U628" t="str">
            <v>Rhettsmey Meak</v>
          </cell>
          <cell r="V628">
            <v>46138</v>
          </cell>
          <cell r="W628">
            <v>46160</v>
          </cell>
          <cell r="Y628">
            <v>46091</v>
          </cell>
          <cell r="AC628">
            <v>46156</v>
          </cell>
        </row>
        <row r="629">
          <cell r="I629" t="str">
            <v>EDI</v>
          </cell>
          <cell r="L629">
            <v>4516</v>
          </cell>
          <cell r="N629" t="str">
            <v>Production</v>
          </cell>
          <cell r="O629" t="str">
            <v>No</v>
          </cell>
          <cell r="Q629" t="str">
            <v>Live</v>
          </cell>
          <cell r="R629">
            <v>46064.935011574067</v>
          </cell>
          <cell r="S629" t="str">
            <v>Dina Medhat</v>
          </cell>
          <cell r="T629">
            <v>46065</v>
          </cell>
          <cell r="U629" t="str">
            <v>Lindsay Hudacik</v>
          </cell>
          <cell r="V629">
            <v>46069</v>
          </cell>
          <cell r="W629">
            <v>46093</v>
          </cell>
          <cell r="AC629">
            <v>46093</v>
          </cell>
        </row>
        <row r="630">
          <cell r="I630" t="str">
            <v>EDI</v>
          </cell>
          <cell r="L630">
            <v>4516</v>
          </cell>
          <cell r="N630" t="str">
            <v>Production</v>
          </cell>
          <cell r="O630" t="str">
            <v>No</v>
          </cell>
          <cell r="Q630" t="str">
            <v>Live</v>
          </cell>
          <cell r="R630">
            <v>46064.934942129628</v>
          </cell>
          <cell r="S630" t="str">
            <v>Dina Medhat</v>
          </cell>
          <cell r="T630">
            <v>46065</v>
          </cell>
          <cell r="U630" t="str">
            <v>Lindsay Hudacik</v>
          </cell>
          <cell r="V630">
            <v>46069</v>
          </cell>
          <cell r="W630">
            <v>46093</v>
          </cell>
          <cell r="AC630">
            <v>46093</v>
          </cell>
        </row>
        <row r="631">
          <cell r="I631" t="str">
            <v>EDI</v>
          </cell>
          <cell r="L631">
            <v>4516</v>
          </cell>
          <cell r="N631" t="str">
            <v>Production</v>
          </cell>
          <cell r="O631" t="str">
            <v>No</v>
          </cell>
          <cell r="Q631" t="str">
            <v>Live</v>
          </cell>
          <cell r="R631">
            <v>46064.934930555559</v>
          </cell>
          <cell r="S631" t="str">
            <v>Reem Radwan</v>
          </cell>
          <cell r="T631">
            <v>46065</v>
          </cell>
          <cell r="U631" t="str">
            <v>Lindsay Hudacik</v>
          </cell>
          <cell r="V631">
            <v>46069</v>
          </cell>
          <cell r="W631">
            <v>46093</v>
          </cell>
          <cell r="AC631">
            <v>46093</v>
          </cell>
        </row>
        <row r="632">
          <cell r="I632" t="str">
            <v>EDI</v>
          </cell>
          <cell r="L632">
            <v>4628</v>
          </cell>
          <cell r="N632" t="str">
            <v>Production</v>
          </cell>
          <cell r="O632" t="str">
            <v>No</v>
          </cell>
          <cell r="Q632" t="str">
            <v>Live</v>
          </cell>
          <cell r="R632">
            <v>46064.893599537027</v>
          </cell>
          <cell r="S632" t="str">
            <v>Zeyad Khaled</v>
          </cell>
          <cell r="T632">
            <v>46082</v>
          </cell>
          <cell r="U632" t="str">
            <v>Tammy Davies</v>
          </cell>
          <cell r="V632">
            <v>46100</v>
          </cell>
          <cell r="W632">
            <v>46132</v>
          </cell>
          <cell r="Y632">
            <v>46078</v>
          </cell>
          <cell r="AC632">
            <v>46132</v>
          </cell>
        </row>
        <row r="633">
          <cell r="I633" t="str">
            <v>EDI</v>
          </cell>
          <cell r="L633">
            <v>4627</v>
          </cell>
          <cell r="N633" t="str">
            <v>Production</v>
          </cell>
          <cell r="O633" t="str">
            <v>No</v>
          </cell>
          <cell r="Q633" t="str">
            <v>Live</v>
          </cell>
          <cell r="R633">
            <v>46064.893587962957</v>
          </cell>
          <cell r="S633" t="str">
            <v>Zeyad Khaled</v>
          </cell>
          <cell r="T633">
            <v>46082</v>
          </cell>
          <cell r="U633" t="str">
            <v>Tammy Davies</v>
          </cell>
          <cell r="V633">
            <v>46100</v>
          </cell>
          <cell r="W633">
            <v>46120</v>
          </cell>
          <cell r="Y633">
            <v>46076</v>
          </cell>
          <cell r="AC633">
            <v>46114</v>
          </cell>
        </row>
        <row r="634">
          <cell r="I634" t="str">
            <v>EDI</v>
          </cell>
          <cell r="L634">
            <v>4591</v>
          </cell>
          <cell r="N634" t="str">
            <v>Production</v>
          </cell>
          <cell r="O634" t="str">
            <v>No</v>
          </cell>
          <cell r="Q634" t="str">
            <v>Live</v>
          </cell>
          <cell r="R634">
            <v>46064.889328703714</v>
          </cell>
          <cell r="S634" t="str">
            <v>Dina Medhat</v>
          </cell>
          <cell r="T634">
            <v>46068</v>
          </cell>
          <cell r="U634" t="str">
            <v>Lindsay Hudacik</v>
          </cell>
          <cell r="V634">
            <v>46093</v>
          </cell>
          <cell r="W634">
            <v>46142</v>
          </cell>
          <cell r="AC634">
            <v>46147</v>
          </cell>
        </row>
        <row r="635">
          <cell r="I635" t="str">
            <v>EDI</v>
          </cell>
          <cell r="L635">
            <v>4591</v>
          </cell>
          <cell r="N635" t="str">
            <v>Production</v>
          </cell>
          <cell r="O635" t="str">
            <v>No</v>
          </cell>
          <cell r="Q635" t="str">
            <v>Live</v>
          </cell>
          <cell r="R635">
            <v>46064.889305555553</v>
          </cell>
          <cell r="S635" t="str">
            <v>Dina Medhat</v>
          </cell>
          <cell r="T635">
            <v>46068</v>
          </cell>
          <cell r="U635" t="str">
            <v>Lindsay Hudacik</v>
          </cell>
          <cell r="V635">
            <v>46093</v>
          </cell>
          <cell r="W635">
            <v>46142</v>
          </cell>
          <cell r="AC635">
            <v>46147</v>
          </cell>
        </row>
        <row r="636">
          <cell r="I636" t="str">
            <v>EDI</v>
          </cell>
          <cell r="L636">
            <v>4591</v>
          </cell>
          <cell r="N636" t="str">
            <v>Production</v>
          </cell>
          <cell r="O636" t="str">
            <v>No</v>
          </cell>
          <cell r="Q636" t="str">
            <v>Live</v>
          </cell>
          <cell r="R636">
            <v>46064.889143518521</v>
          </cell>
          <cell r="S636" t="str">
            <v>Alaa Yehia</v>
          </cell>
          <cell r="T636">
            <v>46078</v>
          </cell>
          <cell r="U636" t="str">
            <v>Lindsay Hudacik</v>
          </cell>
          <cell r="V636">
            <v>46093</v>
          </cell>
          <cell r="W636">
            <v>46142</v>
          </cell>
          <cell r="Y636">
            <v>46076</v>
          </cell>
          <cell r="AC636">
            <v>46138</v>
          </cell>
        </row>
        <row r="637">
          <cell r="I637" t="str">
            <v>EDI</v>
          </cell>
          <cell r="L637">
            <v>4533</v>
          </cell>
          <cell r="N637" t="str">
            <v>Production</v>
          </cell>
          <cell r="O637" t="str">
            <v>No</v>
          </cell>
          <cell r="Q637" t="str">
            <v>Live</v>
          </cell>
          <cell r="R637">
            <v>46064.885879629634</v>
          </cell>
          <cell r="S637" t="str">
            <v>Aya Fathy</v>
          </cell>
          <cell r="T637">
            <v>46069</v>
          </cell>
          <cell r="U637" t="str">
            <v>Carolina Tanoue</v>
          </cell>
          <cell r="V637">
            <v>46098</v>
          </cell>
          <cell r="W637">
            <v>46118</v>
          </cell>
          <cell r="Y637">
            <v>46068</v>
          </cell>
          <cell r="AC637">
            <v>46117</v>
          </cell>
        </row>
        <row r="638">
          <cell r="I638" t="str">
            <v>EDI</v>
          </cell>
          <cell r="L638">
            <v>4597</v>
          </cell>
          <cell r="N638" t="str">
            <v>Production</v>
          </cell>
          <cell r="O638" t="str">
            <v>No</v>
          </cell>
          <cell r="Q638" t="str">
            <v>Live</v>
          </cell>
          <cell r="R638">
            <v>46062.696481481478</v>
          </cell>
          <cell r="S638" t="str">
            <v>Omnia Abdelaziz</v>
          </cell>
          <cell r="T638">
            <v>46078</v>
          </cell>
          <cell r="U638" t="str">
            <v>Trish Kalinczok</v>
          </cell>
          <cell r="V638">
            <v>46097</v>
          </cell>
          <cell r="W638">
            <v>46104</v>
          </cell>
          <cell r="Y638">
            <v>46078</v>
          </cell>
          <cell r="AC638">
            <v>46099</v>
          </cell>
        </row>
        <row r="639">
          <cell r="I639" t="str">
            <v>EDI</v>
          </cell>
          <cell r="L639">
            <v>4573</v>
          </cell>
          <cell r="N639" t="str">
            <v>Production</v>
          </cell>
          <cell r="O639" t="str">
            <v>No</v>
          </cell>
          <cell r="Q639" t="str">
            <v>Live</v>
          </cell>
          <cell r="R639">
            <v>46062.145416666674</v>
          </cell>
          <cell r="S639" t="str">
            <v>Zeyad Khaled</v>
          </cell>
          <cell r="T639">
            <v>46071</v>
          </cell>
          <cell r="U639" t="str">
            <v>Peter Abdelmalek</v>
          </cell>
          <cell r="V639">
            <v>46086</v>
          </cell>
          <cell r="W639">
            <v>46127</v>
          </cell>
          <cell r="Y639">
            <v>46069</v>
          </cell>
          <cell r="AC639">
            <v>46121</v>
          </cell>
        </row>
        <row r="640">
          <cell r="I640" t="str">
            <v>EDI</v>
          </cell>
          <cell r="L640">
            <v>4572</v>
          </cell>
          <cell r="N640" t="str">
            <v>Production</v>
          </cell>
          <cell r="O640" t="str">
            <v>No</v>
          </cell>
          <cell r="Q640" t="str">
            <v>Live</v>
          </cell>
          <cell r="R640">
            <v>46062.145324074067</v>
          </cell>
          <cell r="S640" t="str">
            <v>Zeyad Khaled</v>
          </cell>
          <cell r="T640">
            <v>46071</v>
          </cell>
          <cell r="U640" t="str">
            <v>Peter Abdelmalek</v>
          </cell>
          <cell r="V640">
            <v>46086</v>
          </cell>
          <cell r="W640">
            <v>46134</v>
          </cell>
          <cell r="Y640">
            <v>46069</v>
          </cell>
          <cell r="AC640">
            <v>46128</v>
          </cell>
        </row>
        <row r="641">
          <cell r="I641" t="str">
            <v>EDI</v>
          </cell>
          <cell r="L641">
            <v>4656</v>
          </cell>
          <cell r="N641" t="str">
            <v>Production</v>
          </cell>
          <cell r="O641" t="str">
            <v>No</v>
          </cell>
          <cell r="Q641" t="str">
            <v>Live</v>
          </cell>
          <cell r="R641">
            <v>46059.84306712963</v>
          </cell>
          <cell r="S641" t="str">
            <v>Mirna Azmy</v>
          </cell>
          <cell r="T641">
            <v>46099</v>
          </cell>
          <cell r="U641" t="str">
            <v>Sara Johnson</v>
          </cell>
          <cell r="V641">
            <v>46106</v>
          </cell>
          <cell r="W641">
            <v>46139</v>
          </cell>
          <cell r="Y641">
            <v>46079</v>
          </cell>
          <cell r="AC641">
            <v>46128</v>
          </cell>
        </row>
        <row r="642">
          <cell r="I642" t="str">
            <v>Forms</v>
          </cell>
          <cell r="L642" t="str">
            <v>[4615]</v>
          </cell>
          <cell r="N642" t="str">
            <v>Production</v>
          </cell>
          <cell r="O642" t="str">
            <v>Everything Benefits</v>
          </cell>
          <cell r="P642" t="str">
            <v>Production</v>
          </cell>
          <cell r="Q642" t="str">
            <v>Live</v>
          </cell>
          <cell r="R642">
            <v>46059.802847222221</v>
          </cell>
          <cell r="S642" t="str">
            <v>Reem Radwan</v>
          </cell>
          <cell r="T642">
            <v>46065</v>
          </cell>
          <cell r="U642" t="str">
            <v>Trish Kalinczok</v>
          </cell>
          <cell r="AC642">
            <v>46141</v>
          </cell>
        </row>
        <row r="643">
          <cell r="I643" t="str">
            <v>EDI</v>
          </cell>
          <cell r="L643">
            <v>4566</v>
          </cell>
          <cell r="N643" t="str">
            <v>Production</v>
          </cell>
          <cell r="O643" t="str">
            <v>No</v>
          </cell>
          <cell r="Q643" t="str">
            <v>Live</v>
          </cell>
          <cell r="R643">
            <v>46059.78328703704</v>
          </cell>
          <cell r="S643" t="str">
            <v>Mirna Azmy</v>
          </cell>
          <cell r="T643">
            <v>46107</v>
          </cell>
          <cell r="U643" t="str">
            <v>Melanie Rhine</v>
          </cell>
          <cell r="V643">
            <v>46110</v>
          </cell>
          <cell r="W643">
            <v>46132</v>
          </cell>
          <cell r="Y643">
            <v>46069</v>
          </cell>
          <cell r="AC643">
            <v>46127</v>
          </cell>
        </row>
        <row r="644">
          <cell r="I644" t="str">
            <v>EDI</v>
          </cell>
          <cell r="L644">
            <v>4629</v>
          </cell>
          <cell r="N644" t="str">
            <v>Production</v>
          </cell>
          <cell r="O644" t="str">
            <v>No</v>
          </cell>
          <cell r="Q644" t="str">
            <v>Live</v>
          </cell>
          <cell r="R644">
            <v>46059.783275462964</v>
          </cell>
          <cell r="S644" t="str">
            <v>Marwan Tawfik</v>
          </cell>
          <cell r="T644">
            <v>46091</v>
          </cell>
          <cell r="U644" t="str">
            <v>Melanie Rhine</v>
          </cell>
          <cell r="V644">
            <v>46152</v>
          </cell>
          <cell r="W644">
            <v>46167</v>
          </cell>
          <cell r="Y644">
            <v>46089</v>
          </cell>
          <cell r="AC644">
            <v>46162</v>
          </cell>
        </row>
        <row r="645">
          <cell r="I645" t="str">
            <v>EDI</v>
          </cell>
          <cell r="L645">
            <v>4675</v>
          </cell>
          <cell r="N645" t="str">
            <v>Testing</v>
          </cell>
          <cell r="O645" t="str">
            <v>No</v>
          </cell>
          <cell r="Q645" t="str">
            <v>In Progress</v>
          </cell>
          <cell r="R645">
            <v>46059.648923611108</v>
          </cell>
          <cell r="S645" t="str">
            <v>Zeyad Khaled</v>
          </cell>
          <cell r="T645">
            <v>46092</v>
          </cell>
          <cell r="U645" t="str">
            <v>Lindsay Hudacik</v>
          </cell>
          <cell r="V645">
            <v>46119</v>
          </cell>
          <cell r="Y645">
            <v>46092</v>
          </cell>
        </row>
        <row r="646">
          <cell r="I646" t="str">
            <v>EDI</v>
          </cell>
          <cell r="L646">
            <v>4842</v>
          </cell>
          <cell r="N646" t="str">
            <v>Testing</v>
          </cell>
          <cell r="O646" t="str">
            <v>No</v>
          </cell>
          <cell r="Q646" t="str">
            <v>In Progress</v>
          </cell>
          <cell r="R646">
            <v>46059.584097222221</v>
          </cell>
          <cell r="S646" t="str">
            <v>Aya Fathy</v>
          </cell>
          <cell r="T646">
            <v>46142</v>
          </cell>
          <cell r="U646" t="str">
            <v>Lindsay Hudacik</v>
          </cell>
          <cell r="V646">
            <v>46190</v>
          </cell>
          <cell r="Y646">
            <v>46140</v>
          </cell>
        </row>
        <row r="647">
          <cell r="I647" t="str">
            <v>EDI</v>
          </cell>
          <cell r="L647">
            <v>4543</v>
          </cell>
          <cell r="N647" t="str">
            <v>Testing</v>
          </cell>
          <cell r="O647" t="str">
            <v>No</v>
          </cell>
          <cell r="Q647" t="str">
            <v>In Progress</v>
          </cell>
          <cell r="R647">
            <v>46059.584097222221</v>
          </cell>
          <cell r="S647" t="str">
            <v>Mirna Azmy</v>
          </cell>
          <cell r="T647">
            <v>46069</v>
          </cell>
          <cell r="U647" t="str">
            <v>Lindsay Hudacik</v>
          </cell>
          <cell r="V647">
            <v>25569</v>
          </cell>
          <cell r="Y647">
            <v>46069</v>
          </cell>
        </row>
        <row r="648">
          <cell r="I648" t="str">
            <v>EDI</v>
          </cell>
          <cell r="L648">
            <v>4921</v>
          </cell>
          <cell r="N648" t="str">
            <v>Production</v>
          </cell>
          <cell r="O648" t="str">
            <v>No</v>
          </cell>
          <cell r="Q648" t="str">
            <v>Live</v>
          </cell>
          <cell r="R648">
            <v>46059.584085648137</v>
          </cell>
          <cell r="S648" t="str">
            <v>Giulie Alaa</v>
          </cell>
          <cell r="T648">
            <v>46174</v>
          </cell>
          <cell r="U648" t="str">
            <v>Lindsay Hudacik</v>
          </cell>
          <cell r="W648">
            <v>46212</v>
          </cell>
          <cell r="Y648">
            <v>46172</v>
          </cell>
          <cell r="AC648">
            <v>46212</v>
          </cell>
        </row>
        <row r="649">
          <cell r="I649" t="str">
            <v>EDI</v>
          </cell>
          <cell r="L649">
            <v>4542</v>
          </cell>
          <cell r="N649" t="str">
            <v>Production</v>
          </cell>
          <cell r="O649" t="str">
            <v>No</v>
          </cell>
          <cell r="Q649" t="str">
            <v>Live</v>
          </cell>
          <cell r="R649">
            <v>46059.584074074082</v>
          </cell>
          <cell r="S649" t="str">
            <v>Mirna Azmy</v>
          </cell>
          <cell r="T649">
            <v>46069</v>
          </cell>
          <cell r="U649" t="str">
            <v>Lindsay Hudacik</v>
          </cell>
          <cell r="V649">
            <v>46119</v>
          </cell>
          <cell r="W649">
            <v>46139</v>
          </cell>
          <cell r="Y649">
            <v>46069</v>
          </cell>
          <cell r="AC649">
            <v>46139</v>
          </cell>
        </row>
        <row r="650">
          <cell r="I650" t="str">
            <v>EDI</v>
          </cell>
          <cell r="L650">
            <v>4541</v>
          </cell>
          <cell r="N650" t="str">
            <v>Production</v>
          </cell>
          <cell r="O650" t="str">
            <v>No</v>
          </cell>
          <cell r="Q650" t="str">
            <v>Live</v>
          </cell>
          <cell r="R650">
            <v>46058.898182870369</v>
          </cell>
          <cell r="S650" t="str">
            <v>Mark Albert</v>
          </cell>
          <cell r="T650">
            <v>46068</v>
          </cell>
          <cell r="U650" t="str">
            <v>Tammy Davies</v>
          </cell>
          <cell r="V650">
            <v>25569</v>
          </cell>
          <cell r="W650">
            <v>46135</v>
          </cell>
          <cell r="Y650">
            <v>46062</v>
          </cell>
          <cell r="AC650">
            <v>46133</v>
          </cell>
        </row>
        <row r="651">
          <cell r="I651" t="str">
            <v>EDI</v>
          </cell>
          <cell r="L651">
            <v>4540</v>
          </cell>
          <cell r="N651" t="str">
            <v>Production</v>
          </cell>
          <cell r="O651" t="str">
            <v>No</v>
          </cell>
          <cell r="Q651" t="str">
            <v>Live</v>
          </cell>
          <cell r="R651">
            <v>46058.894791666673</v>
          </cell>
          <cell r="S651" t="str">
            <v>Mark Albert</v>
          </cell>
          <cell r="T651">
            <v>46068</v>
          </cell>
          <cell r="U651" t="str">
            <v>Tammy Davies</v>
          </cell>
          <cell r="V651">
            <v>46089</v>
          </cell>
          <cell r="W651">
            <v>46153</v>
          </cell>
          <cell r="Y651">
            <v>46062</v>
          </cell>
          <cell r="AC651">
            <v>46153</v>
          </cell>
        </row>
        <row r="652">
          <cell r="I652" t="str">
            <v>EDI</v>
          </cell>
          <cell r="L652">
            <v>4666</v>
          </cell>
          <cell r="N652" t="str">
            <v>Production</v>
          </cell>
          <cell r="O652" t="str">
            <v>No</v>
          </cell>
          <cell r="Q652" t="str">
            <v>Live</v>
          </cell>
          <cell r="R652">
            <v>46058.724236111113</v>
          </cell>
          <cell r="S652" t="str">
            <v>Andrew Ramy</v>
          </cell>
          <cell r="T652">
            <v>46096</v>
          </cell>
          <cell r="U652" t="str">
            <v>Lonnie Celestin</v>
          </cell>
          <cell r="V652">
            <v>46114</v>
          </cell>
          <cell r="W652">
            <v>46190</v>
          </cell>
          <cell r="Y652">
            <v>46093</v>
          </cell>
          <cell r="AC652">
            <v>46190</v>
          </cell>
        </row>
        <row r="653">
          <cell r="I653" t="str">
            <v>EDI</v>
          </cell>
          <cell r="L653">
            <v>4569</v>
          </cell>
          <cell r="N653" t="str">
            <v>Production</v>
          </cell>
          <cell r="O653" t="str">
            <v>No</v>
          </cell>
          <cell r="Q653" t="str">
            <v>Live</v>
          </cell>
          <cell r="R653">
            <v>46058.710335648153</v>
          </cell>
          <cell r="S653" t="str">
            <v>Marwan Tawfik</v>
          </cell>
          <cell r="T653">
            <v>46075</v>
          </cell>
          <cell r="U653" t="str">
            <v>Tyler  Raposa</v>
          </cell>
          <cell r="V653">
            <v>46097</v>
          </cell>
          <cell r="W653">
            <v>46111</v>
          </cell>
          <cell r="Y653">
            <v>46069</v>
          </cell>
          <cell r="AC653">
            <v>46111</v>
          </cell>
        </row>
        <row r="654">
          <cell r="I654" t="str">
            <v>EDI</v>
          </cell>
          <cell r="L654">
            <v>4568</v>
          </cell>
          <cell r="N654" t="str">
            <v>Production</v>
          </cell>
          <cell r="O654" t="str">
            <v>No</v>
          </cell>
          <cell r="Q654" t="str">
            <v>Live</v>
          </cell>
          <cell r="R654">
            <v>46058.710324074083</v>
          </cell>
          <cell r="S654" t="str">
            <v>Marwan Tawfik</v>
          </cell>
          <cell r="T654">
            <v>46075</v>
          </cell>
          <cell r="U654" t="str">
            <v>Tyler  Raposa</v>
          </cell>
          <cell r="V654">
            <v>46119</v>
          </cell>
          <cell r="W654">
            <v>46140</v>
          </cell>
          <cell r="Y654">
            <v>46069</v>
          </cell>
          <cell r="AC654">
            <v>46140</v>
          </cell>
        </row>
        <row r="655">
          <cell r="I655" t="str">
            <v>EDI</v>
          </cell>
          <cell r="L655">
            <v>4567</v>
          </cell>
          <cell r="N655" t="str">
            <v>Production</v>
          </cell>
          <cell r="O655" t="str">
            <v>No</v>
          </cell>
          <cell r="Q655" t="str">
            <v>Live</v>
          </cell>
          <cell r="R655">
            <v>46058.710312499999</v>
          </cell>
          <cell r="S655" t="str">
            <v>Marwan Tawfik</v>
          </cell>
          <cell r="T655">
            <v>46075</v>
          </cell>
          <cell r="U655" t="str">
            <v>Tyler  Raposa</v>
          </cell>
          <cell r="V655">
            <v>46114</v>
          </cell>
          <cell r="W655">
            <v>46160</v>
          </cell>
          <cell r="Y655">
            <v>46071</v>
          </cell>
          <cell r="AC655">
            <v>46154</v>
          </cell>
        </row>
        <row r="656">
          <cell r="I656" t="str">
            <v>EDI</v>
          </cell>
          <cell r="L656">
            <v>4560</v>
          </cell>
          <cell r="N656" t="str">
            <v>Dataset Validation</v>
          </cell>
          <cell r="O656" t="str">
            <v>No</v>
          </cell>
          <cell r="Q656" t="str">
            <v>Cancelled</v>
          </cell>
          <cell r="R656">
            <v>46058.708634259259</v>
          </cell>
          <cell r="S656" t="str">
            <v>Ahmed Ali</v>
          </cell>
          <cell r="T656">
            <v>46075</v>
          </cell>
          <cell r="U656" t="str">
            <v>Brittany Hughson</v>
          </cell>
          <cell r="Y656">
            <v>46069</v>
          </cell>
        </row>
        <row r="657">
          <cell r="I657" t="str">
            <v>EDI</v>
          </cell>
          <cell r="L657">
            <v>4590</v>
          </cell>
          <cell r="N657" t="str">
            <v>Mapping</v>
          </cell>
          <cell r="O657" t="str">
            <v>No</v>
          </cell>
          <cell r="Q657" t="str">
            <v>Cancelled</v>
          </cell>
          <cell r="R657">
            <v>46058.690682870372</v>
          </cell>
          <cell r="S657" t="str">
            <v>Ahmed Ali</v>
          </cell>
          <cell r="T657">
            <v>46082</v>
          </cell>
          <cell r="U657" t="str">
            <v>Tyler  Raposa</v>
          </cell>
          <cell r="Y657">
            <v>46079</v>
          </cell>
        </row>
        <row r="658">
          <cell r="I658" t="str">
            <v>EDI</v>
          </cell>
          <cell r="L658">
            <v>4561</v>
          </cell>
          <cell r="N658" t="str">
            <v>Testing</v>
          </cell>
          <cell r="O658" t="str">
            <v>No</v>
          </cell>
          <cell r="Q658" t="str">
            <v>In Progress</v>
          </cell>
          <cell r="R658">
            <v>46058.690682870372</v>
          </cell>
          <cell r="S658" t="str">
            <v>Ahmed Ali</v>
          </cell>
          <cell r="T658">
            <v>46075</v>
          </cell>
          <cell r="U658" t="str">
            <v>Tyler  Raposa</v>
          </cell>
          <cell r="V658">
            <v>46099</v>
          </cell>
          <cell r="Y658">
            <v>46071</v>
          </cell>
        </row>
        <row r="659">
          <cell r="I659" t="str">
            <v>EDI</v>
          </cell>
          <cell r="L659">
            <v>4553</v>
          </cell>
          <cell r="N659" t="str">
            <v>Production</v>
          </cell>
          <cell r="O659" t="str">
            <v>No</v>
          </cell>
          <cell r="Q659" t="str">
            <v>Live</v>
          </cell>
          <cell r="R659">
            <v>46058.572557870371</v>
          </cell>
          <cell r="S659" t="str">
            <v>Andrew Ramy</v>
          </cell>
          <cell r="T659">
            <v>46069</v>
          </cell>
          <cell r="U659" t="str">
            <v>Carolina Tanoue</v>
          </cell>
          <cell r="V659">
            <v>46089</v>
          </cell>
          <cell r="W659">
            <v>46209</v>
          </cell>
          <cell r="Y659">
            <v>46064</v>
          </cell>
          <cell r="AC659">
            <v>46203</v>
          </cell>
        </row>
        <row r="660">
          <cell r="I660" t="str">
            <v>EDI</v>
          </cell>
          <cell r="L660">
            <v>4537</v>
          </cell>
          <cell r="N660" t="str">
            <v>Production</v>
          </cell>
          <cell r="O660" t="str">
            <v>No</v>
          </cell>
          <cell r="Q660" t="str">
            <v>Live</v>
          </cell>
          <cell r="R660">
            <v>46058.354108796288</v>
          </cell>
          <cell r="S660" t="str">
            <v>Zeyad Khaled</v>
          </cell>
          <cell r="T660">
            <v>46068</v>
          </cell>
          <cell r="U660" t="str">
            <v>Peter Abdelmalek</v>
          </cell>
          <cell r="V660">
            <v>46086</v>
          </cell>
          <cell r="W660">
            <v>46212</v>
          </cell>
          <cell r="Y660">
            <v>46064</v>
          </cell>
          <cell r="AC660">
            <v>46209</v>
          </cell>
        </row>
        <row r="661">
          <cell r="I661" t="str">
            <v>EDI</v>
          </cell>
          <cell r="L661">
            <v>4536</v>
          </cell>
          <cell r="N661" t="str">
            <v>Production</v>
          </cell>
          <cell r="O661" t="str">
            <v>No</v>
          </cell>
          <cell r="Q661" t="str">
            <v>Live</v>
          </cell>
          <cell r="R661">
            <v>46058.354097222233</v>
          </cell>
          <cell r="S661" t="str">
            <v>Zeyad Khaled</v>
          </cell>
          <cell r="T661">
            <v>46068</v>
          </cell>
          <cell r="U661" t="str">
            <v>Peter Abdelmalek</v>
          </cell>
          <cell r="V661">
            <v>46077</v>
          </cell>
          <cell r="W661">
            <v>46121</v>
          </cell>
          <cell r="Y661">
            <v>46064</v>
          </cell>
          <cell r="AC661">
            <v>46114</v>
          </cell>
        </row>
        <row r="662">
          <cell r="I662" t="str">
            <v>EDI</v>
          </cell>
          <cell r="L662">
            <v>4534</v>
          </cell>
          <cell r="N662" t="str">
            <v>Production</v>
          </cell>
          <cell r="O662" t="str">
            <v>No</v>
          </cell>
          <cell r="Q662" t="str">
            <v>Live</v>
          </cell>
          <cell r="R662">
            <v>46058.354097222233</v>
          </cell>
          <cell r="S662" t="str">
            <v>Zeyad Khaled</v>
          </cell>
          <cell r="T662">
            <v>46068</v>
          </cell>
          <cell r="U662" t="str">
            <v>Peter Abdelmalek</v>
          </cell>
          <cell r="V662">
            <v>46069</v>
          </cell>
          <cell r="W662">
            <v>46128</v>
          </cell>
          <cell r="Y662">
            <v>46064</v>
          </cell>
          <cell r="AC662">
            <v>46121</v>
          </cell>
        </row>
        <row r="663">
          <cell r="I663" t="str">
            <v>EDI</v>
          </cell>
          <cell r="L663">
            <v>4535</v>
          </cell>
          <cell r="N663" t="str">
            <v>Production</v>
          </cell>
          <cell r="O663" t="str">
            <v>No</v>
          </cell>
          <cell r="Q663" t="str">
            <v>Live</v>
          </cell>
          <cell r="R663">
            <v>46058.354074074072</v>
          </cell>
          <cell r="S663" t="str">
            <v>Zeyad Khaled</v>
          </cell>
          <cell r="T663">
            <v>46068</v>
          </cell>
          <cell r="U663" t="str">
            <v>Peter Abdelmalek</v>
          </cell>
          <cell r="V663">
            <v>46076</v>
          </cell>
          <cell r="W663">
            <v>46156</v>
          </cell>
          <cell r="Y663">
            <v>46064</v>
          </cell>
          <cell r="AC663">
            <v>46155</v>
          </cell>
        </row>
        <row r="664">
          <cell r="I664" t="str">
            <v>EDI</v>
          </cell>
          <cell r="L664">
            <v>4589</v>
          </cell>
          <cell r="N664" t="str">
            <v>Testing</v>
          </cell>
          <cell r="O664" t="str">
            <v>No</v>
          </cell>
          <cell r="Q664" t="str">
            <v>In Progress</v>
          </cell>
          <cell r="R664">
            <v>46057.901678240742</v>
          </cell>
          <cell r="S664" t="str">
            <v>Josephine Ossama</v>
          </cell>
          <cell r="T664">
            <v>46075</v>
          </cell>
          <cell r="U664" t="str">
            <v>Melanie Rhine</v>
          </cell>
          <cell r="Y664">
            <v>46072</v>
          </cell>
        </row>
        <row r="665">
          <cell r="I665" t="str">
            <v>EDI</v>
          </cell>
          <cell r="L665">
            <v>4583</v>
          </cell>
          <cell r="N665" t="str">
            <v>Testing</v>
          </cell>
          <cell r="O665" t="str">
            <v>No</v>
          </cell>
          <cell r="Q665" t="str">
            <v>In Progress</v>
          </cell>
          <cell r="R665">
            <v>46057.901666666658</v>
          </cell>
          <cell r="S665" t="str">
            <v>Alaa Yehia</v>
          </cell>
          <cell r="T665">
            <v>46078</v>
          </cell>
          <cell r="U665" t="str">
            <v>Melanie Rhine</v>
          </cell>
          <cell r="V665">
            <v>25569</v>
          </cell>
          <cell r="Y665">
            <v>46076</v>
          </cell>
        </row>
        <row r="666">
          <cell r="I666" t="str">
            <v>EDI</v>
          </cell>
          <cell r="L666">
            <v>4689</v>
          </cell>
          <cell r="N666" t="str">
            <v>Production</v>
          </cell>
          <cell r="O666" t="str">
            <v>No</v>
          </cell>
          <cell r="Q666" t="str">
            <v>Live</v>
          </cell>
          <cell r="R666">
            <v>46057.865312499998</v>
          </cell>
          <cell r="S666" t="str">
            <v>Omnia Abdelaziz</v>
          </cell>
          <cell r="T666">
            <v>46107</v>
          </cell>
          <cell r="U666" t="str">
            <v>Trish Kalinczok</v>
          </cell>
          <cell r="V666">
            <v>46135</v>
          </cell>
          <cell r="W666">
            <v>46156</v>
          </cell>
          <cell r="Y666">
            <v>46106</v>
          </cell>
          <cell r="AC666">
            <v>46147</v>
          </cell>
        </row>
        <row r="667">
          <cell r="I667" t="str">
            <v>EDI</v>
          </cell>
          <cell r="L667">
            <v>4690</v>
          </cell>
          <cell r="N667" t="str">
            <v>Production</v>
          </cell>
          <cell r="O667" t="str">
            <v>No</v>
          </cell>
          <cell r="Q667" t="str">
            <v>Live</v>
          </cell>
          <cell r="R667">
            <v>46057.865300925929</v>
          </cell>
          <cell r="S667" t="str">
            <v>Omnia Abdelaziz</v>
          </cell>
          <cell r="T667">
            <v>46107</v>
          </cell>
          <cell r="U667" t="str">
            <v>Trish Kalinczok</v>
          </cell>
          <cell r="V667">
            <v>46135</v>
          </cell>
          <cell r="W667">
            <v>46153</v>
          </cell>
          <cell r="Y667">
            <v>46106</v>
          </cell>
          <cell r="AC667">
            <v>46147</v>
          </cell>
        </row>
        <row r="668">
          <cell r="I668" t="str">
            <v>EDI</v>
          </cell>
          <cell r="L668">
            <v>4626</v>
          </cell>
          <cell r="N668" t="str">
            <v>Production</v>
          </cell>
          <cell r="O668" t="str">
            <v>No</v>
          </cell>
          <cell r="Q668" t="str">
            <v>Cancelled</v>
          </cell>
          <cell r="R668">
            <v>46057.862592592603</v>
          </cell>
          <cell r="S668" t="str">
            <v>Zeyad Khaled</v>
          </cell>
          <cell r="T668">
            <v>46083</v>
          </cell>
          <cell r="U668" t="str">
            <v>Trish Kalinczok</v>
          </cell>
          <cell r="V668">
            <v>46107</v>
          </cell>
          <cell r="W668">
            <v>46118</v>
          </cell>
          <cell r="Y668">
            <v>46082</v>
          </cell>
          <cell r="AC668">
            <v>46114</v>
          </cell>
        </row>
        <row r="669">
          <cell r="I669" t="str">
            <v>EDI</v>
          </cell>
          <cell r="L669">
            <v>4619</v>
          </cell>
          <cell r="N669" t="str">
            <v>Production</v>
          </cell>
          <cell r="O669" t="str">
            <v>No</v>
          </cell>
          <cell r="Q669" t="str">
            <v>Live</v>
          </cell>
          <cell r="R669">
            <v>46057.861319444448</v>
          </cell>
          <cell r="S669" t="str">
            <v>Mirna Azmy</v>
          </cell>
          <cell r="T669">
            <v>46083</v>
          </cell>
          <cell r="U669" t="str">
            <v>Trish Kalinczok</v>
          </cell>
          <cell r="V669">
            <v>46098</v>
          </cell>
          <cell r="W669">
            <v>46111</v>
          </cell>
          <cell r="Y669">
            <v>46075</v>
          </cell>
          <cell r="AC669">
            <v>46105</v>
          </cell>
        </row>
        <row r="670">
          <cell r="I670" t="str">
            <v>EDI</v>
          </cell>
          <cell r="L670">
            <v>4509</v>
          </cell>
          <cell r="N670" t="str">
            <v>Production</v>
          </cell>
          <cell r="O670" t="str">
            <v>No</v>
          </cell>
          <cell r="Q670" t="str">
            <v>Live</v>
          </cell>
          <cell r="R670">
            <v>46057.62222222222</v>
          </cell>
          <cell r="S670" t="str">
            <v>Zeyad Khaled</v>
          </cell>
          <cell r="T670">
            <v>46062</v>
          </cell>
          <cell r="U670" t="str">
            <v>Peter Abdelmalek</v>
          </cell>
          <cell r="V670">
            <v>46072</v>
          </cell>
          <cell r="W670">
            <v>46100</v>
          </cell>
          <cell r="Y670">
            <v>46058</v>
          </cell>
          <cell r="AC670">
            <v>46098</v>
          </cell>
        </row>
        <row r="671">
          <cell r="I671" t="str">
            <v>EDI</v>
          </cell>
          <cell r="L671">
            <v>4529</v>
          </cell>
          <cell r="N671" t="str">
            <v>Production</v>
          </cell>
          <cell r="O671" t="str">
            <v>No</v>
          </cell>
          <cell r="Q671" t="str">
            <v>Live</v>
          </cell>
          <cell r="R671">
            <v>46057.611041666663</v>
          </cell>
          <cell r="S671" t="str">
            <v>Marwan Tawfik</v>
          </cell>
          <cell r="T671">
            <v>46069</v>
          </cell>
          <cell r="U671" t="str">
            <v>Gregory Dubec</v>
          </cell>
          <cell r="V671">
            <v>46111</v>
          </cell>
          <cell r="W671">
            <v>46163</v>
          </cell>
          <cell r="Y671">
            <v>46068</v>
          </cell>
          <cell r="AC671">
            <v>46160</v>
          </cell>
        </row>
        <row r="672">
          <cell r="I672" t="str">
            <v>EDI</v>
          </cell>
          <cell r="L672">
            <v>4555</v>
          </cell>
          <cell r="N672" t="str">
            <v>Production</v>
          </cell>
          <cell r="O672" t="str">
            <v>No</v>
          </cell>
          <cell r="Q672" t="str">
            <v>Live</v>
          </cell>
          <cell r="R672">
            <v>46056.900347222218</v>
          </cell>
          <cell r="S672" t="str">
            <v>Mark Albert</v>
          </cell>
          <cell r="T672">
            <v>46075</v>
          </cell>
          <cell r="U672" t="str">
            <v>Benjamin Labowitz</v>
          </cell>
          <cell r="W672">
            <v>46125</v>
          </cell>
          <cell r="Y672">
            <v>46069</v>
          </cell>
          <cell r="AC672">
            <v>46105</v>
          </cell>
        </row>
        <row r="673">
          <cell r="I673" t="str">
            <v>EDI</v>
          </cell>
          <cell r="L673">
            <v>4624</v>
          </cell>
          <cell r="N673" t="str">
            <v>Production</v>
          </cell>
          <cell r="O673" t="str">
            <v>No</v>
          </cell>
          <cell r="Q673" t="str">
            <v>Live</v>
          </cell>
          <cell r="R673">
            <v>46056.900347222218</v>
          </cell>
          <cell r="S673" t="str">
            <v>Mark Albert</v>
          </cell>
          <cell r="T673">
            <v>46090</v>
          </cell>
          <cell r="U673" t="str">
            <v>Benjamin Labowitz</v>
          </cell>
          <cell r="W673">
            <v>46132</v>
          </cell>
          <cell r="Y673">
            <v>46090</v>
          </cell>
          <cell r="AC673">
            <v>46126</v>
          </cell>
        </row>
        <row r="674">
          <cell r="I674" t="str">
            <v>EDI</v>
          </cell>
          <cell r="L674">
            <v>4522</v>
          </cell>
          <cell r="N674" t="str">
            <v>Production</v>
          </cell>
          <cell r="O674" t="str">
            <v>No</v>
          </cell>
          <cell r="Q674" t="str">
            <v>Live</v>
          </cell>
          <cell r="R674">
            <v>46056.754791666674</v>
          </cell>
          <cell r="S674" t="str">
            <v>Ahmed Ali</v>
          </cell>
          <cell r="T674">
            <v>46068</v>
          </cell>
          <cell r="U674" t="str">
            <v>KJ Ampy</v>
          </cell>
          <cell r="V674">
            <v>46070</v>
          </cell>
          <cell r="W674">
            <v>46147</v>
          </cell>
          <cell r="Y674">
            <v>46063</v>
          </cell>
          <cell r="AC674">
            <v>46147</v>
          </cell>
        </row>
        <row r="675">
          <cell r="I675" t="str">
            <v>EDI</v>
          </cell>
          <cell r="L675">
            <v>4521</v>
          </cell>
          <cell r="N675" t="str">
            <v>Testing</v>
          </cell>
          <cell r="O675" t="str">
            <v>No</v>
          </cell>
          <cell r="Q675" t="str">
            <v>In Progress</v>
          </cell>
          <cell r="R675">
            <v>46056.749803240738</v>
          </cell>
          <cell r="S675" t="str">
            <v>Ahmed Ali</v>
          </cell>
          <cell r="T675">
            <v>46068</v>
          </cell>
          <cell r="U675" t="str">
            <v>KJ Ampy</v>
          </cell>
          <cell r="V675">
            <v>46070</v>
          </cell>
          <cell r="Y675">
            <v>46063</v>
          </cell>
        </row>
        <row r="676">
          <cell r="I676" t="str">
            <v>EDI</v>
          </cell>
          <cell r="L676">
            <v>4558</v>
          </cell>
          <cell r="N676" t="str">
            <v>Testing</v>
          </cell>
          <cell r="O676" t="str">
            <v>No</v>
          </cell>
          <cell r="Q676" t="str">
            <v>Cancelled</v>
          </cell>
          <cell r="R676">
            <v>46056.740486111114</v>
          </cell>
          <cell r="S676" t="str">
            <v>Alaa Yehia</v>
          </cell>
          <cell r="T676">
            <v>46068</v>
          </cell>
          <cell r="U676" t="str">
            <v>Tyler  Raposa</v>
          </cell>
          <cell r="V676">
            <v>46085</v>
          </cell>
          <cell r="Y676">
            <v>46066</v>
          </cell>
        </row>
        <row r="677">
          <cell r="I677" t="str">
            <v>EDI</v>
          </cell>
          <cell r="L677">
            <v>4557</v>
          </cell>
          <cell r="N677" t="str">
            <v>Production</v>
          </cell>
          <cell r="O677" t="str">
            <v>No</v>
          </cell>
          <cell r="Q677" t="str">
            <v>Live</v>
          </cell>
          <cell r="R677">
            <v>46056.740474537037</v>
          </cell>
          <cell r="S677" t="str">
            <v>Alaa Yehia</v>
          </cell>
          <cell r="T677">
            <v>46068</v>
          </cell>
          <cell r="U677" t="str">
            <v>Tyler  Raposa</v>
          </cell>
          <cell r="V677">
            <v>46077</v>
          </cell>
          <cell r="W677">
            <v>46139</v>
          </cell>
          <cell r="Y677">
            <v>46066</v>
          </cell>
          <cell r="AC677">
            <v>46135</v>
          </cell>
        </row>
        <row r="678">
          <cell r="I678" t="str">
            <v>EDI</v>
          </cell>
          <cell r="L678">
            <v>4799</v>
          </cell>
          <cell r="N678" t="str">
            <v>Production</v>
          </cell>
          <cell r="O678" t="str">
            <v>No</v>
          </cell>
          <cell r="Q678" t="str">
            <v>Live</v>
          </cell>
          <cell r="R678">
            <v>46056.716400462959</v>
          </cell>
          <cell r="S678" t="str">
            <v>Aya Fathy</v>
          </cell>
          <cell r="T678">
            <v>46121</v>
          </cell>
          <cell r="U678" t="str">
            <v>Tyler  Raposa</v>
          </cell>
          <cell r="V678">
            <v>46142</v>
          </cell>
          <cell r="W678">
            <v>46155</v>
          </cell>
          <cell r="AC678">
            <v>46155</v>
          </cell>
        </row>
        <row r="679">
          <cell r="I679" t="str">
            <v>EDI</v>
          </cell>
          <cell r="L679">
            <v>4800</v>
          </cell>
          <cell r="N679" t="str">
            <v>Production</v>
          </cell>
          <cell r="O679" t="str">
            <v>No</v>
          </cell>
          <cell r="Q679" t="str">
            <v>Live</v>
          </cell>
          <cell r="R679">
            <v>46056.715694444443</v>
          </cell>
          <cell r="S679" t="str">
            <v>Aya Fathy</v>
          </cell>
          <cell r="T679">
            <v>46121</v>
          </cell>
          <cell r="U679" t="str">
            <v>Tyler  Raposa</v>
          </cell>
          <cell r="V679">
            <v>25569</v>
          </cell>
          <cell r="W679">
            <v>46156</v>
          </cell>
          <cell r="AC679">
            <v>46155</v>
          </cell>
        </row>
        <row r="680">
          <cell r="I680" t="str">
            <v>EDI</v>
          </cell>
          <cell r="L680">
            <v>4581</v>
          </cell>
          <cell r="N680" t="str">
            <v>Production</v>
          </cell>
          <cell r="O680" t="str">
            <v>No</v>
          </cell>
          <cell r="Q680" t="str">
            <v>Live</v>
          </cell>
          <cell r="R680">
            <v>46056.679988425924</v>
          </cell>
          <cell r="S680" t="str">
            <v>Reem Radwan</v>
          </cell>
          <cell r="T680">
            <v>46075</v>
          </cell>
          <cell r="U680" t="str">
            <v>Rosalie Whitty</v>
          </cell>
          <cell r="V680">
            <v>25569</v>
          </cell>
          <cell r="W680">
            <v>25569</v>
          </cell>
          <cell r="Y680">
            <v>46069</v>
          </cell>
          <cell r="AC680">
            <v>46153</v>
          </cell>
        </row>
        <row r="681">
          <cell r="I681" t="str">
            <v>EDI</v>
          </cell>
          <cell r="L681">
            <v>4550</v>
          </cell>
          <cell r="N681" t="str">
            <v>Production</v>
          </cell>
          <cell r="O681" t="str">
            <v>No</v>
          </cell>
          <cell r="Q681" t="str">
            <v>Live</v>
          </cell>
          <cell r="R681">
            <v>46056.679976851847</v>
          </cell>
          <cell r="S681" t="str">
            <v>Andrew Ramy</v>
          </cell>
          <cell r="T681">
            <v>46068</v>
          </cell>
          <cell r="U681" t="str">
            <v>Rosalie Whitty</v>
          </cell>
          <cell r="V681">
            <v>46072</v>
          </cell>
          <cell r="W681">
            <v>46104</v>
          </cell>
          <cell r="Y681">
            <v>46065</v>
          </cell>
          <cell r="AC681">
            <v>46099</v>
          </cell>
        </row>
        <row r="682">
          <cell r="I682" t="str">
            <v>EDI</v>
          </cell>
          <cell r="L682">
            <v>4657</v>
          </cell>
          <cell r="N682" t="str">
            <v>Testing</v>
          </cell>
          <cell r="O682" t="str">
            <v>No</v>
          </cell>
          <cell r="Q682" t="str">
            <v>In Progress</v>
          </cell>
          <cell r="R682">
            <v>46055.763657407413</v>
          </cell>
          <cell r="S682" t="str">
            <v>Reem Radwan</v>
          </cell>
          <cell r="T682">
            <v>46090</v>
          </cell>
          <cell r="U682" t="str">
            <v>Liv Hessling</v>
          </cell>
          <cell r="V682">
            <v>46133</v>
          </cell>
          <cell r="Y682">
            <v>46086</v>
          </cell>
        </row>
        <row r="683">
          <cell r="I683" t="str">
            <v>EDI</v>
          </cell>
          <cell r="L683">
            <v>4580</v>
          </cell>
          <cell r="N683" t="str">
            <v>Testing</v>
          </cell>
          <cell r="O683" t="str">
            <v>No</v>
          </cell>
          <cell r="Q683" t="str">
            <v>In Progress</v>
          </cell>
          <cell r="R683">
            <v>46055.763657407413</v>
          </cell>
          <cell r="S683" t="str">
            <v>Reem Radwan</v>
          </cell>
          <cell r="T683">
            <v>46078</v>
          </cell>
          <cell r="U683" t="str">
            <v>Liv Hessling</v>
          </cell>
          <cell r="V683">
            <v>46133</v>
          </cell>
          <cell r="Y683">
            <v>46075</v>
          </cell>
        </row>
        <row r="684">
          <cell r="I684" t="str">
            <v>EDI</v>
          </cell>
          <cell r="N684" t="str">
            <v>Requirements Gathering</v>
          </cell>
          <cell r="O684" t="str">
            <v>No</v>
          </cell>
          <cell r="Q684" t="str">
            <v>Cancelled</v>
          </cell>
          <cell r="R684">
            <v>46052.967858796299</v>
          </cell>
          <cell r="S684" t="str">
            <v>Sandra Adel</v>
          </cell>
          <cell r="T684">
            <v>46055</v>
          </cell>
          <cell r="U684" t="str">
            <v>Tyler  Raposa</v>
          </cell>
        </row>
        <row r="685">
          <cell r="I685" t="str">
            <v>EDI</v>
          </cell>
          <cell r="L685">
            <v>4676</v>
          </cell>
          <cell r="N685" t="str">
            <v>Testing</v>
          </cell>
          <cell r="O685" t="str">
            <v>No</v>
          </cell>
          <cell r="Q685" t="str">
            <v>In Progress</v>
          </cell>
          <cell r="R685">
            <v>46052.958298611113</v>
          </cell>
          <cell r="S685" t="str">
            <v>Zeyad Khaled</v>
          </cell>
          <cell r="T685">
            <v>46092</v>
          </cell>
          <cell r="U685" t="str">
            <v>Benjamin Labowitz</v>
          </cell>
          <cell r="V685">
            <v>46112</v>
          </cell>
          <cell r="Y685">
            <v>46092</v>
          </cell>
        </row>
        <row r="686">
          <cell r="I686" t="str">
            <v>EDI</v>
          </cell>
          <cell r="L686">
            <v>4538</v>
          </cell>
          <cell r="N686" t="str">
            <v>Production</v>
          </cell>
          <cell r="O686" t="str">
            <v>No</v>
          </cell>
          <cell r="Q686" t="str">
            <v>Live</v>
          </cell>
          <cell r="R686">
            <v>46052.943414351852</v>
          </cell>
          <cell r="S686" t="str">
            <v>Alaa Yehia</v>
          </cell>
          <cell r="T686">
            <v>46068</v>
          </cell>
          <cell r="U686" t="str">
            <v>Benjamin Labowitz</v>
          </cell>
          <cell r="V686">
            <v>46073</v>
          </cell>
          <cell r="W686">
            <v>46190</v>
          </cell>
          <cell r="Y686">
            <v>46064</v>
          </cell>
          <cell r="AC686">
            <v>46187</v>
          </cell>
        </row>
        <row r="687">
          <cell r="I687" t="str">
            <v>EDI</v>
          </cell>
          <cell r="L687">
            <v>4545</v>
          </cell>
          <cell r="N687" t="str">
            <v>Production</v>
          </cell>
          <cell r="O687" t="str">
            <v>No</v>
          </cell>
          <cell r="Q687" t="str">
            <v>Live</v>
          </cell>
          <cell r="R687">
            <v>46052.943414351852</v>
          </cell>
          <cell r="S687" t="str">
            <v>Alaa Yehia</v>
          </cell>
          <cell r="T687">
            <v>46068</v>
          </cell>
          <cell r="U687" t="str">
            <v>Benjamin Labowitz</v>
          </cell>
          <cell r="V687">
            <v>46077</v>
          </cell>
          <cell r="W687">
            <v>46126</v>
          </cell>
          <cell r="Y687">
            <v>46064</v>
          </cell>
          <cell r="AC687">
            <v>46126</v>
          </cell>
        </row>
        <row r="688">
          <cell r="I688" t="str">
            <v>EDI</v>
          </cell>
          <cell r="L688">
            <v>4554</v>
          </cell>
          <cell r="N688" t="str">
            <v>Production</v>
          </cell>
          <cell r="O688" t="str">
            <v>No</v>
          </cell>
          <cell r="Q688" t="str">
            <v>Live</v>
          </cell>
          <cell r="R688">
            <v>46052.943402777782</v>
          </cell>
          <cell r="S688" t="str">
            <v>Alaa Yehia</v>
          </cell>
          <cell r="T688">
            <v>46068</v>
          </cell>
          <cell r="U688" t="str">
            <v>Benjamin Labowitz</v>
          </cell>
          <cell r="V688">
            <v>46081</v>
          </cell>
          <cell r="W688">
            <v>46190</v>
          </cell>
          <cell r="Y688">
            <v>46064</v>
          </cell>
          <cell r="AC688">
            <v>46188</v>
          </cell>
        </row>
        <row r="689">
          <cell r="I689" t="str">
            <v>EDI</v>
          </cell>
          <cell r="L689">
            <v>4551</v>
          </cell>
          <cell r="N689" t="str">
            <v>Production</v>
          </cell>
          <cell r="O689" t="str">
            <v>No</v>
          </cell>
          <cell r="Q689" t="str">
            <v>Live</v>
          </cell>
          <cell r="R689">
            <v>46052.943391203713</v>
          </cell>
          <cell r="S689" t="str">
            <v>Mirna Azmy</v>
          </cell>
          <cell r="T689">
            <v>46106</v>
          </cell>
          <cell r="U689" t="str">
            <v>Benjamin Labowitz</v>
          </cell>
          <cell r="V689">
            <v>46107</v>
          </cell>
          <cell r="W689">
            <v>46204</v>
          </cell>
          <cell r="Y689">
            <v>46069</v>
          </cell>
          <cell r="AC689">
            <v>46204</v>
          </cell>
        </row>
        <row r="690">
          <cell r="I690" t="str">
            <v>EDI</v>
          </cell>
          <cell r="L690">
            <v>4595</v>
          </cell>
          <cell r="N690" t="str">
            <v>Production</v>
          </cell>
          <cell r="O690" t="str">
            <v>No</v>
          </cell>
          <cell r="Q690" t="str">
            <v>Cancelled</v>
          </cell>
          <cell r="R690">
            <v>46052.647719907407</v>
          </cell>
          <cell r="S690" t="str">
            <v>Omnia Abdelaziz</v>
          </cell>
          <cell r="T690">
            <v>46078</v>
          </cell>
          <cell r="U690" t="str">
            <v>Benjamin Labowitz</v>
          </cell>
          <cell r="W690">
            <v>46139</v>
          </cell>
          <cell r="Y690">
            <v>46076</v>
          </cell>
          <cell r="AC690">
            <v>46139</v>
          </cell>
        </row>
        <row r="691">
          <cell r="I691" t="str">
            <v>EDI</v>
          </cell>
          <cell r="L691">
            <v>4532</v>
          </cell>
          <cell r="N691" t="str">
            <v>Production</v>
          </cell>
          <cell r="O691" t="str">
            <v>No</v>
          </cell>
          <cell r="Q691" t="str">
            <v>Live</v>
          </cell>
          <cell r="R691">
            <v>46052.565567129634</v>
          </cell>
          <cell r="S691" t="str">
            <v>Aya Fathy</v>
          </cell>
          <cell r="T691">
            <v>46068</v>
          </cell>
          <cell r="U691" t="str">
            <v>Rhettsmey Meak</v>
          </cell>
          <cell r="V691">
            <v>46078</v>
          </cell>
          <cell r="W691">
            <v>46087</v>
          </cell>
          <cell r="Y691">
            <v>46064</v>
          </cell>
          <cell r="AC691">
            <v>46085</v>
          </cell>
        </row>
        <row r="692">
          <cell r="I692" t="str">
            <v>EDI</v>
          </cell>
          <cell r="L692">
            <v>4480</v>
          </cell>
          <cell r="N692" t="str">
            <v>Production</v>
          </cell>
          <cell r="O692" t="str">
            <v>No</v>
          </cell>
          <cell r="Q692" t="str">
            <v>Live</v>
          </cell>
          <cell r="R692">
            <v>46051.69153935185</v>
          </cell>
          <cell r="S692" t="str">
            <v>Omnia Abdelaziz</v>
          </cell>
          <cell r="T692">
            <v>46055</v>
          </cell>
          <cell r="U692" t="str">
            <v>Jay Lang</v>
          </cell>
          <cell r="V692">
            <v>46196</v>
          </cell>
          <cell r="W692">
            <v>46206</v>
          </cell>
          <cell r="Y692">
            <v>46055</v>
          </cell>
          <cell r="AC692">
            <v>46204</v>
          </cell>
        </row>
        <row r="693">
          <cell r="I693" t="str">
            <v>EDI</v>
          </cell>
          <cell r="L693">
            <v>4510</v>
          </cell>
          <cell r="N693" t="str">
            <v>Production</v>
          </cell>
          <cell r="O693" t="str">
            <v>No</v>
          </cell>
          <cell r="Q693" t="str">
            <v>Live</v>
          </cell>
          <cell r="R693">
            <v>46051.644502314812</v>
          </cell>
          <cell r="S693" t="str">
            <v>Zeyad Khaled</v>
          </cell>
          <cell r="T693">
            <v>46057</v>
          </cell>
          <cell r="U693" t="str">
            <v>Trish Kalinczok</v>
          </cell>
          <cell r="V693">
            <v>46069</v>
          </cell>
          <cell r="W693">
            <v>46146</v>
          </cell>
          <cell r="Y693">
            <v>46057</v>
          </cell>
          <cell r="AC693">
            <v>46139</v>
          </cell>
        </row>
        <row r="694">
          <cell r="I694" t="str">
            <v>EDI</v>
          </cell>
          <cell r="L694">
            <v>4759</v>
          </cell>
          <cell r="N694" t="str">
            <v>Testing</v>
          </cell>
          <cell r="O694" t="str">
            <v>No</v>
          </cell>
          <cell r="Q694" t="str">
            <v>In Progress</v>
          </cell>
          <cell r="R694">
            <v>46051.573425925933</v>
          </cell>
          <cell r="S694" t="str">
            <v>Zeyad Khaled</v>
          </cell>
          <cell r="T694">
            <v>46126</v>
          </cell>
          <cell r="U694" t="str">
            <v>Necole Hartsfield</v>
          </cell>
          <cell r="V694">
            <v>46140</v>
          </cell>
          <cell r="Y694">
            <v>46121</v>
          </cell>
        </row>
        <row r="695">
          <cell r="I695" t="str">
            <v>EDI</v>
          </cell>
          <cell r="L695">
            <v>4875</v>
          </cell>
          <cell r="N695" t="str">
            <v>Testing</v>
          </cell>
          <cell r="O695" t="str">
            <v>No</v>
          </cell>
          <cell r="Q695" t="str">
            <v>In Progress</v>
          </cell>
          <cell r="R695">
            <v>46050.871562499997</v>
          </cell>
          <cell r="S695" t="str">
            <v>Giulie Alaa</v>
          </cell>
          <cell r="T695">
            <v>46155</v>
          </cell>
          <cell r="U695" t="str">
            <v>Melanie Rhine</v>
          </cell>
          <cell r="Y695">
            <v>46153</v>
          </cell>
        </row>
        <row r="696">
          <cell r="I696" t="str">
            <v>EDI</v>
          </cell>
          <cell r="L696">
            <v>4525</v>
          </cell>
          <cell r="N696" t="str">
            <v>Production</v>
          </cell>
          <cell r="O696" t="str">
            <v>No</v>
          </cell>
          <cell r="Q696" t="str">
            <v>Live</v>
          </cell>
          <cell r="R696">
            <v>46050.819062499999</v>
          </cell>
          <cell r="S696" t="str">
            <v>Noha Moustafa</v>
          </cell>
          <cell r="T696">
            <v>46068</v>
          </cell>
          <cell r="U696" t="str">
            <v>Melanie Rhine</v>
          </cell>
          <cell r="V696">
            <v>46070</v>
          </cell>
          <cell r="W696">
            <v>46083</v>
          </cell>
          <cell r="Y696">
            <v>46064</v>
          </cell>
          <cell r="AC696">
            <v>46082</v>
          </cell>
        </row>
        <row r="697">
          <cell r="I697" t="str">
            <v>EDI</v>
          </cell>
          <cell r="L697">
            <v>4494</v>
          </cell>
          <cell r="N697" t="str">
            <v>Production</v>
          </cell>
          <cell r="O697" t="str">
            <v>No</v>
          </cell>
          <cell r="Q697" t="str">
            <v>Live</v>
          </cell>
          <cell r="R697">
            <v>46050.819050925929</v>
          </cell>
          <cell r="S697" t="str">
            <v>Aya Fathy</v>
          </cell>
          <cell r="T697">
            <v>46057</v>
          </cell>
          <cell r="U697" t="str">
            <v>Melanie Rhine</v>
          </cell>
          <cell r="V697">
            <v>46082</v>
          </cell>
          <cell r="W697">
            <v>46140</v>
          </cell>
          <cell r="Y697">
            <v>46056</v>
          </cell>
          <cell r="AC697">
            <v>46137</v>
          </cell>
        </row>
        <row r="698">
          <cell r="I698" t="str">
            <v>EDI</v>
          </cell>
          <cell r="L698">
            <v>4493</v>
          </cell>
          <cell r="N698" t="str">
            <v>Production</v>
          </cell>
          <cell r="O698" t="str">
            <v>No</v>
          </cell>
          <cell r="Q698" t="str">
            <v>Live</v>
          </cell>
          <cell r="R698">
            <v>46050.819039351853</v>
          </cell>
          <cell r="S698" t="str">
            <v>Aya Fathy</v>
          </cell>
          <cell r="T698">
            <v>46057</v>
          </cell>
          <cell r="U698" t="str">
            <v>Melanie Rhine</v>
          </cell>
          <cell r="V698">
            <v>25569</v>
          </cell>
          <cell r="W698">
            <v>25569</v>
          </cell>
          <cell r="Y698">
            <v>46056</v>
          </cell>
          <cell r="AC698">
            <v>46142</v>
          </cell>
        </row>
        <row r="699">
          <cell r="I699" t="str">
            <v>EDI</v>
          </cell>
          <cell r="L699">
            <v>4508</v>
          </cell>
          <cell r="N699" t="str">
            <v>Production</v>
          </cell>
          <cell r="O699" t="str">
            <v>No</v>
          </cell>
          <cell r="Q699" t="str">
            <v>Live</v>
          </cell>
          <cell r="R699">
            <v>46050.803506944438</v>
          </cell>
          <cell r="S699" t="str">
            <v>Andrew Ramy</v>
          </cell>
          <cell r="T699">
            <v>46062</v>
          </cell>
          <cell r="U699" t="str">
            <v>Lonnie Celestin</v>
          </cell>
          <cell r="V699">
            <v>46063</v>
          </cell>
          <cell r="W699">
            <v>46065</v>
          </cell>
          <cell r="Y699">
            <v>46056</v>
          </cell>
          <cell r="AC699">
            <v>46064</v>
          </cell>
        </row>
        <row r="700">
          <cell r="I700" t="str">
            <v>EDI</v>
          </cell>
          <cell r="L700">
            <v>4498</v>
          </cell>
          <cell r="N700" t="str">
            <v>Production</v>
          </cell>
          <cell r="O700" t="str">
            <v>No</v>
          </cell>
          <cell r="Q700" t="str">
            <v>Live</v>
          </cell>
          <cell r="R700">
            <v>46050.646932870368</v>
          </cell>
          <cell r="S700" t="str">
            <v>Mark Albert</v>
          </cell>
          <cell r="T700">
            <v>46062</v>
          </cell>
          <cell r="U700" t="str">
            <v>Jay Lang</v>
          </cell>
          <cell r="V700">
            <v>46083</v>
          </cell>
          <cell r="W700">
            <v>46142</v>
          </cell>
          <cell r="Y700">
            <v>46057</v>
          </cell>
          <cell r="AC700">
            <v>46135</v>
          </cell>
        </row>
        <row r="701">
          <cell r="I701" t="str">
            <v>EDI</v>
          </cell>
          <cell r="L701">
            <v>4490</v>
          </cell>
          <cell r="N701" t="str">
            <v>Production</v>
          </cell>
          <cell r="O701" t="str">
            <v>No</v>
          </cell>
          <cell r="Q701" t="str">
            <v>Live</v>
          </cell>
          <cell r="R701">
            <v>46049.870416666658</v>
          </cell>
          <cell r="S701" t="str">
            <v>Mirna Azmy</v>
          </cell>
          <cell r="T701">
            <v>46055</v>
          </cell>
          <cell r="U701" t="str">
            <v>Trish Kalinczok</v>
          </cell>
          <cell r="V701">
            <v>46120</v>
          </cell>
          <cell r="W701">
            <v>46191</v>
          </cell>
          <cell r="Y701">
            <v>46055</v>
          </cell>
          <cell r="AC701">
            <v>46191</v>
          </cell>
        </row>
        <row r="702">
          <cell r="I702" t="str">
            <v>EDI</v>
          </cell>
          <cell r="L702">
            <v>4644</v>
          </cell>
          <cell r="N702" t="str">
            <v>Production</v>
          </cell>
          <cell r="O702" t="str">
            <v>No</v>
          </cell>
          <cell r="Q702" t="str">
            <v>Live</v>
          </cell>
          <cell r="R702">
            <v>46049.851620370369</v>
          </cell>
          <cell r="S702" t="str">
            <v>Omnia Abdelaziz</v>
          </cell>
          <cell r="T702">
            <v>46090</v>
          </cell>
          <cell r="U702" t="str">
            <v>Benjamin Labowitz</v>
          </cell>
          <cell r="V702">
            <v>46105</v>
          </cell>
          <cell r="W702">
            <v>46113</v>
          </cell>
          <cell r="Y702">
            <v>46086</v>
          </cell>
          <cell r="AC702">
            <v>46112</v>
          </cell>
        </row>
        <row r="703">
          <cell r="I703" t="str">
            <v>EDI</v>
          </cell>
          <cell r="L703">
            <v>4556</v>
          </cell>
          <cell r="N703" t="str">
            <v>Production</v>
          </cell>
          <cell r="O703" t="str">
            <v>No</v>
          </cell>
          <cell r="Q703" t="str">
            <v>Live</v>
          </cell>
          <cell r="R703">
            <v>46049.8516087963</v>
          </cell>
          <cell r="S703" t="str">
            <v>Mirna Azmy</v>
          </cell>
          <cell r="T703">
            <v>46106</v>
          </cell>
          <cell r="U703" t="str">
            <v>Benjamin Labowitz</v>
          </cell>
          <cell r="V703">
            <v>46154</v>
          </cell>
          <cell r="W703">
            <v>46204</v>
          </cell>
          <cell r="Y703">
            <v>46072</v>
          </cell>
          <cell r="AC703">
            <v>46184</v>
          </cell>
        </row>
        <row r="704">
          <cell r="I704" t="str">
            <v>EDI</v>
          </cell>
          <cell r="L704">
            <v>4565</v>
          </cell>
          <cell r="N704" t="str">
            <v>Production</v>
          </cell>
          <cell r="O704" t="str">
            <v>No</v>
          </cell>
          <cell r="Q704" t="str">
            <v>Live</v>
          </cell>
          <cell r="R704">
            <v>46049.8516087963</v>
          </cell>
          <cell r="S704" t="str">
            <v>Mirna Azmy</v>
          </cell>
          <cell r="T704">
            <v>46106</v>
          </cell>
          <cell r="U704" t="str">
            <v>Benjamin Labowitz</v>
          </cell>
          <cell r="V704">
            <v>46106</v>
          </cell>
          <cell r="W704">
            <v>46113</v>
          </cell>
          <cell r="Y704">
            <v>46071</v>
          </cell>
          <cell r="AC704">
            <v>46113</v>
          </cell>
        </row>
        <row r="705">
          <cell r="I705" t="str">
            <v>EDI</v>
          </cell>
          <cell r="L705">
            <v>4563</v>
          </cell>
          <cell r="N705" t="str">
            <v>Mapping</v>
          </cell>
          <cell r="O705" t="str">
            <v>No</v>
          </cell>
          <cell r="Q705" t="str">
            <v>Cancelled</v>
          </cell>
          <cell r="R705">
            <v>46049.813738425917</v>
          </cell>
          <cell r="S705" t="str">
            <v>Omnia Abdelaziz</v>
          </cell>
          <cell r="T705">
            <v>46069</v>
          </cell>
          <cell r="U705" t="str">
            <v>Benjamin Labowitz</v>
          </cell>
          <cell r="Y705">
            <v>46064</v>
          </cell>
        </row>
        <row r="706">
          <cell r="I706" t="str">
            <v>EDI</v>
          </cell>
          <cell r="N706" t="str">
            <v>Pending Start</v>
          </cell>
          <cell r="O706" t="str">
            <v>No</v>
          </cell>
          <cell r="Q706" t="str">
            <v>Cancelled</v>
          </cell>
          <cell r="R706">
            <v>46049.78025462963</v>
          </cell>
          <cell r="U706" t="str">
            <v>Necole Hartsfield</v>
          </cell>
        </row>
        <row r="707">
          <cell r="I707" t="str">
            <v>EDI</v>
          </cell>
          <cell r="L707">
            <v>4530</v>
          </cell>
          <cell r="N707" t="str">
            <v>Production</v>
          </cell>
          <cell r="O707" t="str">
            <v>No</v>
          </cell>
          <cell r="Q707" t="str">
            <v>Live</v>
          </cell>
          <cell r="R707">
            <v>46048.618472222217</v>
          </cell>
          <cell r="S707" t="str">
            <v>Aya Fathy</v>
          </cell>
          <cell r="T707">
            <v>46068</v>
          </cell>
          <cell r="U707" t="str">
            <v>Carolina Tanoue</v>
          </cell>
          <cell r="V707">
            <v>46078</v>
          </cell>
          <cell r="W707">
            <v>46126</v>
          </cell>
          <cell r="Y707">
            <v>46062</v>
          </cell>
          <cell r="AC707">
            <v>46117</v>
          </cell>
        </row>
        <row r="708">
          <cell r="I708" t="str">
            <v>EDI</v>
          </cell>
          <cell r="L708">
            <v>4578</v>
          </cell>
          <cell r="N708" t="str">
            <v>Production</v>
          </cell>
          <cell r="O708" t="str">
            <v>No</v>
          </cell>
          <cell r="Q708" t="str">
            <v>Live</v>
          </cell>
          <cell r="R708">
            <v>46047.759918981479</v>
          </cell>
          <cell r="S708" t="str">
            <v>Omnia Abdelaziz</v>
          </cell>
          <cell r="T708">
            <v>46075</v>
          </cell>
          <cell r="U708" t="str">
            <v>Trish Kalinczok</v>
          </cell>
          <cell r="V708">
            <v>46111</v>
          </cell>
          <cell r="W708">
            <v>46184</v>
          </cell>
          <cell r="Y708">
            <v>46068</v>
          </cell>
          <cell r="AC708">
            <v>46183</v>
          </cell>
        </row>
        <row r="709">
          <cell r="I709" t="str">
            <v>EDI</v>
          </cell>
          <cell r="L709">
            <v>4577</v>
          </cell>
          <cell r="N709" t="str">
            <v>Production</v>
          </cell>
          <cell r="O709" t="str">
            <v>No</v>
          </cell>
          <cell r="Q709" t="str">
            <v>Live</v>
          </cell>
          <cell r="R709">
            <v>46047.759918981479</v>
          </cell>
          <cell r="S709" t="str">
            <v>Omnia Abdelaziz</v>
          </cell>
          <cell r="T709">
            <v>46075</v>
          </cell>
          <cell r="U709" t="str">
            <v>Trish Kalinczok</v>
          </cell>
          <cell r="V709">
            <v>25569</v>
          </cell>
          <cell r="W709">
            <v>46183</v>
          </cell>
          <cell r="Y709">
            <v>46068</v>
          </cell>
          <cell r="AC709">
            <v>46183</v>
          </cell>
        </row>
        <row r="710">
          <cell r="I710" t="str">
            <v>EDI</v>
          </cell>
          <cell r="L710">
            <v>4486</v>
          </cell>
          <cell r="N710" t="str">
            <v>Testing</v>
          </cell>
          <cell r="O710" t="str">
            <v>No</v>
          </cell>
          <cell r="Q710" t="str">
            <v>In Progress</v>
          </cell>
          <cell r="R710">
            <v>46045.902870370373</v>
          </cell>
          <cell r="S710" t="str">
            <v>Marwan Tawfik</v>
          </cell>
          <cell r="T710">
            <v>46051</v>
          </cell>
          <cell r="U710" t="str">
            <v>Tammy Davies</v>
          </cell>
          <cell r="V710">
            <v>46105</v>
          </cell>
        </row>
        <row r="711">
          <cell r="I711" t="str">
            <v>EDI</v>
          </cell>
          <cell r="L711">
            <v>4455</v>
          </cell>
          <cell r="N711" t="str">
            <v>Production</v>
          </cell>
          <cell r="O711" t="str">
            <v>No</v>
          </cell>
          <cell r="Q711" t="str">
            <v>Live</v>
          </cell>
          <cell r="R711">
            <v>46045.590949074067</v>
          </cell>
          <cell r="S711" t="str">
            <v>Josephine Ossama</v>
          </cell>
          <cell r="T711">
            <v>46051</v>
          </cell>
          <cell r="U711" t="str">
            <v>Trish Kalinczok</v>
          </cell>
          <cell r="V711">
            <v>46063</v>
          </cell>
          <cell r="W711">
            <v>46083</v>
          </cell>
          <cell r="Y711">
            <v>46051</v>
          </cell>
          <cell r="AC711">
            <v>46078</v>
          </cell>
        </row>
        <row r="712">
          <cell r="I712" t="str">
            <v>EDI</v>
          </cell>
          <cell r="L712">
            <v>4571</v>
          </cell>
          <cell r="N712" t="str">
            <v>Production</v>
          </cell>
          <cell r="O712" t="str">
            <v>No</v>
          </cell>
          <cell r="Q712" t="str">
            <v>Live</v>
          </cell>
          <cell r="R712">
            <v>46045.583182870367</v>
          </cell>
          <cell r="S712" t="str">
            <v>Aya Fathy</v>
          </cell>
          <cell r="T712">
            <v>46075</v>
          </cell>
          <cell r="U712" t="str">
            <v>Lindsay Hudacik</v>
          </cell>
          <cell r="V712">
            <v>46086</v>
          </cell>
          <cell r="W712">
            <v>46184</v>
          </cell>
          <cell r="Y712">
            <v>46071</v>
          </cell>
          <cell r="AC712">
            <v>46180</v>
          </cell>
        </row>
        <row r="713">
          <cell r="I713" t="str">
            <v>EDI</v>
          </cell>
          <cell r="L713">
            <v>4492</v>
          </cell>
          <cell r="N713" t="str">
            <v>Production</v>
          </cell>
          <cell r="O713" t="str">
            <v>No</v>
          </cell>
          <cell r="Q713" t="str">
            <v>Live</v>
          </cell>
          <cell r="R713">
            <v>46044.90079861111</v>
          </cell>
          <cell r="S713" t="str">
            <v>Aya Fathy</v>
          </cell>
          <cell r="T713">
            <v>46051</v>
          </cell>
          <cell r="U713" t="str">
            <v>Trish Kalinczok</v>
          </cell>
          <cell r="V713">
            <v>46061</v>
          </cell>
          <cell r="W713">
            <v>46070</v>
          </cell>
          <cell r="Y713">
            <v>46049</v>
          </cell>
          <cell r="AC713">
            <v>46068</v>
          </cell>
        </row>
        <row r="714">
          <cell r="I714" t="str">
            <v>EDI</v>
          </cell>
          <cell r="L714">
            <v>4469</v>
          </cell>
          <cell r="N714" t="str">
            <v>Production</v>
          </cell>
          <cell r="O714" t="str">
            <v>No</v>
          </cell>
          <cell r="Q714" t="str">
            <v>Live</v>
          </cell>
          <cell r="R714">
            <v>46044.855682870373</v>
          </cell>
          <cell r="S714" t="str">
            <v>Omnia Abdelaziz</v>
          </cell>
          <cell r="T714">
            <v>46051</v>
          </cell>
          <cell r="U714" t="str">
            <v>Melanie Rhine</v>
          </cell>
          <cell r="V714">
            <v>46056</v>
          </cell>
          <cell r="W714">
            <v>46086</v>
          </cell>
          <cell r="Y714">
            <v>46050</v>
          </cell>
          <cell r="AC714">
            <v>46086</v>
          </cell>
        </row>
        <row r="715">
          <cell r="I715" t="str">
            <v>EDI</v>
          </cell>
          <cell r="L715">
            <v>4470</v>
          </cell>
          <cell r="N715" t="str">
            <v>Production</v>
          </cell>
          <cell r="O715" t="str">
            <v>No</v>
          </cell>
          <cell r="Q715" t="str">
            <v>Live</v>
          </cell>
          <cell r="R715">
            <v>46044.854212962957</v>
          </cell>
          <cell r="S715" t="str">
            <v>Omnia Abdelaziz</v>
          </cell>
          <cell r="T715">
            <v>46051</v>
          </cell>
          <cell r="U715" t="str">
            <v>Melanie Rhine</v>
          </cell>
          <cell r="V715">
            <v>46056</v>
          </cell>
          <cell r="W715">
            <v>46062</v>
          </cell>
          <cell r="Y715">
            <v>46050</v>
          </cell>
          <cell r="AC715">
            <v>46062</v>
          </cell>
        </row>
        <row r="716">
          <cell r="I716" t="str">
            <v>EDI</v>
          </cell>
          <cell r="L716">
            <v>4519</v>
          </cell>
          <cell r="N716" t="str">
            <v>Production</v>
          </cell>
          <cell r="O716" t="str">
            <v>No</v>
          </cell>
          <cell r="Q716" t="str">
            <v>Live</v>
          </cell>
          <cell r="R716">
            <v>46044.633518518523</v>
          </cell>
          <cell r="S716" t="str">
            <v>Mirna Azmy</v>
          </cell>
          <cell r="T716">
            <v>46070</v>
          </cell>
          <cell r="U716" t="str">
            <v>Joel Costanzo</v>
          </cell>
          <cell r="V716">
            <v>46075</v>
          </cell>
          <cell r="W716">
            <v>46092</v>
          </cell>
          <cell r="Y716">
            <v>46050</v>
          </cell>
          <cell r="AC716">
            <v>46089</v>
          </cell>
        </row>
        <row r="717">
          <cell r="I717" t="str">
            <v>EDI</v>
          </cell>
          <cell r="L717">
            <v>4518</v>
          </cell>
          <cell r="N717" t="str">
            <v>Production</v>
          </cell>
          <cell r="O717" t="str">
            <v>No</v>
          </cell>
          <cell r="Q717" t="str">
            <v>Live</v>
          </cell>
          <cell r="R717">
            <v>46044.632407407407</v>
          </cell>
          <cell r="S717" t="str">
            <v>Ahmed Ali</v>
          </cell>
          <cell r="T717">
            <v>46051</v>
          </cell>
          <cell r="U717" t="str">
            <v>Joel Costanzo</v>
          </cell>
          <cell r="V717">
            <v>46083</v>
          </cell>
          <cell r="W717">
            <v>46111</v>
          </cell>
          <cell r="Y717">
            <v>46050</v>
          </cell>
          <cell r="AC717">
            <v>46111</v>
          </cell>
        </row>
        <row r="718">
          <cell r="I718" t="str">
            <v>EDI</v>
          </cell>
          <cell r="L718">
            <v>4491</v>
          </cell>
          <cell r="N718" t="str">
            <v>Production</v>
          </cell>
          <cell r="O718" t="str">
            <v>No</v>
          </cell>
          <cell r="Q718" t="str">
            <v>Live</v>
          </cell>
          <cell r="R718">
            <v>46043.866087962961</v>
          </cell>
          <cell r="S718" t="str">
            <v>Aya Fathy</v>
          </cell>
          <cell r="T718">
            <v>46051</v>
          </cell>
          <cell r="U718" t="str">
            <v>Trish Kalinczok</v>
          </cell>
          <cell r="V718">
            <v>46061</v>
          </cell>
          <cell r="W718">
            <v>46083</v>
          </cell>
          <cell r="Y718">
            <v>46049</v>
          </cell>
          <cell r="AC718">
            <v>46076</v>
          </cell>
        </row>
        <row r="719">
          <cell r="I719" t="str">
            <v>EDI</v>
          </cell>
          <cell r="L719">
            <v>4504</v>
          </cell>
          <cell r="N719" t="str">
            <v>Production</v>
          </cell>
          <cell r="O719" t="str">
            <v>No</v>
          </cell>
          <cell r="Q719" t="str">
            <v>Live</v>
          </cell>
          <cell r="R719">
            <v>46043.761805555558</v>
          </cell>
          <cell r="S719" t="str">
            <v>Karen Ramy</v>
          </cell>
          <cell r="T719">
            <v>46051</v>
          </cell>
          <cell r="U719" t="str">
            <v>Peter Abdelmalek</v>
          </cell>
          <cell r="V719">
            <v>46064</v>
          </cell>
          <cell r="W719">
            <v>46079</v>
          </cell>
          <cell r="Y719">
            <v>46048</v>
          </cell>
          <cell r="AC719">
            <v>46076</v>
          </cell>
        </row>
        <row r="720">
          <cell r="I720" t="str">
            <v>EDI</v>
          </cell>
          <cell r="L720">
            <v>4503</v>
          </cell>
          <cell r="N720" t="str">
            <v>Production</v>
          </cell>
          <cell r="O720" t="str">
            <v>No</v>
          </cell>
          <cell r="Q720" t="str">
            <v>Live</v>
          </cell>
          <cell r="R720">
            <v>46043.761805555558</v>
          </cell>
          <cell r="S720" t="str">
            <v>Karen Ramy</v>
          </cell>
          <cell r="T720">
            <v>46051</v>
          </cell>
          <cell r="U720" t="str">
            <v>Peter Abdelmalek</v>
          </cell>
          <cell r="W720">
            <v>46086</v>
          </cell>
          <cell r="Y720">
            <v>46048</v>
          </cell>
          <cell r="AC720">
            <v>46076</v>
          </cell>
        </row>
        <row r="721">
          <cell r="I721" t="str">
            <v>EDI</v>
          </cell>
          <cell r="L721">
            <v>4479</v>
          </cell>
          <cell r="N721" t="str">
            <v>Production</v>
          </cell>
          <cell r="O721" t="str">
            <v>No</v>
          </cell>
          <cell r="Q721" t="str">
            <v>Live</v>
          </cell>
          <cell r="R721">
            <v>46043.745034722233</v>
          </cell>
          <cell r="S721" t="str">
            <v>Omnia Abdelaziz</v>
          </cell>
          <cell r="T721">
            <v>46055</v>
          </cell>
          <cell r="U721" t="str">
            <v>Peter Abdelmalek</v>
          </cell>
          <cell r="V721">
            <v>46079</v>
          </cell>
          <cell r="W721">
            <v>46111</v>
          </cell>
          <cell r="Y721">
            <v>46054</v>
          </cell>
          <cell r="AC721">
            <v>46105</v>
          </cell>
        </row>
        <row r="722">
          <cell r="I722" t="str">
            <v>EDI</v>
          </cell>
          <cell r="L722">
            <v>4507</v>
          </cell>
          <cell r="N722" t="str">
            <v>Production</v>
          </cell>
          <cell r="O722" t="str">
            <v>No</v>
          </cell>
          <cell r="Q722" t="str">
            <v>Live</v>
          </cell>
          <cell r="R722">
            <v>46043.732141203713</v>
          </cell>
          <cell r="S722" t="str">
            <v>Karen Ramy</v>
          </cell>
          <cell r="T722">
            <v>46051</v>
          </cell>
          <cell r="U722" t="str">
            <v>Peter Abdelmalek</v>
          </cell>
          <cell r="V722">
            <v>46064</v>
          </cell>
          <cell r="W722">
            <v>46086</v>
          </cell>
          <cell r="Y722">
            <v>46048</v>
          </cell>
          <cell r="AC722">
            <v>46084</v>
          </cell>
        </row>
        <row r="723">
          <cell r="I723" t="str">
            <v>EDI</v>
          </cell>
          <cell r="L723">
            <v>4505</v>
          </cell>
          <cell r="N723" t="str">
            <v>Production</v>
          </cell>
          <cell r="O723" t="str">
            <v>No</v>
          </cell>
          <cell r="Q723" t="str">
            <v>Live</v>
          </cell>
          <cell r="R723">
            <v>46043.732141203713</v>
          </cell>
          <cell r="S723" t="str">
            <v>Karen Ramy</v>
          </cell>
          <cell r="T723">
            <v>46051</v>
          </cell>
          <cell r="U723" t="str">
            <v>Peter Abdelmalek</v>
          </cell>
          <cell r="W723">
            <v>46086</v>
          </cell>
          <cell r="Y723">
            <v>46048</v>
          </cell>
          <cell r="AC723">
            <v>46084</v>
          </cell>
        </row>
        <row r="724">
          <cell r="I724" t="str">
            <v>EDI</v>
          </cell>
          <cell r="N724" t="str">
            <v>Pending Start</v>
          </cell>
          <cell r="O724" t="str">
            <v>No</v>
          </cell>
          <cell r="Q724" t="str">
            <v>Cancelled</v>
          </cell>
          <cell r="R724">
            <v>46043.681817129633</v>
          </cell>
          <cell r="U724" t="str">
            <v>Joel Costanzo</v>
          </cell>
        </row>
        <row r="725">
          <cell r="I725" t="str">
            <v>EDI</v>
          </cell>
          <cell r="N725" t="str">
            <v>Pending Start</v>
          </cell>
          <cell r="O725" t="str">
            <v>No</v>
          </cell>
          <cell r="Q725" t="str">
            <v>Cancelled</v>
          </cell>
          <cell r="R725">
            <v>46043.680532407408</v>
          </cell>
          <cell r="U725" t="str">
            <v>Joel Costanzo</v>
          </cell>
        </row>
        <row r="726">
          <cell r="I726" t="str">
            <v>EDI</v>
          </cell>
          <cell r="L726">
            <v>4432</v>
          </cell>
          <cell r="N726" t="str">
            <v>Production</v>
          </cell>
          <cell r="O726" t="str">
            <v>eBenefits Network</v>
          </cell>
          <cell r="P726" t="str">
            <v>Production</v>
          </cell>
          <cell r="Q726" t="str">
            <v>Live</v>
          </cell>
          <cell r="R726">
            <v>46043.669027777767</v>
          </cell>
          <cell r="S726" t="str">
            <v>Josephine Ossama</v>
          </cell>
          <cell r="T726">
            <v>46044</v>
          </cell>
          <cell r="U726" t="str">
            <v>Trish Kalinczok</v>
          </cell>
          <cell r="V726">
            <v>46091</v>
          </cell>
          <cell r="W726">
            <v>25569</v>
          </cell>
          <cell r="Y726">
            <v>46044</v>
          </cell>
          <cell r="AC726">
            <v>46166</v>
          </cell>
        </row>
        <row r="727">
          <cell r="I727" t="str">
            <v>EDI</v>
          </cell>
          <cell r="L727">
            <v>4473</v>
          </cell>
          <cell r="N727" t="str">
            <v>Production</v>
          </cell>
          <cell r="O727" t="str">
            <v>No</v>
          </cell>
          <cell r="Q727" t="str">
            <v>Live</v>
          </cell>
          <cell r="R727">
            <v>46043.661458333343</v>
          </cell>
          <cell r="S727" t="str">
            <v>Zeyad Khaled</v>
          </cell>
          <cell r="T727">
            <v>46051</v>
          </cell>
          <cell r="U727" t="str">
            <v>Trish Kalinczok</v>
          </cell>
          <cell r="V727">
            <v>46063</v>
          </cell>
          <cell r="W727">
            <v>46118</v>
          </cell>
          <cell r="Y727">
            <v>46049</v>
          </cell>
          <cell r="AC727">
            <v>46118</v>
          </cell>
        </row>
        <row r="728">
          <cell r="I728" t="str">
            <v>EDI</v>
          </cell>
          <cell r="L728">
            <v>4441</v>
          </cell>
          <cell r="N728" t="str">
            <v>Testing</v>
          </cell>
          <cell r="O728" t="str">
            <v>No</v>
          </cell>
          <cell r="Q728" t="str">
            <v>On Hold</v>
          </cell>
          <cell r="R728">
            <v>46043.430555555547</v>
          </cell>
          <cell r="S728" t="str">
            <v>Reem Radwan</v>
          </cell>
          <cell r="T728">
            <v>46047</v>
          </cell>
          <cell r="U728" t="str">
            <v>Peter Abdelmalek</v>
          </cell>
          <cell r="V728">
            <v>46079</v>
          </cell>
          <cell r="Y728">
            <v>46043</v>
          </cell>
        </row>
        <row r="729">
          <cell r="I729" t="str">
            <v>EDI</v>
          </cell>
          <cell r="L729">
            <v>4476</v>
          </cell>
          <cell r="N729" t="str">
            <v>Production</v>
          </cell>
          <cell r="O729" t="str">
            <v>No</v>
          </cell>
          <cell r="Q729" t="str">
            <v>Live</v>
          </cell>
          <cell r="R729">
            <v>46042.776099537034</v>
          </cell>
          <cell r="S729" t="str">
            <v>Mark Albert</v>
          </cell>
          <cell r="T729">
            <v>46057</v>
          </cell>
          <cell r="U729" t="str">
            <v>Gregory Dubec</v>
          </cell>
          <cell r="V729">
            <v>46070</v>
          </cell>
          <cell r="W729">
            <v>46107</v>
          </cell>
          <cell r="Y729">
            <v>46056</v>
          </cell>
          <cell r="AC729">
            <v>46105</v>
          </cell>
        </row>
        <row r="730">
          <cell r="I730" t="str">
            <v>EDI</v>
          </cell>
          <cell r="L730">
            <v>4431</v>
          </cell>
          <cell r="N730" t="str">
            <v>Production</v>
          </cell>
          <cell r="O730" t="str">
            <v>No</v>
          </cell>
          <cell r="Q730" t="str">
            <v>Live</v>
          </cell>
          <cell r="R730">
            <v>46042.714780092603</v>
          </cell>
          <cell r="S730" t="str">
            <v>Karen Ramy</v>
          </cell>
          <cell r="T730">
            <v>46043</v>
          </cell>
          <cell r="U730" t="str">
            <v>Gregory Dubec</v>
          </cell>
          <cell r="V730">
            <v>46062</v>
          </cell>
          <cell r="W730">
            <v>46198</v>
          </cell>
          <cell r="AC730">
            <v>46198</v>
          </cell>
        </row>
        <row r="731">
          <cell r="I731" t="str">
            <v>EDI</v>
          </cell>
          <cell r="L731">
            <v>4448</v>
          </cell>
          <cell r="N731" t="str">
            <v>Production</v>
          </cell>
          <cell r="O731" t="str">
            <v>No</v>
          </cell>
          <cell r="Q731" t="str">
            <v>Live</v>
          </cell>
          <cell r="R731">
            <v>46041.842557870368</v>
          </cell>
          <cell r="S731" t="str">
            <v>Marwan Tawfik</v>
          </cell>
          <cell r="T731">
            <v>46047</v>
          </cell>
          <cell r="U731" t="str">
            <v>Jay Lang</v>
          </cell>
          <cell r="V731">
            <v>46084</v>
          </cell>
          <cell r="W731">
            <v>46157</v>
          </cell>
          <cell r="Y731">
            <v>46043</v>
          </cell>
          <cell r="AC731">
            <v>46152</v>
          </cell>
        </row>
        <row r="732">
          <cell r="I732" t="str">
            <v>EDI</v>
          </cell>
          <cell r="L732">
            <v>4484</v>
          </cell>
          <cell r="N732" t="str">
            <v>Production</v>
          </cell>
          <cell r="O732" t="str">
            <v>No</v>
          </cell>
          <cell r="Q732" t="str">
            <v>Live</v>
          </cell>
          <cell r="R732">
            <v>46041.811307870368</v>
          </cell>
          <cell r="S732" t="str">
            <v>Mirna Azmy</v>
          </cell>
          <cell r="T732">
            <v>46139</v>
          </cell>
          <cell r="U732" t="str">
            <v>Gregory Dubec</v>
          </cell>
          <cell r="V732">
            <v>46091</v>
          </cell>
          <cell r="W732">
            <v>46156</v>
          </cell>
          <cell r="Y732">
            <v>46047</v>
          </cell>
          <cell r="AC732">
            <v>46152</v>
          </cell>
        </row>
        <row r="733">
          <cell r="I733" t="str">
            <v>Forms</v>
          </cell>
          <cell r="L733" t="str">
            <v>[4430]</v>
          </cell>
          <cell r="N733" t="str">
            <v>Production</v>
          </cell>
          <cell r="O733" t="str">
            <v>Everything Benefits</v>
          </cell>
          <cell r="P733" t="str">
            <v>Production</v>
          </cell>
          <cell r="Q733" t="str">
            <v>Live</v>
          </cell>
          <cell r="R733">
            <v>46038.695335648154</v>
          </cell>
          <cell r="S733" t="str">
            <v>Karen Ramy</v>
          </cell>
          <cell r="T733">
            <v>46042</v>
          </cell>
          <cell r="U733" t="str">
            <v>Trish Kalinczok</v>
          </cell>
          <cell r="AC733">
            <v>46132</v>
          </cell>
        </row>
        <row r="734">
          <cell r="I734" t="str">
            <v>Forms</v>
          </cell>
          <cell r="L734" t="str">
            <v>[4586, 4515]</v>
          </cell>
          <cell r="N734" t="str">
            <v>Production</v>
          </cell>
          <cell r="O734" t="str">
            <v>Everything Benefits</v>
          </cell>
          <cell r="P734" t="str">
            <v>Production</v>
          </cell>
          <cell r="Q734" t="str">
            <v>Live</v>
          </cell>
          <cell r="R734">
            <v>46038.695324074077</v>
          </cell>
          <cell r="S734" t="str">
            <v>Ahmed Ali</v>
          </cell>
          <cell r="T734">
            <v>46042</v>
          </cell>
          <cell r="U734" t="str">
            <v>Trish Kalinczok</v>
          </cell>
          <cell r="AC734">
            <v>46134</v>
          </cell>
        </row>
        <row r="735">
          <cell r="I735" t="str">
            <v>Forms</v>
          </cell>
          <cell r="L735" t="str">
            <v>[4585, 4452]</v>
          </cell>
          <cell r="N735" t="str">
            <v>Production</v>
          </cell>
          <cell r="O735" t="str">
            <v>Everything Benefits</v>
          </cell>
          <cell r="P735" t="str">
            <v>Production</v>
          </cell>
          <cell r="Q735" t="str">
            <v>Live</v>
          </cell>
          <cell r="R735">
            <v>46038.6953125</v>
          </cell>
          <cell r="S735" t="str">
            <v>Omnia Abdelaziz</v>
          </cell>
          <cell r="T735">
            <v>46042</v>
          </cell>
          <cell r="U735" t="str">
            <v>Trish Kalinczok</v>
          </cell>
          <cell r="AC735">
            <v>46134</v>
          </cell>
        </row>
        <row r="736">
          <cell r="I736" t="str">
            <v>EDI</v>
          </cell>
          <cell r="L736">
            <v>4456</v>
          </cell>
          <cell r="N736" t="str">
            <v>Production</v>
          </cell>
          <cell r="O736" t="str">
            <v>No</v>
          </cell>
          <cell r="Q736" t="str">
            <v>Live</v>
          </cell>
          <cell r="R736">
            <v>46038.61619212963</v>
          </cell>
          <cell r="S736" t="str">
            <v>Mirna Azmy</v>
          </cell>
          <cell r="T736">
            <v>46051</v>
          </cell>
          <cell r="U736" t="str">
            <v>Tammy Davies</v>
          </cell>
          <cell r="V736">
            <v>46063</v>
          </cell>
          <cell r="W736">
            <v>46090</v>
          </cell>
          <cell r="Y736">
            <v>46047</v>
          </cell>
          <cell r="AC736">
            <v>46086</v>
          </cell>
        </row>
        <row r="737">
          <cell r="I737" t="str">
            <v>EDI</v>
          </cell>
          <cell r="L737">
            <v>4436</v>
          </cell>
          <cell r="N737" t="str">
            <v>Production</v>
          </cell>
          <cell r="O737" t="str">
            <v>No</v>
          </cell>
          <cell r="Q737" t="str">
            <v>Live</v>
          </cell>
          <cell r="R737">
            <v>46038.616180555553</v>
          </cell>
          <cell r="S737" t="str">
            <v>Mirna Azmy</v>
          </cell>
          <cell r="T737">
            <v>46051</v>
          </cell>
          <cell r="U737" t="str">
            <v>Tammy Davies</v>
          </cell>
          <cell r="V737">
            <v>46059</v>
          </cell>
          <cell r="W737">
            <v>46076</v>
          </cell>
          <cell r="Y737">
            <v>46047</v>
          </cell>
          <cell r="AC737">
            <v>46069</v>
          </cell>
        </row>
        <row r="738">
          <cell r="I738" t="str">
            <v>EDI</v>
          </cell>
          <cell r="L738">
            <v>4461</v>
          </cell>
          <cell r="N738" t="str">
            <v>Production</v>
          </cell>
          <cell r="O738" t="str">
            <v>No</v>
          </cell>
          <cell r="Q738" t="str">
            <v>Live</v>
          </cell>
          <cell r="R738">
            <v>46038.616180555553</v>
          </cell>
          <cell r="S738" t="str">
            <v>Mirna Azmy</v>
          </cell>
          <cell r="T738">
            <v>46051</v>
          </cell>
          <cell r="U738" t="str">
            <v>Tammy Davies</v>
          </cell>
          <cell r="V738">
            <v>46062</v>
          </cell>
          <cell r="W738">
            <v>46097</v>
          </cell>
          <cell r="Y738">
            <v>46047</v>
          </cell>
          <cell r="AC738">
            <v>46093</v>
          </cell>
        </row>
        <row r="739">
          <cell r="I739" t="str">
            <v>EDI</v>
          </cell>
          <cell r="L739">
            <v>4457</v>
          </cell>
          <cell r="N739" t="str">
            <v>Production</v>
          </cell>
          <cell r="O739" t="str">
            <v>No</v>
          </cell>
          <cell r="Q739" t="str">
            <v>Live</v>
          </cell>
          <cell r="R739">
            <v>46038.616168981483</v>
          </cell>
          <cell r="S739" t="str">
            <v>Mirna Azmy</v>
          </cell>
          <cell r="T739">
            <v>46051</v>
          </cell>
          <cell r="U739" t="str">
            <v>Hans De Grouw</v>
          </cell>
          <cell r="V739">
            <v>46058</v>
          </cell>
          <cell r="W739">
            <v>46106</v>
          </cell>
          <cell r="Y739">
            <v>46049</v>
          </cell>
          <cell r="AC739">
            <v>46105</v>
          </cell>
        </row>
        <row r="740">
          <cell r="I740" t="str">
            <v>EDI</v>
          </cell>
          <cell r="L740">
            <v>4718</v>
          </cell>
          <cell r="N740" t="str">
            <v>Production</v>
          </cell>
          <cell r="O740" t="str">
            <v>No</v>
          </cell>
          <cell r="Q740" t="str">
            <v>Live</v>
          </cell>
          <cell r="R740">
            <v>46038.616157407407</v>
          </cell>
          <cell r="S740" t="str">
            <v>Alaa Yehia</v>
          </cell>
          <cell r="T740">
            <v>46108</v>
          </cell>
          <cell r="U740" t="str">
            <v>Tammy Davies</v>
          </cell>
          <cell r="V740">
            <v>46127</v>
          </cell>
          <cell r="W740">
            <v>46139</v>
          </cell>
          <cell r="Y740">
            <v>46108</v>
          </cell>
          <cell r="AC740">
            <v>46144</v>
          </cell>
        </row>
        <row r="741">
          <cell r="I741" t="str">
            <v>EDI</v>
          </cell>
          <cell r="L741">
            <v>4723</v>
          </cell>
          <cell r="N741" t="str">
            <v>Production</v>
          </cell>
          <cell r="O741" t="str">
            <v>No</v>
          </cell>
          <cell r="Q741" t="str">
            <v>Live</v>
          </cell>
          <cell r="R741">
            <v>46038.616157407407</v>
          </cell>
          <cell r="S741" t="str">
            <v>Alaa Yehia</v>
          </cell>
          <cell r="T741">
            <v>46108</v>
          </cell>
          <cell r="U741" t="str">
            <v>Tammy Davies</v>
          </cell>
          <cell r="V741">
            <v>46115</v>
          </cell>
          <cell r="W741">
            <v>46135</v>
          </cell>
          <cell r="Y741">
            <v>46108</v>
          </cell>
          <cell r="AC741">
            <v>46135</v>
          </cell>
        </row>
        <row r="742">
          <cell r="I742" t="str">
            <v>EDI</v>
          </cell>
          <cell r="N742" t="str">
            <v>Requirements Gathering</v>
          </cell>
          <cell r="O742" t="str">
            <v>No</v>
          </cell>
          <cell r="Q742" t="str">
            <v>Cancelled</v>
          </cell>
          <cell r="R742">
            <v>46038.61614583333</v>
          </cell>
          <cell r="S742" t="str">
            <v>Karim Tarek</v>
          </cell>
          <cell r="T742">
            <v>46042</v>
          </cell>
          <cell r="U742" t="str">
            <v>Tammy Davies</v>
          </cell>
        </row>
        <row r="743">
          <cell r="I743" t="str">
            <v>EDI</v>
          </cell>
          <cell r="N743" t="str">
            <v>Requirements Gathering</v>
          </cell>
          <cell r="O743" t="str">
            <v>No</v>
          </cell>
          <cell r="Q743" t="str">
            <v>Cancelled</v>
          </cell>
          <cell r="R743">
            <v>46038.61613425926</v>
          </cell>
          <cell r="S743" t="str">
            <v>Karim Tarek</v>
          </cell>
          <cell r="T743">
            <v>46042</v>
          </cell>
          <cell r="U743" t="str">
            <v>Hans De Grouw</v>
          </cell>
        </row>
        <row r="744">
          <cell r="I744" t="str">
            <v>EDI</v>
          </cell>
          <cell r="L744">
            <v>4451</v>
          </cell>
          <cell r="N744" t="str">
            <v>Production</v>
          </cell>
          <cell r="O744" t="str">
            <v>No</v>
          </cell>
          <cell r="Q744" t="str">
            <v>Live</v>
          </cell>
          <cell r="R744">
            <v>46037.911145833343</v>
          </cell>
          <cell r="S744" t="str">
            <v>Omnia Abdelaziz</v>
          </cell>
          <cell r="T744">
            <v>46048</v>
          </cell>
          <cell r="U744" t="str">
            <v>Trish Kalinczok</v>
          </cell>
          <cell r="V744">
            <v>46072</v>
          </cell>
          <cell r="W744">
            <v>46078</v>
          </cell>
          <cell r="Y744">
            <v>46047</v>
          </cell>
          <cell r="AC744">
            <v>46076</v>
          </cell>
        </row>
        <row r="745">
          <cell r="I745" t="str">
            <v>Forms</v>
          </cell>
          <cell r="L745" t="str">
            <v>[4401]</v>
          </cell>
          <cell r="N745" t="str">
            <v>Production</v>
          </cell>
          <cell r="O745" t="str">
            <v>No</v>
          </cell>
          <cell r="Q745" t="str">
            <v>Live</v>
          </cell>
          <cell r="R745">
            <v>46037.873796296299</v>
          </cell>
          <cell r="S745" t="str">
            <v>Reem Radwan</v>
          </cell>
          <cell r="T745">
            <v>46040</v>
          </cell>
          <cell r="U745" t="str">
            <v>Trish Kalinczok</v>
          </cell>
          <cell r="AC745">
            <v>46120</v>
          </cell>
        </row>
        <row r="746">
          <cell r="I746" t="str">
            <v>EDI</v>
          </cell>
          <cell r="L746">
            <v>4500</v>
          </cell>
          <cell r="N746" t="str">
            <v>Production</v>
          </cell>
          <cell r="O746" t="str">
            <v>No</v>
          </cell>
          <cell r="Q746" t="str">
            <v>Live</v>
          </cell>
          <cell r="R746">
            <v>46037.797939814824</v>
          </cell>
          <cell r="S746" t="str">
            <v>Reem Radwan</v>
          </cell>
          <cell r="T746">
            <v>46055</v>
          </cell>
          <cell r="U746" t="str">
            <v>Trish Kalinczok</v>
          </cell>
          <cell r="V746">
            <v>46072</v>
          </cell>
          <cell r="W746">
            <v>46096</v>
          </cell>
          <cell r="Y746">
            <v>46054</v>
          </cell>
          <cell r="AC746">
            <v>46082</v>
          </cell>
        </row>
        <row r="747">
          <cell r="I747" t="str">
            <v>EDI</v>
          </cell>
          <cell r="L747">
            <v>4472</v>
          </cell>
          <cell r="N747" t="str">
            <v>Production</v>
          </cell>
          <cell r="O747" t="str">
            <v>No</v>
          </cell>
          <cell r="Q747" t="str">
            <v>Live</v>
          </cell>
          <cell r="R747">
            <v>46037.726122685177</v>
          </cell>
          <cell r="S747" t="str">
            <v>Zeyad Khaled</v>
          </cell>
          <cell r="T747">
            <v>46055</v>
          </cell>
          <cell r="U747" t="str">
            <v>Trish Kalinczok</v>
          </cell>
          <cell r="V747">
            <v>46069</v>
          </cell>
          <cell r="W747">
            <v>46083</v>
          </cell>
          <cell r="Y747">
            <v>46054</v>
          </cell>
          <cell r="AC747">
            <v>46079</v>
          </cell>
        </row>
        <row r="748">
          <cell r="I748" t="str">
            <v>EDI</v>
          </cell>
          <cell r="L748">
            <v>4416</v>
          </cell>
          <cell r="N748" t="str">
            <v>Production</v>
          </cell>
          <cell r="O748" t="str">
            <v>No</v>
          </cell>
          <cell r="Q748" t="str">
            <v>Live</v>
          </cell>
          <cell r="R748">
            <v>46037.726099537038</v>
          </cell>
          <cell r="S748" t="str">
            <v>Reem Radwan</v>
          </cell>
          <cell r="T748">
            <v>46043</v>
          </cell>
          <cell r="U748" t="str">
            <v>Trish Kalinczok</v>
          </cell>
          <cell r="V748">
            <v>46055</v>
          </cell>
          <cell r="W748">
            <v>46062</v>
          </cell>
          <cell r="Y748">
            <v>46040</v>
          </cell>
          <cell r="AC748">
            <v>46062</v>
          </cell>
        </row>
        <row r="749">
          <cell r="I749" t="str">
            <v>EDI</v>
          </cell>
          <cell r="L749">
            <v>4423</v>
          </cell>
          <cell r="N749" t="str">
            <v>Production</v>
          </cell>
          <cell r="O749" t="str">
            <v>No</v>
          </cell>
          <cell r="Q749" t="str">
            <v>Live</v>
          </cell>
          <cell r="R749">
            <v>46037.710625</v>
          </cell>
          <cell r="S749" t="str">
            <v>Andrew Ramy</v>
          </cell>
          <cell r="T749">
            <v>46043</v>
          </cell>
          <cell r="U749" t="str">
            <v>Trish Kalinczok</v>
          </cell>
          <cell r="V749">
            <v>46055</v>
          </cell>
          <cell r="W749">
            <v>46118</v>
          </cell>
          <cell r="Y749">
            <v>46041</v>
          </cell>
          <cell r="AC749">
            <v>46113</v>
          </cell>
        </row>
        <row r="750">
          <cell r="I750" t="str">
            <v>EDI</v>
          </cell>
          <cell r="L750">
            <v>1871</v>
          </cell>
          <cell r="N750" t="str">
            <v>Production</v>
          </cell>
          <cell r="O750" t="str">
            <v>No</v>
          </cell>
          <cell r="Q750" t="str">
            <v>Live</v>
          </cell>
          <cell r="R750">
            <v>46037.607719907413</v>
          </cell>
          <cell r="S750" t="str">
            <v>Dina Medhat</v>
          </cell>
          <cell r="T750">
            <v>46090</v>
          </cell>
          <cell r="U750" t="str">
            <v>Peter Abdelmalek</v>
          </cell>
          <cell r="V750">
            <v>44980</v>
          </cell>
          <cell r="W750">
            <v>45062</v>
          </cell>
          <cell r="AC750">
            <v>46089</v>
          </cell>
        </row>
        <row r="751">
          <cell r="I751" t="str">
            <v>EDI</v>
          </cell>
          <cell r="L751">
            <v>1843</v>
          </cell>
          <cell r="N751" t="str">
            <v>Production</v>
          </cell>
          <cell r="O751" t="str">
            <v>No</v>
          </cell>
          <cell r="Q751" t="str">
            <v>Live</v>
          </cell>
          <cell r="R751">
            <v>46037.607708333337</v>
          </cell>
          <cell r="S751" t="str">
            <v>Dina Medhat</v>
          </cell>
          <cell r="T751">
            <v>46090</v>
          </cell>
          <cell r="U751" t="str">
            <v>Peter Abdelmalek</v>
          </cell>
          <cell r="V751">
            <v>25569</v>
          </cell>
          <cell r="W751">
            <v>45021</v>
          </cell>
          <cell r="AC751">
            <v>46089</v>
          </cell>
        </row>
        <row r="752">
          <cell r="I752" t="str">
            <v>EDI</v>
          </cell>
          <cell r="L752">
            <v>1848</v>
          </cell>
          <cell r="N752" t="str">
            <v>Production</v>
          </cell>
          <cell r="O752" t="str">
            <v>No</v>
          </cell>
          <cell r="Q752" t="str">
            <v>Live</v>
          </cell>
          <cell r="R752">
            <v>46037.60769675926</v>
          </cell>
          <cell r="S752" t="str">
            <v>Dina Medhat</v>
          </cell>
          <cell r="T752">
            <v>46090</v>
          </cell>
          <cell r="U752" t="str">
            <v>Peter Abdelmalek</v>
          </cell>
          <cell r="V752">
            <v>44985</v>
          </cell>
          <cell r="W752">
            <v>45021</v>
          </cell>
          <cell r="AC752">
            <v>46089</v>
          </cell>
        </row>
        <row r="753">
          <cell r="I753" t="str">
            <v>EDI</v>
          </cell>
          <cell r="L753">
            <v>4514</v>
          </cell>
          <cell r="N753" t="str">
            <v>Production</v>
          </cell>
          <cell r="O753" t="str">
            <v>No</v>
          </cell>
          <cell r="Q753" t="str">
            <v>Live</v>
          </cell>
          <cell r="R753">
            <v>46035.663391203707</v>
          </cell>
          <cell r="S753" t="str">
            <v>Josephine Ossama</v>
          </cell>
          <cell r="T753">
            <v>46057</v>
          </cell>
          <cell r="U753" t="str">
            <v>Lindsay Hudacik</v>
          </cell>
          <cell r="V753">
            <v>46071</v>
          </cell>
          <cell r="W753">
            <v>46162</v>
          </cell>
          <cell r="Y753">
            <v>46056</v>
          </cell>
          <cell r="AC753">
            <v>46162</v>
          </cell>
        </row>
        <row r="754">
          <cell r="I754" t="str">
            <v>EDI</v>
          </cell>
          <cell r="L754">
            <v>4429</v>
          </cell>
          <cell r="N754" t="str">
            <v>Production</v>
          </cell>
          <cell r="O754" t="str">
            <v>No</v>
          </cell>
          <cell r="Q754" t="str">
            <v>Live</v>
          </cell>
          <cell r="R754">
            <v>46035.603171296287</v>
          </cell>
          <cell r="S754" t="str">
            <v>Mirna Azmy</v>
          </cell>
          <cell r="T754">
            <v>46043</v>
          </cell>
          <cell r="U754" t="str">
            <v>Lindsay Hudacik</v>
          </cell>
          <cell r="V754">
            <v>46050</v>
          </cell>
          <cell r="W754">
            <v>46108</v>
          </cell>
          <cell r="Y754">
            <v>46042</v>
          </cell>
          <cell r="AC754">
            <v>46106</v>
          </cell>
        </row>
        <row r="755">
          <cell r="I755" t="str">
            <v>EDI</v>
          </cell>
          <cell r="L755">
            <v>4449</v>
          </cell>
          <cell r="N755" t="str">
            <v>Production</v>
          </cell>
          <cell r="O755" t="str">
            <v>No</v>
          </cell>
          <cell r="Q755" t="str">
            <v>Live</v>
          </cell>
          <cell r="R755">
            <v>46035.572789351849</v>
          </cell>
          <cell r="S755" t="str">
            <v>Mark Albert</v>
          </cell>
          <cell r="T755">
            <v>46043</v>
          </cell>
          <cell r="U755" t="str">
            <v>Lindsay Hudacik</v>
          </cell>
          <cell r="W755">
            <v>46071</v>
          </cell>
          <cell r="Y755">
            <v>46042</v>
          </cell>
          <cell r="AC755">
            <v>46065</v>
          </cell>
        </row>
        <row r="756">
          <cell r="I756" t="str">
            <v>EDI</v>
          </cell>
          <cell r="L756">
            <v>4471</v>
          </cell>
          <cell r="N756" t="str">
            <v>Production</v>
          </cell>
          <cell r="O756" t="str">
            <v>No</v>
          </cell>
          <cell r="Q756" t="str">
            <v>Live</v>
          </cell>
          <cell r="R756">
            <v>46035.572777777779</v>
          </cell>
          <cell r="S756" t="str">
            <v>Zeyad Khaled</v>
          </cell>
          <cell r="T756">
            <v>46051</v>
          </cell>
          <cell r="U756" t="str">
            <v>Lindsay Hudacik</v>
          </cell>
          <cell r="V756">
            <v>46065</v>
          </cell>
          <cell r="W756">
            <v>46084</v>
          </cell>
          <cell r="Y756">
            <v>46051</v>
          </cell>
          <cell r="AC756">
            <v>46083</v>
          </cell>
        </row>
        <row r="757">
          <cell r="I757" t="str">
            <v>EDI</v>
          </cell>
          <cell r="L757">
            <v>4395</v>
          </cell>
          <cell r="N757" t="str">
            <v>Production</v>
          </cell>
          <cell r="O757" t="str">
            <v>No</v>
          </cell>
          <cell r="Q757" t="str">
            <v>Live</v>
          </cell>
          <cell r="R757">
            <v>46035.310787037037</v>
          </cell>
          <cell r="S757" t="str">
            <v>Mirna Azmy</v>
          </cell>
          <cell r="T757">
            <v>46049</v>
          </cell>
          <cell r="U757" t="str">
            <v>Peter Abdelmalek</v>
          </cell>
          <cell r="V757">
            <v>46062</v>
          </cell>
          <cell r="W757">
            <v>46083</v>
          </cell>
          <cell r="Y757">
            <v>46035</v>
          </cell>
          <cell r="AC757">
            <v>46077</v>
          </cell>
        </row>
        <row r="758">
          <cell r="I758" t="str">
            <v>Forms</v>
          </cell>
          <cell r="L758" t="str">
            <v>[4435]</v>
          </cell>
          <cell r="N758" t="str">
            <v>Testing</v>
          </cell>
          <cell r="O758" t="str">
            <v>Everything Benefits</v>
          </cell>
          <cell r="P758" t="str">
            <v>Migration Testing</v>
          </cell>
          <cell r="Q758" t="str">
            <v>Cancelled</v>
          </cell>
          <cell r="R758">
            <v>46034.938993055563</v>
          </cell>
          <cell r="S758" t="str">
            <v>Aya Fathy</v>
          </cell>
          <cell r="T758">
            <v>46036</v>
          </cell>
          <cell r="U758" t="str">
            <v>Trish Kalinczok</v>
          </cell>
        </row>
        <row r="759">
          <cell r="I759" t="str">
            <v>Forms</v>
          </cell>
          <cell r="N759" t="str">
            <v>Dataset Validation</v>
          </cell>
          <cell r="O759" t="str">
            <v>Everything Benefits</v>
          </cell>
          <cell r="P759" t="str">
            <v>Phase 1 - Map Built</v>
          </cell>
          <cell r="Q759" t="str">
            <v>Cancelled</v>
          </cell>
          <cell r="R759">
            <v>46034.932511574072</v>
          </cell>
          <cell r="S759" t="str">
            <v>Marwan Tawfik</v>
          </cell>
          <cell r="T759">
            <v>46036</v>
          </cell>
          <cell r="U759" t="str">
            <v>Trish Kalinczok</v>
          </cell>
        </row>
        <row r="760">
          <cell r="I760" t="str">
            <v>Forms</v>
          </cell>
          <cell r="L760" t="str">
            <v>[4400]</v>
          </cell>
          <cell r="N760" t="str">
            <v>Ready for Production</v>
          </cell>
          <cell r="O760" t="str">
            <v>Everything Benefits</v>
          </cell>
          <cell r="P760" t="str">
            <v>Migration Testing</v>
          </cell>
          <cell r="Q760" t="str">
            <v>Cancelled</v>
          </cell>
          <cell r="R760">
            <v>46034.926261574074</v>
          </cell>
          <cell r="S760" t="str">
            <v>Reem Radwan</v>
          </cell>
          <cell r="T760">
            <v>46036</v>
          </cell>
          <cell r="U760" t="str">
            <v>Trish Kalinczok</v>
          </cell>
        </row>
        <row r="761">
          <cell r="I761" t="str">
            <v>Forms</v>
          </cell>
          <cell r="L761" t="str">
            <v>[4610]</v>
          </cell>
          <cell r="N761" t="str">
            <v>Production</v>
          </cell>
          <cell r="O761" t="str">
            <v>Everything Benefits</v>
          </cell>
          <cell r="P761" t="str">
            <v>Production</v>
          </cell>
          <cell r="Q761" t="str">
            <v>Live</v>
          </cell>
          <cell r="R761">
            <v>46034.918738425928</v>
          </cell>
          <cell r="S761" t="str">
            <v>Mirna Azmy</v>
          </cell>
          <cell r="T761">
            <v>46036</v>
          </cell>
          <cell r="U761" t="str">
            <v>Trish Kalinczok</v>
          </cell>
          <cell r="AC761">
            <v>46139</v>
          </cell>
        </row>
        <row r="762">
          <cell r="I762" t="str">
            <v>Forms</v>
          </cell>
          <cell r="L762" t="str">
            <v>[4408]</v>
          </cell>
          <cell r="N762" t="str">
            <v>Production</v>
          </cell>
          <cell r="O762" t="str">
            <v>Everything Benefits</v>
          </cell>
          <cell r="P762" t="str">
            <v>Production</v>
          </cell>
          <cell r="Q762" t="str">
            <v>Live</v>
          </cell>
          <cell r="R762">
            <v>46034.918726851851</v>
          </cell>
          <cell r="S762" t="str">
            <v>Omnia Abdelaziz</v>
          </cell>
          <cell r="T762">
            <v>46036</v>
          </cell>
          <cell r="U762" t="str">
            <v>Trish Kalinczok</v>
          </cell>
          <cell r="AC762">
            <v>46139</v>
          </cell>
        </row>
        <row r="763">
          <cell r="I763" t="str">
            <v>Forms</v>
          </cell>
          <cell r="L763" t="str">
            <v>[4406]</v>
          </cell>
          <cell r="N763" t="str">
            <v>Production</v>
          </cell>
          <cell r="O763" t="str">
            <v>Everything Benefits</v>
          </cell>
          <cell r="P763" t="str">
            <v>Production</v>
          </cell>
          <cell r="Q763" t="str">
            <v>Live</v>
          </cell>
          <cell r="R763">
            <v>46034.918715277781</v>
          </cell>
          <cell r="S763" t="str">
            <v>Omnia Abdelaziz</v>
          </cell>
          <cell r="T763">
            <v>46036</v>
          </cell>
          <cell r="U763" t="str">
            <v>Trish Kalinczok</v>
          </cell>
          <cell r="AC763">
            <v>46132</v>
          </cell>
        </row>
        <row r="764">
          <cell r="I764" t="str">
            <v>EDI</v>
          </cell>
          <cell r="N764" t="str">
            <v>Requirements Gathering</v>
          </cell>
          <cell r="O764" t="str">
            <v>No</v>
          </cell>
          <cell r="Q764" t="str">
            <v>Cancelled</v>
          </cell>
          <cell r="R764">
            <v>46034.889803240738</v>
          </cell>
          <cell r="S764" t="str">
            <v>Noha Moustafa</v>
          </cell>
          <cell r="T764">
            <v>46035</v>
          </cell>
          <cell r="U764" t="str">
            <v>Hans De Grouw</v>
          </cell>
        </row>
        <row r="765">
          <cell r="I765" t="str">
            <v>EDI</v>
          </cell>
          <cell r="N765" t="str">
            <v>Requirements Gathering</v>
          </cell>
          <cell r="O765" t="str">
            <v>No</v>
          </cell>
          <cell r="Q765" t="str">
            <v>Cancelled</v>
          </cell>
          <cell r="R765">
            <v>46034.889791666668</v>
          </cell>
          <cell r="S765" t="str">
            <v>Noha Moustafa</v>
          </cell>
          <cell r="T765">
            <v>46035</v>
          </cell>
          <cell r="U765" t="str">
            <v>Hans De Grouw</v>
          </cell>
        </row>
        <row r="766">
          <cell r="I766" t="str">
            <v>EDI</v>
          </cell>
          <cell r="L766">
            <v>4444</v>
          </cell>
          <cell r="N766" t="str">
            <v>Production</v>
          </cell>
          <cell r="O766" t="str">
            <v>No</v>
          </cell>
          <cell r="Q766" t="str">
            <v>Live</v>
          </cell>
          <cell r="R766">
            <v>46034.861828703702</v>
          </cell>
          <cell r="S766" t="str">
            <v>Aya Fathy</v>
          </cell>
          <cell r="T766">
            <v>46047</v>
          </cell>
          <cell r="U766" t="str">
            <v>Robbie Schappell</v>
          </cell>
          <cell r="V766">
            <v>46061</v>
          </cell>
          <cell r="W766">
            <v>46076</v>
          </cell>
          <cell r="Y766">
            <v>46043</v>
          </cell>
          <cell r="AC766">
            <v>46072</v>
          </cell>
        </row>
        <row r="767">
          <cell r="I767" t="str">
            <v>EDI</v>
          </cell>
          <cell r="L767">
            <v>4433</v>
          </cell>
          <cell r="N767" t="str">
            <v>Production</v>
          </cell>
          <cell r="O767" t="str">
            <v>eBenefits Network</v>
          </cell>
          <cell r="P767" t="str">
            <v>Production</v>
          </cell>
          <cell r="Q767" t="str">
            <v>Live</v>
          </cell>
          <cell r="R767">
            <v>46034.849895833337</v>
          </cell>
          <cell r="S767" t="str">
            <v>Josephine Ossama</v>
          </cell>
          <cell r="T767">
            <v>46043</v>
          </cell>
          <cell r="U767" t="str">
            <v>Trish Kalinczok</v>
          </cell>
          <cell r="V767">
            <v>46069</v>
          </cell>
          <cell r="W767">
            <v>46181</v>
          </cell>
          <cell r="Y767">
            <v>46042</v>
          </cell>
          <cell r="AC767">
            <v>46173</v>
          </cell>
        </row>
        <row r="768">
          <cell r="I768" t="str">
            <v>EDI</v>
          </cell>
          <cell r="L768">
            <v>4588</v>
          </cell>
          <cell r="N768" t="str">
            <v>Production</v>
          </cell>
          <cell r="O768" t="str">
            <v>No</v>
          </cell>
          <cell r="Q768" t="str">
            <v>Live</v>
          </cell>
          <cell r="R768">
            <v>46034.807326388887</v>
          </cell>
          <cell r="S768" t="str">
            <v>Andrew Ramy</v>
          </cell>
          <cell r="T768">
            <v>46075</v>
          </cell>
          <cell r="U768" t="str">
            <v>Tammy Davies</v>
          </cell>
          <cell r="V768">
            <v>46085</v>
          </cell>
          <cell r="W768">
            <v>46125</v>
          </cell>
          <cell r="Y768">
            <v>46069</v>
          </cell>
          <cell r="AC768">
            <v>46123</v>
          </cell>
        </row>
        <row r="769">
          <cell r="I769" t="str">
            <v>Forms</v>
          </cell>
          <cell r="L769" t="str">
            <v>[4428]</v>
          </cell>
          <cell r="N769" t="str">
            <v>Production</v>
          </cell>
          <cell r="O769" t="str">
            <v>Everything Benefits</v>
          </cell>
          <cell r="P769" t="str">
            <v>Production</v>
          </cell>
          <cell r="Q769" t="str">
            <v>Live</v>
          </cell>
          <cell r="R769">
            <v>46034.785474537042</v>
          </cell>
          <cell r="S769" t="str">
            <v>Karen Ramy</v>
          </cell>
          <cell r="T769">
            <v>46036</v>
          </cell>
          <cell r="U769" t="str">
            <v>Trish Kalinczok</v>
          </cell>
          <cell r="AC769">
            <v>46113</v>
          </cell>
        </row>
        <row r="770">
          <cell r="I770" t="str">
            <v>Forms</v>
          </cell>
          <cell r="L770" t="str">
            <v>[4614]</v>
          </cell>
          <cell r="N770" t="str">
            <v>Production</v>
          </cell>
          <cell r="O770" t="str">
            <v>Everything Benefits</v>
          </cell>
          <cell r="P770" t="str">
            <v>Production</v>
          </cell>
          <cell r="Q770" t="str">
            <v>Live</v>
          </cell>
          <cell r="R770">
            <v>46034.785462962973</v>
          </cell>
          <cell r="S770" t="str">
            <v>Mirna Azmy</v>
          </cell>
          <cell r="T770">
            <v>46036</v>
          </cell>
          <cell r="U770" t="str">
            <v>Trish Kalinczok</v>
          </cell>
          <cell r="AC770">
            <v>46120</v>
          </cell>
        </row>
        <row r="771">
          <cell r="I771" t="str">
            <v>EDI</v>
          </cell>
          <cell r="L771">
            <v>4445</v>
          </cell>
          <cell r="N771" t="str">
            <v>Production</v>
          </cell>
          <cell r="O771" t="str">
            <v>No</v>
          </cell>
          <cell r="Q771" t="str">
            <v>Live</v>
          </cell>
          <cell r="R771">
            <v>46034.701331018521</v>
          </cell>
          <cell r="S771" t="str">
            <v>Aya Fathy</v>
          </cell>
          <cell r="T771">
            <v>46047</v>
          </cell>
          <cell r="U771" t="str">
            <v>Robbie Schappell</v>
          </cell>
          <cell r="V771">
            <v>46069</v>
          </cell>
          <cell r="W771">
            <v>46097</v>
          </cell>
          <cell r="Y771">
            <v>46043</v>
          </cell>
          <cell r="AC771">
            <v>46092</v>
          </cell>
        </row>
        <row r="772">
          <cell r="I772" t="str">
            <v>EDI</v>
          </cell>
          <cell r="L772">
            <v>4437</v>
          </cell>
          <cell r="N772" t="str">
            <v>Production</v>
          </cell>
          <cell r="O772" t="str">
            <v>No</v>
          </cell>
          <cell r="Q772" t="str">
            <v>Live</v>
          </cell>
          <cell r="R772">
            <v>46034.689699074072</v>
          </cell>
          <cell r="S772" t="str">
            <v>Mark Albert</v>
          </cell>
          <cell r="T772">
            <v>46047</v>
          </cell>
          <cell r="U772" t="str">
            <v>Robbie Schappell</v>
          </cell>
          <cell r="V772">
            <v>46065</v>
          </cell>
          <cell r="W772">
            <v>46114</v>
          </cell>
          <cell r="Y772">
            <v>46043</v>
          </cell>
          <cell r="AC772">
            <v>46114</v>
          </cell>
        </row>
        <row r="773">
          <cell r="I773" t="str">
            <v>Forms</v>
          </cell>
          <cell r="L773" t="str">
            <v>[4399]</v>
          </cell>
          <cell r="N773" t="str">
            <v>Production</v>
          </cell>
          <cell r="O773" t="str">
            <v>Everything Benefits</v>
          </cell>
          <cell r="P773" t="str">
            <v>Production</v>
          </cell>
          <cell r="Q773" t="str">
            <v>Live</v>
          </cell>
          <cell r="R773">
            <v>46034.686145833337</v>
          </cell>
          <cell r="S773" t="str">
            <v>Reem Radwan</v>
          </cell>
          <cell r="T773">
            <v>46036</v>
          </cell>
          <cell r="U773" t="str">
            <v>Trish Kalinczok</v>
          </cell>
          <cell r="AC773">
            <v>46128</v>
          </cell>
        </row>
        <row r="774">
          <cell r="I774" t="str">
            <v>EDI</v>
          </cell>
          <cell r="L774">
            <v>4639</v>
          </cell>
          <cell r="N774" t="str">
            <v>Testing</v>
          </cell>
          <cell r="O774" t="str">
            <v>No</v>
          </cell>
          <cell r="Q774" t="str">
            <v>Cancelled</v>
          </cell>
          <cell r="R774">
            <v>46031.885335648149</v>
          </cell>
          <cell r="S774" t="str">
            <v>Alaa Yehia</v>
          </cell>
          <cell r="T774">
            <v>46092</v>
          </cell>
          <cell r="U774" t="str">
            <v>Shelly Knox</v>
          </cell>
          <cell r="V774">
            <v>46102</v>
          </cell>
          <cell r="Y774">
            <v>46086</v>
          </cell>
        </row>
        <row r="775">
          <cell r="I775" t="str">
            <v>EDI</v>
          </cell>
          <cell r="L775">
            <v>4539</v>
          </cell>
          <cell r="N775" t="str">
            <v>Production</v>
          </cell>
          <cell r="O775" t="str">
            <v>No</v>
          </cell>
          <cell r="Q775" t="str">
            <v>Live</v>
          </cell>
          <cell r="R775">
            <v>46031.885324074072</v>
          </cell>
          <cell r="S775" t="str">
            <v>Mark Albert</v>
          </cell>
          <cell r="T775">
            <v>46068</v>
          </cell>
          <cell r="U775" t="str">
            <v>Shelly Knox</v>
          </cell>
          <cell r="W775">
            <v>46093</v>
          </cell>
          <cell r="Y775">
            <v>46064</v>
          </cell>
          <cell r="AC775">
            <v>46091</v>
          </cell>
        </row>
        <row r="776">
          <cell r="I776" t="str">
            <v>EDI</v>
          </cell>
          <cell r="L776">
            <v>4447</v>
          </cell>
          <cell r="N776" t="str">
            <v>Testing</v>
          </cell>
          <cell r="O776" t="str">
            <v>No</v>
          </cell>
          <cell r="Q776" t="str">
            <v>In Progress</v>
          </cell>
          <cell r="R776">
            <v>46031.885324074072</v>
          </cell>
          <cell r="S776" t="str">
            <v>Ahmed Ali</v>
          </cell>
          <cell r="T776">
            <v>46128</v>
          </cell>
          <cell r="U776" t="str">
            <v>Shelly Knox</v>
          </cell>
          <cell r="V776">
            <v>46111</v>
          </cell>
          <cell r="Y776">
            <v>46047</v>
          </cell>
        </row>
        <row r="777">
          <cell r="I777" t="str">
            <v>EDI</v>
          </cell>
          <cell r="L777">
            <v>4422</v>
          </cell>
          <cell r="N777" t="str">
            <v>Testing</v>
          </cell>
          <cell r="O777" t="str">
            <v>No</v>
          </cell>
          <cell r="Q777" t="str">
            <v>In Progress</v>
          </cell>
          <cell r="R777">
            <v>46031.885312500002</v>
          </cell>
          <cell r="S777" t="str">
            <v>Ahmed Ali</v>
          </cell>
          <cell r="T777">
            <v>46043</v>
          </cell>
          <cell r="U777" t="str">
            <v>Shelly Knox</v>
          </cell>
          <cell r="V777">
            <v>46141</v>
          </cell>
          <cell r="Y777">
            <v>46040</v>
          </cell>
        </row>
        <row r="778">
          <cell r="I778" t="str">
            <v>EDI</v>
          </cell>
          <cell r="L778">
            <v>4410</v>
          </cell>
          <cell r="N778" t="str">
            <v>Production</v>
          </cell>
          <cell r="O778" t="str">
            <v>No</v>
          </cell>
          <cell r="Q778" t="str">
            <v>Live</v>
          </cell>
          <cell r="R778">
            <v>46031.875254629631</v>
          </cell>
          <cell r="S778" t="str">
            <v>Aya Fathy</v>
          </cell>
          <cell r="T778">
            <v>46040</v>
          </cell>
          <cell r="U778" t="str">
            <v>Melanie Rhine</v>
          </cell>
          <cell r="V778">
            <v>46049</v>
          </cell>
          <cell r="W778">
            <v>46087</v>
          </cell>
          <cell r="Y778">
            <v>46037</v>
          </cell>
          <cell r="AC778">
            <v>46086</v>
          </cell>
        </row>
        <row r="779">
          <cell r="I779" t="str">
            <v>EDI</v>
          </cell>
          <cell r="L779">
            <v>4467</v>
          </cell>
          <cell r="N779" t="str">
            <v>Production</v>
          </cell>
          <cell r="O779" t="str">
            <v>No</v>
          </cell>
          <cell r="Q779" t="str">
            <v>Live</v>
          </cell>
          <cell r="R779">
            <v>46031.869479166657</v>
          </cell>
          <cell r="S779" t="str">
            <v>Karen Ramy</v>
          </cell>
          <cell r="T779">
            <v>46035</v>
          </cell>
          <cell r="U779" t="str">
            <v>Melanie Rhine</v>
          </cell>
          <cell r="V779">
            <v>46114</v>
          </cell>
          <cell r="W779">
            <v>46202</v>
          </cell>
          <cell r="AC779">
            <v>46190</v>
          </cell>
        </row>
        <row r="780">
          <cell r="I780" t="str">
            <v>EDI</v>
          </cell>
          <cell r="N780" t="str">
            <v>Pending Start</v>
          </cell>
          <cell r="O780" t="str">
            <v>No</v>
          </cell>
          <cell r="Q780" t="str">
            <v>Cancelled</v>
          </cell>
          <cell r="R780">
            <v>46031.865011574067</v>
          </cell>
          <cell r="U780" t="str">
            <v>Melanie Rhine</v>
          </cell>
        </row>
        <row r="781">
          <cell r="I781" t="str">
            <v>EDI</v>
          </cell>
          <cell r="N781" t="str">
            <v>Pending Start</v>
          </cell>
          <cell r="O781" t="str">
            <v>No</v>
          </cell>
          <cell r="Q781" t="str">
            <v>Cancelled</v>
          </cell>
          <cell r="R781">
            <v>46031.864999999998</v>
          </cell>
          <cell r="U781" t="str">
            <v>Melanie Rhine</v>
          </cell>
        </row>
        <row r="782">
          <cell r="I782" t="str">
            <v>EDI</v>
          </cell>
          <cell r="L782">
            <v>4466</v>
          </cell>
          <cell r="N782" t="str">
            <v>Production</v>
          </cell>
          <cell r="O782" t="str">
            <v>No</v>
          </cell>
          <cell r="Q782" t="str">
            <v>Live</v>
          </cell>
          <cell r="R782">
            <v>46031.864988425928</v>
          </cell>
          <cell r="S782" t="str">
            <v>Karen Ramy</v>
          </cell>
          <cell r="T782">
            <v>46035</v>
          </cell>
          <cell r="U782" t="str">
            <v>Melanie Rhine</v>
          </cell>
          <cell r="V782">
            <v>46062</v>
          </cell>
          <cell r="W782">
            <v>46212</v>
          </cell>
          <cell r="AC782">
            <v>46211</v>
          </cell>
        </row>
        <row r="783">
          <cell r="I783" t="str">
            <v>EDI</v>
          </cell>
          <cell r="N783" t="str">
            <v>Requirements Gathering</v>
          </cell>
          <cell r="O783" t="str">
            <v>No</v>
          </cell>
          <cell r="Q783" t="str">
            <v>Cancelled</v>
          </cell>
          <cell r="R783">
            <v>46031.863888888889</v>
          </cell>
          <cell r="S783" t="str">
            <v>Dina Medhat</v>
          </cell>
          <cell r="T783">
            <v>46035</v>
          </cell>
          <cell r="U783" t="str">
            <v>Hans De Grouw</v>
          </cell>
        </row>
        <row r="784">
          <cell r="I784" t="str">
            <v>EDI</v>
          </cell>
          <cell r="L784">
            <v>4419</v>
          </cell>
          <cell r="N784" t="str">
            <v>Production</v>
          </cell>
          <cell r="O784" t="str">
            <v>No</v>
          </cell>
          <cell r="Q784" t="str">
            <v>Live</v>
          </cell>
          <cell r="R784">
            <v>46031.863877314812</v>
          </cell>
          <cell r="S784" t="str">
            <v>Dina Medhat</v>
          </cell>
          <cell r="T784">
            <v>46035</v>
          </cell>
          <cell r="U784" t="str">
            <v>Hans De Grouw</v>
          </cell>
          <cell r="V784">
            <v>46091</v>
          </cell>
          <cell r="W784">
            <v>46129</v>
          </cell>
          <cell r="AC784">
            <v>46129</v>
          </cell>
        </row>
        <row r="785">
          <cell r="I785" t="str">
            <v>EDI</v>
          </cell>
          <cell r="L785">
            <v>4414</v>
          </cell>
          <cell r="N785" t="str">
            <v>Production</v>
          </cell>
          <cell r="O785" t="str">
            <v>No</v>
          </cell>
          <cell r="Q785" t="str">
            <v>Live</v>
          </cell>
          <cell r="R785">
            <v>46031.863865740743</v>
          </cell>
          <cell r="S785" t="str">
            <v>Dina Medhat</v>
          </cell>
          <cell r="T785">
            <v>46035</v>
          </cell>
          <cell r="U785" t="str">
            <v>Hans De Grouw</v>
          </cell>
          <cell r="V785">
            <v>46070</v>
          </cell>
          <cell r="W785">
            <v>46114</v>
          </cell>
          <cell r="AC785">
            <v>46114</v>
          </cell>
        </row>
        <row r="786">
          <cell r="I786" t="str">
            <v>EDI</v>
          </cell>
          <cell r="L786">
            <v>4413</v>
          </cell>
          <cell r="N786" t="str">
            <v>Production</v>
          </cell>
          <cell r="O786" t="str">
            <v>No</v>
          </cell>
          <cell r="Q786" t="str">
            <v>Live</v>
          </cell>
          <cell r="R786">
            <v>46031.863865740743</v>
          </cell>
          <cell r="S786" t="str">
            <v>Dina Medhat</v>
          </cell>
          <cell r="T786">
            <v>46035</v>
          </cell>
          <cell r="U786" t="str">
            <v>Hans De Grouw</v>
          </cell>
          <cell r="V786">
            <v>25569</v>
          </cell>
          <cell r="W786">
            <v>46142</v>
          </cell>
          <cell r="AC786">
            <v>46166</v>
          </cell>
        </row>
        <row r="787">
          <cell r="I787" t="str">
            <v>EDI</v>
          </cell>
          <cell r="N787" t="str">
            <v>Requirements Gathering</v>
          </cell>
          <cell r="O787" t="str">
            <v>No</v>
          </cell>
          <cell r="Q787" t="str">
            <v>Cancelled</v>
          </cell>
          <cell r="R787">
            <v>46031.857951388891</v>
          </cell>
          <cell r="S787" t="str">
            <v>Dina Medhat</v>
          </cell>
          <cell r="T787">
            <v>46035</v>
          </cell>
          <cell r="U787" t="str">
            <v>Hans De Grouw</v>
          </cell>
        </row>
        <row r="788">
          <cell r="I788" t="str">
            <v>EDI</v>
          </cell>
          <cell r="L788">
            <v>4413</v>
          </cell>
          <cell r="N788" t="str">
            <v>Production</v>
          </cell>
          <cell r="O788" t="str">
            <v>No</v>
          </cell>
          <cell r="Q788" t="str">
            <v>Live</v>
          </cell>
          <cell r="R788">
            <v>46031.857939814807</v>
          </cell>
          <cell r="S788" t="str">
            <v>Dina Medhat</v>
          </cell>
          <cell r="T788">
            <v>46035</v>
          </cell>
          <cell r="U788" t="str">
            <v>Hans De Grouw</v>
          </cell>
          <cell r="V788">
            <v>25569</v>
          </cell>
          <cell r="W788">
            <v>46142</v>
          </cell>
          <cell r="AC788">
            <v>46166</v>
          </cell>
        </row>
        <row r="789">
          <cell r="I789" t="str">
            <v>EDI</v>
          </cell>
          <cell r="L789">
            <v>4419</v>
          </cell>
          <cell r="N789" t="str">
            <v>Production</v>
          </cell>
          <cell r="O789" t="str">
            <v>No</v>
          </cell>
          <cell r="Q789" t="str">
            <v>Live</v>
          </cell>
          <cell r="R789">
            <v>46031.857928240737</v>
          </cell>
          <cell r="S789" t="str">
            <v>Dina Medhat</v>
          </cell>
          <cell r="T789">
            <v>46035</v>
          </cell>
          <cell r="U789" t="str">
            <v>Hans De Grouw</v>
          </cell>
          <cell r="V789">
            <v>46091</v>
          </cell>
          <cell r="W789">
            <v>46129</v>
          </cell>
          <cell r="Y789">
            <v>46058</v>
          </cell>
          <cell r="AC789">
            <v>46129</v>
          </cell>
        </row>
        <row r="790">
          <cell r="I790" t="str">
            <v>EDI</v>
          </cell>
          <cell r="L790">
            <v>4414</v>
          </cell>
          <cell r="N790" t="str">
            <v>Production</v>
          </cell>
          <cell r="O790" t="str">
            <v>No</v>
          </cell>
          <cell r="Q790" t="str">
            <v>Live</v>
          </cell>
          <cell r="R790">
            <v>46031.857928240737</v>
          </cell>
          <cell r="S790" t="str">
            <v>Dina Medhat</v>
          </cell>
          <cell r="T790">
            <v>46035</v>
          </cell>
          <cell r="U790" t="str">
            <v>Hans De Grouw</v>
          </cell>
          <cell r="V790">
            <v>46070</v>
          </cell>
          <cell r="W790">
            <v>46114</v>
          </cell>
          <cell r="AC790">
            <v>46114</v>
          </cell>
        </row>
        <row r="791">
          <cell r="I791" t="str">
            <v>Forms</v>
          </cell>
          <cell r="L791" t="str">
            <v>[4398]</v>
          </cell>
          <cell r="N791" t="str">
            <v>Ready for Production</v>
          </cell>
          <cell r="O791" t="str">
            <v>Everything Benefits</v>
          </cell>
          <cell r="P791" t="str">
            <v>Migration Testing</v>
          </cell>
          <cell r="Q791" t="str">
            <v>Cancelled</v>
          </cell>
          <cell r="R791">
            <v>46031.844768518517</v>
          </cell>
          <cell r="S791" t="str">
            <v>Reem Radwan</v>
          </cell>
          <cell r="T791">
            <v>46034</v>
          </cell>
          <cell r="U791" t="str">
            <v>Trish Kalinczok</v>
          </cell>
        </row>
        <row r="792">
          <cell r="I792" t="str">
            <v>Forms</v>
          </cell>
          <cell r="L792" t="str">
            <v>[4394]</v>
          </cell>
          <cell r="N792" t="str">
            <v>Ready for Production</v>
          </cell>
          <cell r="O792" t="str">
            <v>Everything Benefits</v>
          </cell>
          <cell r="P792" t="str">
            <v>Migration Testing</v>
          </cell>
          <cell r="Q792" t="str">
            <v>Cancelled</v>
          </cell>
          <cell r="R792">
            <v>46031.844756944447</v>
          </cell>
          <cell r="S792" t="str">
            <v>Reem Radwan</v>
          </cell>
          <cell r="T792">
            <v>46034</v>
          </cell>
          <cell r="U792" t="str">
            <v>Trish Kalinczok</v>
          </cell>
        </row>
        <row r="793">
          <cell r="I793" t="str">
            <v>EDI</v>
          </cell>
          <cell r="L793">
            <v>4420</v>
          </cell>
          <cell r="N793" t="str">
            <v>Production</v>
          </cell>
          <cell r="O793" t="str">
            <v>No</v>
          </cell>
          <cell r="Q793" t="str">
            <v>Live</v>
          </cell>
          <cell r="R793">
            <v>46031.839548611111</v>
          </cell>
          <cell r="S793" t="str">
            <v>Reem Radwan</v>
          </cell>
          <cell r="T793">
            <v>46063</v>
          </cell>
          <cell r="U793" t="str">
            <v>Lindsay Hudacik</v>
          </cell>
          <cell r="V793">
            <v>46062</v>
          </cell>
          <cell r="W793">
            <v>46072</v>
          </cell>
          <cell r="AC793">
            <v>46072</v>
          </cell>
        </row>
        <row r="794">
          <cell r="I794" t="str">
            <v>EDI</v>
          </cell>
          <cell r="L794">
            <v>4459</v>
          </cell>
          <cell r="N794" t="str">
            <v>Mapping</v>
          </cell>
          <cell r="O794" t="str">
            <v>No</v>
          </cell>
          <cell r="Q794" t="str">
            <v>Cancelled</v>
          </cell>
          <cell r="R794">
            <v>46031.839537037027</v>
          </cell>
          <cell r="S794" t="str">
            <v>Reem Radwan</v>
          </cell>
          <cell r="T794">
            <v>46063</v>
          </cell>
          <cell r="U794" t="str">
            <v>Lindsay Hudacik</v>
          </cell>
        </row>
        <row r="795">
          <cell r="I795" t="str">
            <v>EDI</v>
          </cell>
          <cell r="L795">
            <v>4419</v>
          </cell>
          <cell r="N795" t="str">
            <v>Production</v>
          </cell>
          <cell r="O795" t="str">
            <v>No</v>
          </cell>
          <cell r="Q795" t="str">
            <v>Live</v>
          </cell>
          <cell r="R795">
            <v>46031.839525462958</v>
          </cell>
          <cell r="S795" t="str">
            <v>Reem Radwan</v>
          </cell>
          <cell r="T795">
            <v>46063</v>
          </cell>
          <cell r="U795" t="str">
            <v>Lindsay Hudacik</v>
          </cell>
          <cell r="V795">
            <v>46091</v>
          </cell>
          <cell r="W795">
            <v>46129</v>
          </cell>
          <cell r="Y795">
            <v>46058</v>
          </cell>
          <cell r="AC795">
            <v>46129</v>
          </cell>
        </row>
        <row r="796">
          <cell r="I796" t="str">
            <v>EDI</v>
          </cell>
          <cell r="L796">
            <v>4414</v>
          </cell>
          <cell r="N796" t="str">
            <v>Production</v>
          </cell>
          <cell r="O796" t="str">
            <v>No</v>
          </cell>
          <cell r="Q796" t="str">
            <v>Live</v>
          </cell>
          <cell r="R796">
            <v>46031.839513888888</v>
          </cell>
          <cell r="S796" t="str">
            <v>Reem Radwan</v>
          </cell>
          <cell r="T796">
            <v>46063</v>
          </cell>
          <cell r="U796" t="str">
            <v>Lindsay Hudacik</v>
          </cell>
          <cell r="V796">
            <v>46070</v>
          </cell>
          <cell r="W796">
            <v>46114</v>
          </cell>
          <cell r="AC796">
            <v>46114</v>
          </cell>
        </row>
        <row r="797">
          <cell r="I797" t="str">
            <v>EDI</v>
          </cell>
          <cell r="L797">
            <v>4413</v>
          </cell>
          <cell r="N797" t="str">
            <v>Production</v>
          </cell>
          <cell r="O797" t="str">
            <v>No</v>
          </cell>
          <cell r="Q797" t="str">
            <v>Live</v>
          </cell>
          <cell r="R797">
            <v>46031.839490740742</v>
          </cell>
          <cell r="S797" t="str">
            <v>Reem Radwan</v>
          </cell>
          <cell r="T797">
            <v>46063</v>
          </cell>
          <cell r="U797" t="str">
            <v>Lindsay Hudacik</v>
          </cell>
          <cell r="V797">
            <v>25569</v>
          </cell>
          <cell r="W797">
            <v>46142</v>
          </cell>
          <cell r="AC797">
            <v>46141</v>
          </cell>
        </row>
        <row r="798">
          <cell r="I798" t="str">
            <v>EDI</v>
          </cell>
          <cell r="L798">
            <v>4526</v>
          </cell>
          <cell r="N798" t="str">
            <v>Production</v>
          </cell>
          <cell r="O798" t="str">
            <v>No</v>
          </cell>
          <cell r="Q798" t="str">
            <v>Live</v>
          </cell>
          <cell r="R798">
            <v>46031.825185185182</v>
          </cell>
          <cell r="S798" t="str">
            <v>Alaa Yehia</v>
          </cell>
          <cell r="T798">
            <v>46035</v>
          </cell>
          <cell r="U798" t="str">
            <v>Nicole Delange</v>
          </cell>
          <cell r="V798">
            <v>46092</v>
          </cell>
          <cell r="W798">
            <v>46164</v>
          </cell>
          <cell r="AC798">
            <v>46163</v>
          </cell>
        </row>
        <row r="799">
          <cell r="I799" t="str">
            <v>EDI</v>
          </cell>
          <cell r="L799">
            <v>4497</v>
          </cell>
          <cell r="N799" t="str">
            <v>Production</v>
          </cell>
          <cell r="O799" t="str">
            <v>No</v>
          </cell>
          <cell r="Q799" t="str">
            <v>Live</v>
          </cell>
          <cell r="R799">
            <v>46031.825173611112</v>
          </cell>
          <cell r="S799" t="str">
            <v>Alaa Yehia</v>
          </cell>
          <cell r="T799">
            <v>46035</v>
          </cell>
          <cell r="U799" t="str">
            <v>Nicole Delange</v>
          </cell>
          <cell r="V799">
            <v>46062</v>
          </cell>
          <cell r="W799">
            <v>46090</v>
          </cell>
          <cell r="AC799">
            <v>46090</v>
          </cell>
        </row>
        <row r="800">
          <cell r="I800" t="str">
            <v>EDI</v>
          </cell>
          <cell r="L800">
            <v>4442</v>
          </cell>
          <cell r="N800" t="str">
            <v>Production</v>
          </cell>
          <cell r="O800" t="str">
            <v>No</v>
          </cell>
          <cell r="Q800" t="str">
            <v>Live</v>
          </cell>
          <cell r="R800">
            <v>46031.825173611112</v>
          </cell>
          <cell r="S800" t="str">
            <v>Alaa Yehia</v>
          </cell>
          <cell r="T800">
            <v>46035</v>
          </cell>
          <cell r="U800" t="str">
            <v>Nicole Delange</v>
          </cell>
          <cell r="V800">
            <v>46054</v>
          </cell>
          <cell r="W800">
            <v>46065</v>
          </cell>
          <cell r="AC800">
            <v>46063</v>
          </cell>
        </row>
        <row r="801">
          <cell r="I801" t="str">
            <v>EDI</v>
          </cell>
          <cell r="L801">
            <v>4407</v>
          </cell>
          <cell r="N801" t="str">
            <v>Production</v>
          </cell>
          <cell r="O801" t="str">
            <v>No</v>
          </cell>
          <cell r="Q801" t="str">
            <v>Live</v>
          </cell>
          <cell r="R801">
            <v>46031.825162037043</v>
          </cell>
          <cell r="S801" t="str">
            <v>Alaa Yehia</v>
          </cell>
          <cell r="T801">
            <v>46035</v>
          </cell>
          <cell r="U801" t="str">
            <v>Nicole Delange</v>
          </cell>
          <cell r="V801">
            <v>46063</v>
          </cell>
          <cell r="W801">
            <v>46122</v>
          </cell>
          <cell r="AC801">
            <v>46121</v>
          </cell>
        </row>
        <row r="802">
          <cell r="I802" t="str">
            <v>EDI</v>
          </cell>
          <cell r="L802">
            <v>4426</v>
          </cell>
          <cell r="N802" t="str">
            <v>Production</v>
          </cell>
          <cell r="O802" t="str">
            <v>No</v>
          </cell>
          <cell r="Q802" t="str">
            <v>Live</v>
          </cell>
          <cell r="R802">
            <v>46031.769004629627</v>
          </cell>
          <cell r="S802" t="str">
            <v>Karen Ramy</v>
          </cell>
          <cell r="T802">
            <v>46035</v>
          </cell>
          <cell r="U802" t="str">
            <v>Trish Kalinczok</v>
          </cell>
          <cell r="V802">
            <v>46065</v>
          </cell>
          <cell r="W802">
            <v>46078</v>
          </cell>
          <cell r="AC802">
            <v>46070</v>
          </cell>
        </row>
        <row r="803">
          <cell r="I803" t="str">
            <v>EDI</v>
          </cell>
          <cell r="L803">
            <v>4427</v>
          </cell>
          <cell r="N803" t="str">
            <v>Production</v>
          </cell>
          <cell r="O803" t="str">
            <v>No</v>
          </cell>
          <cell r="Q803" t="str">
            <v>Live</v>
          </cell>
          <cell r="R803">
            <v>46031.691377314812</v>
          </cell>
          <cell r="S803" t="str">
            <v>Karen Ramy</v>
          </cell>
          <cell r="T803">
            <v>46035</v>
          </cell>
          <cell r="U803" t="str">
            <v>Benjamin Labowitz</v>
          </cell>
          <cell r="V803">
            <v>46063</v>
          </cell>
          <cell r="W803">
            <v>46092</v>
          </cell>
          <cell r="AC803">
            <v>46092</v>
          </cell>
        </row>
        <row r="804">
          <cell r="I804" t="str">
            <v>EDI</v>
          </cell>
          <cell r="L804">
            <v>4377</v>
          </cell>
          <cell r="N804" t="str">
            <v>Production</v>
          </cell>
          <cell r="O804" t="str">
            <v>No</v>
          </cell>
          <cell r="Q804" t="str">
            <v>Live</v>
          </cell>
          <cell r="R804">
            <v>46031.598564814813</v>
          </cell>
          <cell r="S804" t="str">
            <v>Zeyad Khaled</v>
          </cell>
          <cell r="T804">
            <v>46033</v>
          </cell>
          <cell r="U804" t="str">
            <v>Rhettsmey Meak</v>
          </cell>
          <cell r="V804">
            <v>25569</v>
          </cell>
          <cell r="W804">
            <v>46066</v>
          </cell>
          <cell r="AC804">
            <v>46065</v>
          </cell>
        </row>
        <row r="805">
          <cell r="I805" t="str">
            <v>EDI</v>
          </cell>
          <cell r="L805">
            <v>4454</v>
          </cell>
          <cell r="N805" t="str">
            <v>Production</v>
          </cell>
          <cell r="O805" t="str">
            <v>No</v>
          </cell>
          <cell r="Q805" t="str">
            <v>Live</v>
          </cell>
          <cell r="R805">
            <v>46030.884004629632</v>
          </cell>
          <cell r="S805" t="str">
            <v>Zeyad Khaled</v>
          </cell>
          <cell r="T805">
            <v>46035</v>
          </cell>
          <cell r="U805" t="str">
            <v>Adrienne Irigaray</v>
          </cell>
          <cell r="V805">
            <v>46065</v>
          </cell>
          <cell r="W805">
            <v>46090</v>
          </cell>
          <cell r="AC805">
            <v>46091</v>
          </cell>
        </row>
        <row r="806">
          <cell r="I806" t="str">
            <v>EDI</v>
          </cell>
          <cell r="L806">
            <v>4546</v>
          </cell>
          <cell r="N806" t="str">
            <v>Production</v>
          </cell>
          <cell r="O806" t="str">
            <v>No</v>
          </cell>
          <cell r="Q806" t="str">
            <v>Live</v>
          </cell>
          <cell r="R806">
            <v>46030.883993055562</v>
          </cell>
          <cell r="S806" t="str">
            <v>Zeyad Khaled</v>
          </cell>
          <cell r="T806">
            <v>46035</v>
          </cell>
          <cell r="U806" t="str">
            <v>Adrienne Irigaray</v>
          </cell>
          <cell r="V806">
            <v>46084</v>
          </cell>
          <cell r="W806">
            <v>46104</v>
          </cell>
          <cell r="AC806">
            <v>46099</v>
          </cell>
        </row>
        <row r="807">
          <cell r="I807" t="str">
            <v>EDI</v>
          </cell>
          <cell r="L807">
            <v>4465</v>
          </cell>
          <cell r="N807" t="str">
            <v>Ready for Production</v>
          </cell>
          <cell r="O807" t="str">
            <v>No</v>
          </cell>
          <cell r="Q807" t="str">
            <v>In Progress</v>
          </cell>
          <cell r="R807">
            <v>46030.849421296298</v>
          </cell>
          <cell r="S807" t="str">
            <v>Omnia Abdelaziz</v>
          </cell>
          <cell r="T807">
            <v>46035</v>
          </cell>
          <cell r="U807" t="str">
            <v>Jay Lang</v>
          </cell>
          <cell r="V807">
            <v>46072</v>
          </cell>
        </row>
        <row r="808">
          <cell r="I808" t="str">
            <v>EDI</v>
          </cell>
          <cell r="L808">
            <v>4425</v>
          </cell>
          <cell r="N808" t="str">
            <v>Production</v>
          </cell>
          <cell r="O808" t="str">
            <v>No</v>
          </cell>
          <cell r="Q808" t="str">
            <v>Live</v>
          </cell>
          <cell r="R808">
            <v>46030.828449074077</v>
          </cell>
          <cell r="S808" t="str">
            <v>Omnia Abdelaziz</v>
          </cell>
          <cell r="T808">
            <v>46035</v>
          </cell>
          <cell r="U808" t="str">
            <v>Gregory Dubec</v>
          </cell>
          <cell r="V808">
            <v>46072</v>
          </cell>
          <cell r="W808">
            <v>46087</v>
          </cell>
          <cell r="AC808">
            <v>46083</v>
          </cell>
        </row>
        <row r="809">
          <cell r="I809" t="str">
            <v>EDI</v>
          </cell>
          <cell r="L809">
            <v>4548</v>
          </cell>
          <cell r="N809" t="str">
            <v>Production</v>
          </cell>
          <cell r="O809" t="str">
            <v>No</v>
          </cell>
          <cell r="Q809" t="str">
            <v>Live</v>
          </cell>
          <cell r="R809">
            <v>46030.726331018523</v>
          </cell>
          <cell r="S809" t="str">
            <v>Omnia Abdelaziz</v>
          </cell>
          <cell r="T809">
            <v>46035</v>
          </cell>
          <cell r="U809" t="str">
            <v>Jay Lang</v>
          </cell>
          <cell r="W809">
            <v>46100</v>
          </cell>
          <cell r="AC809">
            <v>46098</v>
          </cell>
        </row>
        <row r="810">
          <cell r="I810" t="str">
            <v>EDI</v>
          </cell>
          <cell r="L810">
            <v>4531</v>
          </cell>
          <cell r="N810" t="str">
            <v>Testing</v>
          </cell>
          <cell r="O810" t="str">
            <v>No</v>
          </cell>
          <cell r="Q810" t="str">
            <v>In Progress</v>
          </cell>
          <cell r="R810">
            <v>46030.663101851853</v>
          </cell>
          <cell r="S810" t="str">
            <v>Andrew Ramy</v>
          </cell>
          <cell r="T810">
            <v>46128</v>
          </cell>
          <cell r="U810" t="str">
            <v>Lindsay Hudacik</v>
          </cell>
          <cell r="V810">
            <v>46146</v>
          </cell>
          <cell r="Y810">
            <v>46068</v>
          </cell>
        </row>
        <row r="811">
          <cell r="I811" t="str">
            <v>EDI</v>
          </cell>
          <cell r="L811">
            <v>4402</v>
          </cell>
          <cell r="N811" t="str">
            <v>Production</v>
          </cell>
          <cell r="O811" t="str">
            <v>No</v>
          </cell>
          <cell r="Q811" t="str">
            <v>Live</v>
          </cell>
          <cell r="R811">
            <v>46030.663090277783</v>
          </cell>
          <cell r="S811" t="str">
            <v>Aya Fathy</v>
          </cell>
          <cell r="T811">
            <v>46040</v>
          </cell>
          <cell r="U811" t="str">
            <v>Lindsay Hudacik</v>
          </cell>
          <cell r="V811">
            <v>46042</v>
          </cell>
          <cell r="W811">
            <v>46119</v>
          </cell>
          <cell r="Y811">
            <v>46036</v>
          </cell>
          <cell r="AC811">
            <v>46117</v>
          </cell>
        </row>
        <row r="812">
          <cell r="I812" t="str">
            <v>EDI</v>
          </cell>
          <cell r="L812">
            <v>4547</v>
          </cell>
          <cell r="N812" t="str">
            <v>Production</v>
          </cell>
          <cell r="O812" t="str">
            <v>No</v>
          </cell>
          <cell r="Q812" t="str">
            <v>Live</v>
          </cell>
          <cell r="R812">
            <v>46030.653946759259</v>
          </cell>
          <cell r="S812" t="str">
            <v>Omnia Abdelaziz</v>
          </cell>
          <cell r="T812">
            <v>46035</v>
          </cell>
          <cell r="U812" t="str">
            <v>Lindsay Hudacik</v>
          </cell>
          <cell r="V812">
            <v>46105</v>
          </cell>
          <cell r="W812">
            <v>46121</v>
          </cell>
          <cell r="AC812">
            <v>46118</v>
          </cell>
        </row>
        <row r="813">
          <cell r="I813" t="str">
            <v>EDI</v>
          </cell>
          <cell r="L813">
            <v>4483</v>
          </cell>
          <cell r="N813" t="str">
            <v>Production</v>
          </cell>
          <cell r="O813" t="str">
            <v>No</v>
          </cell>
          <cell r="Q813" t="str">
            <v>Live</v>
          </cell>
          <cell r="R813">
            <v>46030.614236111112</v>
          </cell>
          <cell r="S813" t="str">
            <v>Omnia Abdelaziz</v>
          </cell>
          <cell r="T813">
            <v>46035</v>
          </cell>
          <cell r="U813" t="str">
            <v>Rhettsmey Meak</v>
          </cell>
          <cell r="V813">
            <v>46079</v>
          </cell>
          <cell r="W813">
            <v>46091</v>
          </cell>
          <cell r="AC813">
            <v>46090</v>
          </cell>
        </row>
        <row r="814">
          <cell r="I814" t="str">
            <v>Forms</v>
          </cell>
          <cell r="L814" t="str">
            <v>[4488]</v>
          </cell>
          <cell r="N814" t="str">
            <v>Ready for Production</v>
          </cell>
          <cell r="O814" t="str">
            <v>Everything Benefits</v>
          </cell>
          <cell r="P814" t="str">
            <v>Migration Testing</v>
          </cell>
          <cell r="Q814" t="str">
            <v>Cancelled</v>
          </cell>
          <cell r="R814">
            <v>46030.613125000003</v>
          </cell>
          <cell r="S814" t="str">
            <v>Marwan Tawfik</v>
          </cell>
          <cell r="T814">
            <v>46034</v>
          </cell>
          <cell r="U814" t="str">
            <v>Trish Kalinczok</v>
          </cell>
        </row>
        <row r="815">
          <cell r="I815" t="str">
            <v>Forms</v>
          </cell>
          <cell r="L815" t="str">
            <v>[4392]</v>
          </cell>
          <cell r="N815" t="str">
            <v>Ready for Production</v>
          </cell>
          <cell r="O815" t="str">
            <v>Everything Benefits</v>
          </cell>
          <cell r="P815" t="str">
            <v>Migration Testing</v>
          </cell>
          <cell r="Q815" t="str">
            <v>Cancelled</v>
          </cell>
          <cell r="R815">
            <v>46030.613113425927</v>
          </cell>
          <cell r="S815" t="str">
            <v>Reem Radwan</v>
          </cell>
          <cell r="T815">
            <v>46034</v>
          </cell>
          <cell r="U815" t="str">
            <v>Trish Kalinczok</v>
          </cell>
        </row>
        <row r="816">
          <cell r="I816" t="str">
            <v>EDI</v>
          </cell>
          <cell r="N816" t="str">
            <v>Requirements Gathering</v>
          </cell>
          <cell r="O816" t="str">
            <v>No</v>
          </cell>
          <cell r="Q816" t="str">
            <v>Cancelled</v>
          </cell>
          <cell r="R816">
            <v>46030.585844907408</v>
          </cell>
          <cell r="S816" t="str">
            <v>Sandra Adel</v>
          </cell>
          <cell r="T816">
            <v>46035</v>
          </cell>
          <cell r="U816" t="str">
            <v>Trish Kalinczok</v>
          </cell>
        </row>
        <row r="817">
          <cell r="I817" t="str">
            <v>EDI</v>
          </cell>
          <cell r="L817">
            <v>4421</v>
          </cell>
          <cell r="N817" t="str">
            <v>Production</v>
          </cell>
          <cell r="O817" t="str">
            <v>No</v>
          </cell>
          <cell r="Q817" t="str">
            <v>Live</v>
          </cell>
          <cell r="R817">
            <v>46029.915046296293</v>
          </cell>
          <cell r="S817" t="str">
            <v>Mirna Azmy</v>
          </cell>
          <cell r="T817">
            <v>46040</v>
          </cell>
          <cell r="U817" t="str">
            <v>Gregory Dubec</v>
          </cell>
          <cell r="V817">
            <v>46049</v>
          </cell>
          <cell r="W817">
            <v>46086</v>
          </cell>
          <cell r="Y817">
            <v>46036</v>
          </cell>
          <cell r="AC817">
            <v>46085</v>
          </cell>
        </row>
        <row r="818">
          <cell r="I818" t="str">
            <v>EDI</v>
          </cell>
          <cell r="L818">
            <v>4634</v>
          </cell>
          <cell r="N818" t="str">
            <v>Testing</v>
          </cell>
          <cell r="O818" t="str">
            <v>No</v>
          </cell>
          <cell r="Q818" t="str">
            <v>In Progress</v>
          </cell>
          <cell r="R818">
            <v>46029.863738425927</v>
          </cell>
          <cell r="S818" t="str">
            <v>Aya Fathy</v>
          </cell>
          <cell r="T818">
            <v>46090</v>
          </cell>
          <cell r="U818" t="str">
            <v>Rosalie Whitty</v>
          </cell>
          <cell r="V818">
            <v>46144</v>
          </cell>
          <cell r="Y818">
            <v>46086</v>
          </cell>
        </row>
        <row r="819">
          <cell r="I819" t="str">
            <v>EDI</v>
          </cell>
          <cell r="L819">
            <v>4412</v>
          </cell>
          <cell r="N819" t="str">
            <v>Production</v>
          </cell>
          <cell r="O819" t="str">
            <v>No</v>
          </cell>
          <cell r="Q819" t="str">
            <v>Live</v>
          </cell>
          <cell r="R819">
            <v>46029.863726851851</v>
          </cell>
          <cell r="S819" t="str">
            <v>Mirna Azmy</v>
          </cell>
          <cell r="T819">
            <v>46040</v>
          </cell>
          <cell r="U819" t="str">
            <v>Rosalie Whitty</v>
          </cell>
          <cell r="V819">
            <v>46093</v>
          </cell>
          <cell r="W819">
            <v>46132</v>
          </cell>
          <cell r="Y819">
            <v>46035</v>
          </cell>
          <cell r="AC819">
            <v>46132</v>
          </cell>
        </row>
        <row r="820">
          <cell r="I820" t="str">
            <v>EDI</v>
          </cell>
          <cell r="L820">
            <v>4633</v>
          </cell>
          <cell r="N820" t="str">
            <v>Production</v>
          </cell>
          <cell r="O820" t="str">
            <v>No</v>
          </cell>
          <cell r="Q820" t="str">
            <v>Live</v>
          </cell>
          <cell r="R820">
            <v>46029.863726851851</v>
          </cell>
          <cell r="S820" t="str">
            <v>Aya Fathy</v>
          </cell>
          <cell r="T820">
            <v>46090</v>
          </cell>
          <cell r="U820" t="str">
            <v>Rosalie Whitty</v>
          </cell>
          <cell r="V820">
            <v>46105</v>
          </cell>
          <cell r="W820">
            <v>46167</v>
          </cell>
          <cell r="Y820">
            <v>46085</v>
          </cell>
          <cell r="AC820">
            <v>46166</v>
          </cell>
        </row>
        <row r="821">
          <cell r="I821" t="str">
            <v>EDI</v>
          </cell>
          <cell r="N821" t="str">
            <v>Requirements Gathering</v>
          </cell>
          <cell r="O821" t="str">
            <v>No</v>
          </cell>
          <cell r="Q821" t="str">
            <v>Cancelled</v>
          </cell>
          <cell r="R821">
            <v>46029.604456018518</v>
          </cell>
          <cell r="S821" t="str">
            <v>Nada Ashraf</v>
          </cell>
          <cell r="T821">
            <v>46035</v>
          </cell>
          <cell r="U821" t="str">
            <v>Lonnie Celestin</v>
          </cell>
        </row>
        <row r="822">
          <cell r="I822" t="str">
            <v>EDI</v>
          </cell>
          <cell r="N822" t="str">
            <v>Requirements Gathering</v>
          </cell>
          <cell r="O822" t="str">
            <v>No</v>
          </cell>
          <cell r="Q822" t="str">
            <v>Cancelled</v>
          </cell>
          <cell r="R822">
            <v>46029.603541666656</v>
          </cell>
          <cell r="S822" t="str">
            <v>Nada Ashraf</v>
          </cell>
          <cell r="T822">
            <v>46035</v>
          </cell>
          <cell r="U822" t="str">
            <v>Lonnie Celestin</v>
          </cell>
        </row>
        <row r="823">
          <cell r="I823" t="str">
            <v>EDI</v>
          </cell>
          <cell r="N823" t="str">
            <v>Requirements Gathering</v>
          </cell>
          <cell r="O823" t="str">
            <v>No</v>
          </cell>
          <cell r="Q823" t="str">
            <v>Cancelled</v>
          </cell>
          <cell r="R823">
            <v>46029.602696759262</v>
          </cell>
          <cell r="S823" t="str">
            <v>Nada Ashraf</v>
          </cell>
          <cell r="T823">
            <v>46035</v>
          </cell>
          <cell r="U823" t="str">
            <v>Lonnie Celestin</v>
          </cell>
        </row>
        <row r="824">
          <cell r="I824" t="str">
            <v>EDI</v>
          </cell>
          <cell r="L824">
            <v>4598</v>
          </cell>
          <cell r="N824" t="str">
            <v>Mapping</v>
          </cell>
          <cell r="O824" t="str">
            <v>Everything Benefits</v>
          </cell>
          <cell r="P824" t="str">
            <v>Phase 1 - Map Built</v>
          </cell>
          <cell r="Q824" t="str">
            <v>Cancelled</v>
          </cell>
          <cell r="R824">
            <v>46028.914178240739</v>
          </cell>
          <cell r="S824" t="str">
            <v>Marwan Tawfik</v>
          </cell>
          <cell r="T824">
            <v>46082</v>
          </cell>
          <cell r="U824" t="str">
            <v>Angie Winter</v>
          </cell>
          <cell r="Y824">
            <v>46079</v>
          </cell>
        </row>
        <row r="825">
          <cell r="I825" t="str">
            <v>EDI</v>
          </cell>
          <cell r="L825">
            <v>4487</v>
          </cell>
          <cell r="N825" t="str">
            <v>Production</v>
          </cell>
          <cell r="O825" t="str">
            <v>Everything Benefits</v>
          </cell>
          <cell r="P825" t="str">
            <v>Production</v>
          </cell>
          <cell r="Q825" t="str">
            <v>Live</v>
          </cell>
          <cell r="R825">
            <v>46028.914166666669</v>
          </cell>
          <cell r="S825" t="str">
            <v>Marwan Tawfik</v>
          </cell>
          <cell r="T825">
            <v>46051</v>
          </cell>
          <cell r="U825" t="str">
            <v>Angie Winter</v>
          </cell>
          <cell r="V825">
            <v>46114</v>
          </cell>
          <cell r="W825">
            <v>46122</v>
          </cell>
          <cell r="Y825">
            <v>46049</v>
          </cell>
          <cell r="AC825">
            <v>46121</v>
          </cell>
        </row>
        <row r="826">
          <cell r="I826" t="str">
            <v>EDI</v>
          </cell>
          <cell r="L826">
            <v>4464</v>
          </cell>
          <cell r="N826" t="str">
            <v>Production</v>
          </cell>
          <cell r="O826" t="str">
            <v>No</v>
          </cell>
          <cell r="Q826" t="str">
            <v>Live</v>
          </cell>
          <cell r="R826">
            <v>46028.854594907411</v>
          </cell>
          <cell r="S826" t="str">
            <v>Andrew Ramy</v>
          </cell>
          <cell r="T826">
            <v>46051</v>
          </cell>
          <cell r="U826" t="str">
            <v>Peter Abdelmalek</v>
          </cell>
          <cell r="V826">
            <v>25569</v>
          </cell>
          <cell r="W826">
            <v>46121</v>
          </cell>
          <cell r="Y826">
            <v>46048</v>
          </cell>
          <cell r="AC826">
            <v>46120</v>
          </cell>
        </row>
        <row r="827">
          <cell r="I827" t="str">
            <v>EDI</v>
          </cell>
          <cell r="L827">
            <v>4463</v>
          </cell>
          <cell r="N827" t="str">
            <v>Production</v>
          </cell>
          <cell r="O827" t="str">
            <v>No</v>
          </cell>
          <cell r="Q827" t="str">
            <v>Live</v>
          </cell>
          <cell r="R827">
            <v>46028.854583333326</v>
          </cell>
          <cell r="S827" t="str">
            <v>Andrew Ramy</v>
          </cell>
          <cell r="T827">
            <v>46051</v>
          </cell>
          <cell r="U827" t="str">
            <v>Peter Abdelmalek</v>
          </cell>
          <cell r="V827">
            <v>46083</v>
          </cell>
          <cell r="W827">
            <v>46121</v>
          </cell>
          <cell r="Y827">
            <v>46048</v>
          </cell>
          <cell r="AC827">
            <v>46120</v>
          </cell>
        </row>
        <row r="828">
          <cell r="I828" t="str">
            <v>EDI</v>
          </cell>
          <cell r="L828">
            <v>4411</v>
          </cell>
          <cell r="N828" t="str">
            <v>Production</v>
          </cell>
          <cell r="O828" t="str">
            <v>No</v>
          </cell>
          <cell r="Q828" t="str">
            <v>Live</v>
          </cell>
          <cell r="R828">
            <v>46028.854548611111</v>
          </cell>
          <cell r="S828" t="str">
            <v>Mirna Azmy</v>
          </cell>
          <cell r="T828">
            <v>46040</v>
          </cell>
          <cell r="U828" t="str">
            <v>Peter Abdelmalek</v>
          </cell>
          <cell r="V828">
            <v>46063</v>
          </cell>
          <cell r="W828">
            <v>46185</v>
          </cell>
          <cell r="Y828">
            <v>46035</v>
          </cell>
          <cell r="AC828">
            <v>46182</v>
          </cell>
        </row>
        <row r="829">
          <cell r="I829" t="str">
            <v>EDI</v>
          </cell>
          <cell r="L829">
            <v>4424</v>
          </cell>
          <cell r="N829" t="str">
            <v>Production</v>
          </cell>
          <cell r="O829" t="str">
            <v>No</v>
          </cell>
          <cell r="Q829" t="str">
            <v>Live</v>
          </cell>
          <cell r="R829">
            <v>46028.854537037027</v>
          </cell>
          <cell r="S829" t="str">
            <v>Zeyad Khaled</v>
          </cell>
          <cell r="T829">
            <v>46043</v>
          </cell>
          <cell r="U829" t="str">
            <v>Peter Abdelmalek</v>
          </cell>
          <cell r="V829">
            <v>46058</v>
          </cell>
          <cell r="W829">
            <v>46073</v>
          </cell>
          <cell r="Y829">
            <v>46042</v>
          </cell>
          <cell r="AC829">
            <v>46073</v>
          </cell>
        </row>
        <row r="830">
          <cell r="I830" t="str">
            <v>EDI</v>
          </cell>
          <cell r="L830">
            <v>4524</v>
          </cell>
          <cell r="N830" t="str">
            <v>Production</v>
          </cell>
          <cell r="O830" t="str">
            <v>No</v>
          </cell>
          <cell r="Q830" t="str">
            <v>Live</v>
          </cell>
          <cell r="R830">
            <v>46028.781238425923</v>
          </cell>
          <cell r="S830" t="str">
            <v>Noha Moustafa</v>
          </cell>
          <cell r="T830">
            <v>46068</v>
          </cell>
          <cell r="U830" t="str">
            <v>Rhettsmey Meak</v>
          </cell>
          <cell r="V830">
            <v>46097</v>
          </cell>
          <cell r="W830">
            <v>46135</v>
          </cell>
          <cell r="Y830">
            <v>46063</v>
          </cell>
          <cell r="AC830">
            <v>46135</v>
          </cell>
        </row>
        <row r="831">
          <cell r="I831" t="str">
            <v>EDI</v>
          </cell>
          <cell r="L831">
            <v>4559</v>
          </cell>
          <cell r="N831" t="str">
            <v>Production</v>
          </cell>
          <cell r="O831" t="str">
            <v>No</v>
          </cell>
          <cell r="Q831" t="str">
            <v>Live</v>
          </cell>
          <cell r="R831">
            <v>46028.568807870368</v>
          </cell>
          <cell r="S831" t="str">
            <v>Alaa Yehia</v>
          </cell>
          <cell r="T831">
            <v>46068</v>
          </cell>
          <cell r="U831" t="str">
            <v>Rhettsmey Meak</v>
          </cell>
          <cell r="V831">
            <v>46078</v>
          </cell>
          <cell r="W831">
            <v>46091</v>
          </cell>
          <cell r="Y831">
            <v>46064</v>
          </cell>
          <cell r="AC831">
            <v>46088</v>
          </cell>
        </row>
        <row r="832">
          <cell r="I832" t="str">
            <v>EDI</v>
          </cell>
          <cell r="L832">
            <v>4440</v>
          </cell>
          <cell r="N832" t="str">
            <v>Production</v>
          </cell>
          <cell r="O832" t="str">
            <v>No</v>
          </cell>
          <cell r="Q832" t="str">
            <v>Live</v>
          </cell>
          <cell r="R832">
            <v>46027.983171296299</v>
          </cell>
          <cell r="S832" t="str">
            <v>Mirna Azmy</v>
          </cell>
          <cell r="T832">
            <v>46047</v>
          </cell>
          <cell r="U832" t="str">
            <v>Trish Kalinczok</v>
          </cell>
          <cell r="V832">
            <v>46062</v>
          </cell>
          <cell r="W832">
            <v>46101</v>
          </cell>
          <cell r="Y832">
            <v>46047</v>
          </cell>
          <cell r="AC832">
            <v>46097</v>
          </cell>
        </row>
        <row r="833">
          <cell r="I833" t="str">
            <v>EDI</v>
          </cell>
          <cell r="L833">
            <v>4385</v>
          </cell>
          <cell r="N833" t="str">
            <v>Production</v>
          </cell>
          <cell r="O833" t="str">
            <v>No</v>
          </cell>
          <cell r="Q833" t="str">
            <v>Live</v>
          </cell>
          <cell r="R833">
            <v>46027.976759259262</v>
          </cell>
          <cell r="S833" t="str">
            <v>Alaa Yehia</v>
          </cell>
          <cell r="T833">
            <v>46036</v>
          </cell>
          <cell r="U833" t="str">
            <v>Tyler  Raposa</v>
          </cell>
          <cell r="V833">
            <v>46037</v>
          </cell>
          <cell r="W833">
            <v>46070</v>
          </cell>
          <cell r="Y833">
            <v>46035</v>
          </cell>
          <cell r="AC833">
            <v>46064</v>
          </cell>
        </row>
        <row r="834">
          <cell r="I834" t="str">
            <v>EDI</v>
          </cell>
          <cell r="L834">
            <v>4485</v>
          </cell>
          <cell r="N834" t="str">
            <v>Production</v>
          </cell>
          <cell r="O834" t="str">
            <v>No</v>
          </cell>
          <cell r="Q834" t="str">
            <v>Live</v>
          </cell>
          <cell r="R834">
            <v>46027.976747685178</v>
          </cell>
          <cell r="S834" t="str">
            <v>Alaa Yehia</v>
          </cell>
          <cell r="T834">
            <v>46057</v>
          </cell>
          <cell r="U834" t="str">
            <v>Tyler  Raposa</v>
          </cell>
          <cell r="V834">
            <v>46067</v>
          </cell>
          <cell r="W834">
            <v>46119</v>
          </cell>
          <cell r="Y834">
            <v>46056</v>
          </cell>
          <cell r="AC834">
            <v>46113</v>
          </cell>
        </row>
        <row r="835">
          <cell r="I835" t="str">
            <v>EDI</v>
          </cell>
          <cell r="L835">
            <v>4397</v>
          </cell>
          <cell r="N835" t="str">
            <v>Testing</v>
          </cell>
          <cell r="O835" t="str">
            <v>No</v>
          </cell>
          <cell r="Q835" t="str">
            <v>In Progress</v>
          </cell>
          <cell r="R835">
            <v>46027.976736111108</v>
          </cell>
          <cell r="S835" t="str">
            <v>Alaa Yehia</v>
          </cell>
          <cell r="T835">
            <v>46036</v>
          </cell>
          <cell r="U835" t="str">
            <v>Tyler  Raposa</v>
          </cell>
          <cell r="V835">
            <v>46068</v>
          </cell>
          <cell r="Y835">
            <v>46035</v>
          </cell>
        </row>
        <row r="836">
          <cell r="I836" t="str">
            <v>EDI</v>
          </cell>
          <cell r="L836">
            <v>4380</v>
          </cell>
          <cell r="N836" t="str">
            <v>Production</v>
          </cell>
          <cell r="O836" t="str">
            <v>No</v>
          </cell>
          <cell r="Q836" t="str">
            <v>Live</v>
          </cell>
          <cell r="R836">
            <v>46027.957175925927</v>
          </cell>
          <cell r="S836" t="str">
            <v>Ahmed Ali</v>
          </cell>
          <cell r="T836">
            <v>46034</v>
          </cell>
          <cell r="U836" t="str">
            <v>Tyler  Raposa</v>
          </cell>
          <cell r="V836">
            <v>46044</v>
          </cell>
          <cell r="W836">
            <v>46134</v>
          </cell>
          <cell r="Y836">
            <v>46033</v>
          </cell>
          <cell r="AC836">
            <v>46133</v>
          </cell>
        </row>
        <row r="837">
          <cell r="I837" t="str">
            <v>EDI</v>
          </cell>
          <cell r="L837">
            <v>4478</v>
          </cell>
          <cell r="N837" t="str">
            <v>Testing</v>
          </cell>
          <cell r="O837" t="str">
            <v>No</v>
          </cell>
          <cell r="Q837" t="str">
            <v>In Progress</v>
          </cell>
          <cell r="R837">
            <v>46027.851342592592</v>
          </cell>
          <cell r="S837" t="str">
            <v>Aya Fathy</v>
          </cell>
          <cell r="T837">
            <v>46051</v>
          </cell>
          <cell r="U837" t="str">
            <v>Trish Kalinczok</v>
          </cell>
          <cell r="V837">
            <v>46059</v>
          </cell>
          <cell r="Y837">
            <v>46049</v>
          </cell>
        </row>
        <row r="838">
          <cell r="I838" t="str">
            <v>EDI</v>
          </cell>
          <cell r="L838">
            <v>4477</v>
          </cell>
          <cell r="N838" t="str">
            <v>Production</v>
          </cell>
          <cell r="O838" t="str">
            <v>No</v>
          </cell>
          <cell r="Q838" t="str">
            <v>Live</v>
          </cell>
          <cell r="R838">
            <v>46027.851342592592</v>
          </cell>
          <cell r="S838" t="str">
            <v>Aya Fathy</v>
          </cell>
          <cell r="T838">
            <v>46051</v>
          </cell>
          <cell r="U838" t="str">
            <v>Trish Kalinczok</v>
          </cell>
          <cell r="V838">
            <v>46059</v>
          </cell>
          <cell r="W838">
            <v>46125</v>
          </cell>
          <cell r="Y838">
            <v>46049</v>
          </cell>
          <cell r="AC838">
            <v>46120</v>
          </cell>
        </row>
        <row r="839">
          <cell r="I839" t="str">
            <v>Forms</v>
          </cell>
          <cell r="L839" t="str">
            <v>[4383]</v>
          </cell>
          <cell r="N839" t="str">
            <v>Ready for Production</v>
          </cell>
          <cell r="O839" t="str">
            <v>Everything Benefits</v>
          </cell>
          <cell r="P839" t="str">
            <v>Migration Testing</v>
          </cell>
          <cell r="Q839" t="str">
            <v>In Progress</v>
          </cell>
          <cell r="R839">
            <v>46027.789120370369</v>
          </cell>
          <cell r="S839" t="str">
            <v>Karim Tarek</v>
          </cell>
          <cell r="T839">
            <v>46033</v>
          </cell>
          <cell r="U839" t="str">
            <v>Trish Kalinczok</v>
          </cell>
          <cell r="Y839">
            <v>46033</v>
          </cell>
        </row>
        <row r="840">
          <cell r="I840" t="str">
            <v>EDI</v>
          </cell>
          <cell r="L840">
            <v>4608</v>
          </cell>
          <cell r="N840" t="str">
            <v>Testing</v>
          </cell>
          <cell r="O840" t="str">
            <v>No</v>
          </cell>
          <cell r="Q840" t="str">
            <v>Cancelled</v>
          </cell>
          <cell r="R840">
            <v>46024.949421296304</v>
          </cell>
          <cell r="S840" t="str">
            <v>Omnia Abdelaziz</v>
          </cell>
          <cell r="T840">
            <v>46082</v>
          </cell>
          <cell r="U840" t="str">
            <v>Trish Kalinczok</v>
          </cell>
          <cell r="Y840">
            <v>46079</v>
          </cell>
        </row>
        <row r="841">
          <cell r="I841" t="str">
            <v>EDI</v>
          </cell>
          <cell r="L841">
            <v>4724</v>
          </cell>
          <cell r="N841" t="str">
            <v>Production</v>
          </cell>
          <cell r="O841" t="str">
            <v>No</v>
          </cell>
          <cell r="Q841" t="str">
            <v>Live</v>
          </cell>
          <cell r="R841">
            <v>46024.94940972222</v>
          </cell>
          <cell r="S841" t="str">
            <v>Zeyad Khaled</v>
          </cell>
          <cell r="T841">
            <v>46113</v>
          </cell>
          <cell r="U841" t="str">
            <v>Trish Kalinczok</v>
          </cell>
          <cell r="V841">
            <v>46126</v>
          </cell>
          <cell r="W841">
            <v>46177</v>
          </cell>
          <cell r="Y841">
            <v>46110</v>
          </cell>
          <cell r="AC841">
            <v>46174</v>
          </cell>
        </row>
        <row r="842">
          <cell r="I842" t="str">
            <v>EDI</v>
          </cell>
          <cell r="L842">
            <v>4725</v>
          </cell>
          <cell r="N842" t="str">
            <v>Production</v>
          </cell>
          <cell r="O842" t="str">
            <v>No</v>
          </cell>
          <cell r="Q842" t="str">
            <v>Live</v>
          </cell>
          <cell r="R842">
            <v>46024.94940972222</v>
          </cell>
          <cell r="S842" t="str">
            <v>Zeyad Khaled</v>
          </cell>
          <cell r="T842">
            <v>46113</v>
          </cell>
          <cell r="U842" t="str">
            <v>Trish Kalinczok</v>
          </cell>
          <cell r="V842">
            <v>46167</v>
          </cell>
          <cell r="W842">
            <v>46177</v>
          </cell>
          <cell r="Y842">
            <v>46110</v>
          </cell>
          <cell r="AC842">
            <v>46174</v>
          </cell>
        </row>
        <row r="843">
          <cell r="I843" t="str">
            <v>EDI</v>
          </cell>
          <cell r="L843">
            <v>4549</v>
          </cell>
          <cell r="N843" t="str">
            <v>Production</v>
          </cell>
          <cell r="O843" t="str">
            <v>No</v>
          </cell>
          <cell r="Q843" t="str">
            <v>Live</v>
          </cell>
          <cell r="R843">
            <v>46024.94939814815</v>
          </cell>
          <cell r="S843" t="str">
            <v>Andrew Ramy</v>
          </cell>
          <cell r="T843">
            <v>46068</v>
          </cell>
          <cell r="U843" t="str">
            <v>Trish Kalinczok</v>
          </cell>
          <cell r="V843">
            <v>46091</v>
          </cell>
          <cell r="W843">
            <v>25569</v>
          </cell>
          <cell r="Y843">
            <v>46068</v>
          </cell>
          <cell r="AC843">
            <v>46155</v>
          </cell>
        </row>
        <row r="844">
          <cell r="I844" t="str">
            <v>EDI</v>
          </cell>
          <cell r="N844" t="str">
            <v>Requirements Gathering</v>
          </cell>
          <cell r="O844" t="str">
            <v>No</v>
          </cell>
          <cell r="Q844" t="str">
            <v>Cancelled</v>
          </cell>
          <cell r="R844">
            <v>46024.881979166668</v>
          </cell>
          <cell r="S844" t="str">
            <v>Nada Ashraf</v>
          </cell>
          <cell r="T844">
            <v>46026</v>
          </cell>
          <cell r="U844" t="str">
            <v>Gregory Dubec</v>
          </cell>
        </row>
        <row r="845">
          <cell r="I845" t="str">
            <v>EDI</v>
          </cell>
          <cell r="L845">
            <v>4832</v>
          </cell>
          <cell r="N845" t="str">
            <v>Mapping</v>
          </cell>
          <cell r="O845" t="str">
            <v>No</v>
          </cell>
          <cell r="Q845" t="str">
            <v>In Progress</v>
          </cell>
          <cell r="R845">
            <v>46024.817476851851</v>
          </cell>
          <cell r="S845" t="str">
            <v>Ahmed Ali</v>
          </cell>
          <cell r="T845">
            <v>46142</v>
          </cell>
          <cell r="U845" t="str">
            <v>Peter Abdelmalek</v>
          </cell>
        </row>
        <row r="846">
          <cell r="I846" t="str">
            <v>EDI</v>
          </cell>
          <cell r="L846">
            <v>4679</v>
          </cell>
          <cell r="N846" t="str">
            <v>Testing</v>
          </cell>
          <cell r="O846" t="str">
            <v>No</v>
          </cell>
          <cell r="Q846" t="str">
            <v>In Progress</v>
          </cell>
          <cell r="R846">
            <v>46024.810127314813</v>
          </cell>
          <cell r="S846" t="str">
            <v>Reem Radwan</v>
          </cell>
          <cell r="T846">
            <v>46098</v>
          </cell>
          <cell r="U846" t="str">
            <v>Peter Abdelmalek</v>
          </cell>
          <cell r="V846">
            <v>46111</v>
          </cell>
          <cell r="Y846">
            <v>46086</v>
          </cell>
        </row>
        <row r="847">
          <cell r="I847" t="str">
            <v>EDI</v>
          </cell>
          <cell r="N847" t="str">
            <v>Requirements Gathering</v>
          </cell>
          <cell r="O847" t="str">
            <v>No</v>
          </cell>
          <cell r="Q847" t="str">
            <v>Cancelled</v>
          </cell>
          <cell r="R847">
            <v>46024.775127314817</v>
          </cell>
          <cell r="S847" t="str">
            <v>Sandra Adel</v>
          </cell>
          <cell r="T847">
            <v>46028</v>
          </cell>
          <cell r="U847" t="str">
            <v>KJ Ampy</v>
          </cell>
        </row>
        <row r="848">
          <cell r="I848" t="str">
            <v>EDI</v>
          </cell>
          <cell r="L848">
            <v>4501</v>
          </cell>
          <cell r="N848" t="str">
            <v>Production</v>
          </cell>
          <cell r="O848" t="str">
            <v>No</v>
          </cell>
          <cell r="Q848" t="str">
            <v>Live</v>
          </cell>
          <cell r="R848">
            <v>46024.715891203698</v>
          </cell>
          <cell r="S848" t="str">
            <v>Reem Radwan</v>
          </cell>
          <cell r="T848">
            <v>46062</v>
          </cell>
          <cell r="U848" t="str">
            <v>Peter Abdelmalek</v>
          </cell>
          <cell r="V848">
            <v>46078</v>
          </cell>
          <cell r="W848">
            <v>46090</v>
          </cell>
          <cell r="Y848">
            <v>46058</v>
          </cell>
          <cell r="AC848">
            <v>46090</v>
          </cell>
        </row>
        <row r="849">
          <cell r="I849" t="str">
            <v>EDI</v>
          </cell>
          <cell r="L849">
            <v>4393</v>
          </cell>
          <cell r="N849" t="str">
            <v>Production</v>
          </cell>
          <cell r="O849" t="str">
            <v>No</v>
          </cell>
          <cell r="Q849" t="str">
            <v>Live</v>
          </cell>
          <cell r="R849">
            <v>46022.939444444448</v>
          </cell>
          <cell r="S849" t="str">
            <v>Mark Albert</v>
          </cell>
          <cell r="T849">
            <v>46036</v>
          </cell>
          <cell r="U849" t="str">
            <v>Trish Kalinczok</v>
          </cell>
          <cell r="W849">
            <v>46146</v>
          </cell>
          <cell r="Y849">
            <v>46035</v>
          </cell>
          <cell r="AC849">
            <v>46145</v>
          </cell>
        </row>
        <row r="850">
          <cell r="I850" t="str">
            <v>EDI</v>
          </cell>
          <cell r="L850">
            <v>4366</v>
          </cell>
          <cell r="N850" t="str">
            <v>Production</v>
          </cell>
          <cell r="O850" t="str">
            <v>No</v>
          </cell>
          <cell r="Q850" t="str">
            <v>Live</v>
          </cell>
          <cell r="R850">
            <v>46022.815613425933</v>
          </cell>
          <cell r="S850" t="str">
            <v>Dina Medhat</v>
          </cell>
          <cell r="T850">
            <v>46027</v>
          </cell>
          <cell r="U850" t="str">
            <v>Trish Kalinczok</v>
          </cell>
          <cell r="V850">
            <v>46044</v>
          </cell>
          <cell r="W850">
            <v>46055</v>
          </cell>
          <cell r="AC850">
            <v>46050</v>
          </cell>
        </row>
        <row r="851">
          <cell r="I851" t="str">
            <v>EDI</v>
          </cell>
          <cell r="L851">
            <v>4366</v>
          </cell>
          <cell r="N851" t="str">
            <v>Production</v>
          </cell>
          <cell r="O851" t="str">
            <v>No</v>
          </cell>
          <cell r="Q851" t="str">
            <v>Live</v>
          </cell>
          <cell r="R851">
            <v>46022.814571759263</v>
          </cell>
          <cell r="S851" t="str">
            <v>Karen Ramy</v>
          </cell>
          <cell r="T851">
            <v>46033</v>
          </cell>
          <cell r="U851" t="str">
            <v>Trish Kalinczok</v>
          </cell>
          <cell r="V851">
            <v>46044</v>
          </cell>
          <cell r="W851">
            <v>46055</v>
          </cell>
          <cell r="Y851">
            <v>46030</v>
          </cell>
          <cell r="AC851">
            <v>46048</v>
          </cell>
        </row>
        <row r="852">
          <cell r="I852" t="str">
            <v>EDI</v>
          </cell>
          <cell r="L852">
            <v>4405</v>
          </cell>
          <cell r="N852" t="str">
            <v>Dataset Validation</v>
          </cell>
          <cell r="O852" t="str">
            <v>No</v>
          </cell>
          <cell r="Q852" t="str">
            <v>In Progress</v>
          </cell>
          <cell r="R852">
            <v>46022.646412037036</v>
          </cell>
          <cell r="S852" t="str">
            <v>Dina Medhat</v>
          </cell>
          <cell r="T852">
            <v>46027</v>
          </cell>
          <cell r="U852" t="str">
            <v>Trish Kalinczok</v>
          </cell>
          <cell r="V852">
            <v>46044</v>
          </cell>
          <cell r="W852">
            <v>46070</v>
          </cell>
        </row>
        <row r="853">
          <cell r="I853" t="str">
            <v>EDI</v>
          </cell>
          <cell r="L853">
            <v>4396</v>
          </cell>
          <cell r="N853" t="str">
            <v>Production</v>
          </cell>
          <cell r="O853" t="str">
            <v>No</v>
          </cell>
          <cell r="Q853" t="str">
            <v>Cancelled</v>
          </cell>
          <cell r="R853">
            <v>46022.645312499997</v>
          </cell>
          <cell r="S853" t="str">
            <v>Andrew Ramy</v>
          </cell>
          <cell r="T853">
            <v>46037</v>
          </cell>
          <cell r="U853" t="str">
            <v>Trish Kalinczok</v>
          </cell>
          <cell r="V853">
            <v>46044</v>
          </cell>
          <cell r="W853">
            <v>46057</v>
          </cell>
          <cell r="Y853">
            <v>46034</v>
          </cell>
          <cell r="AC853">
            <v>46055</v>
          </cell>
        </row>
        <row r="854">
          <cell r="I854" t="str">
            <v>EDI</v>
          </cell>
          <cell r="L854">
            <v>4405</v>
          </cell>
          <cell r="N854" t="str">
            <v>Production</v>
          </cell>
          <cell r="O854" t="str">
            <v>No</v>
          </cell>
          <cell r="Q854" t="str">
            <v>Live</v>
          </cell>
          <cell r="R854">
            <v>46022.644548611112</v>
          </cell>
          <cell r="S854" t="str">
            <v>Andrew Ramy</v>
          </cell>
          <cell r="T854">
            <v>46037</v>
          </cell>
          <cell r="U854" t="str">
            <v>Trish Kalinczok</v>
          </cell>
          <cell r="V854">
            <v>46044</v>
          </cell>
          <cell r="W854">
            <v>46070</v>
          </cell>
          <cell r="Y854">
            <v>46034</v>
          </cell>
          <cell r="AC854">
            <v>46070</v>
          </cell>
        </row>
        <row r="855">
          <cell r="I855" t="str">
            <v>EDI</v>
          </cell>
          <cell r="L855">
            <v>4378</v>
          </cell>
          <cell r="N855" t="str">
            <v>Testing</v>
          </cell>
          <cell r="O855" t="str">
            <v>No</v>
          </cell>
          <cell r="Q855" t="str">
            <v>In Progress</v>
          </cell>
          <cell r="R855">
            <v>46022.640590277777</v>
          </cell>
          <cell r="S855" t="str">
            <v>Dina Medhat</v>
          </cell>
          <cell r="T855">
            <v>46027</v>
          </cell>
          <cell r="U855" t="str">
            <v>Trish Kalinczok</v>
          </cell>
          <cell r="V855">
            <v>46037</v>
          </cell>
          <cell r="W855">
            <v>46048</v>
          </cell>
          <cell r="Y855">
            <v>46027</v>
          </cell>
        </row>
        <row r="856">
          <cell r="I856" t="str">
            <v>EDI</v>
          </cell>
          <cell r="N856" t="str">
            <v>Pending Start</v>
          </cell>
          <cell r="O856" t="str">
            <v>No</v>
          </cell>
          <cell r="Q856" t="str">
            <v>Cancelled</v>
          </cell>
          <cell r="R856">
            <v>46022.636550925927</v>
          </cell>
          <cell r="U856" t="str">
            <v>Trish Kalinczok</v>
          </cell>
        </row>
        <row r="857">
          <cell r="I857" t="str">
            <v>EDI</v>
          </cell>
          <cell r="L857">
            <v>4378</v>
          </cell>
          <cell r="N857" t="str">
            <v>Production</v>
          </cell>
          <cell r="O857" t="str">
            <v>No</v>
          </cell>
          <cell r="Q857" t="str">
            <v>Live</v>
          </cell>
          <cell r="R857">
            <v>46022.62023148148</v>
          </cell>
          <cell r="S857" t="str">
            <v>Andrew Ramy</v>
          </cell>
          <cell r="T857">
            <v>46028</v>
          </cell>
          <cell r="U857" t="str">
            <v>Trish Kalinczok</v>
          </cell>
          <cell r="V857">
            <v>46037</v>
          </cell>
          <cell r="W857">
            <v>46048</v>
          </cell>
          <cell r="Y857">
            <v>46027</v>
          </cell>
          <cell r="AC857">
            <v>46042</v>
          </cell>
        </row>
        <row r="858">
          <cell r="I858" t="str">
            <v>EDI</v>
          </cell>
          <cell r="N858" t="str">
            <v>Requirements Gathering</v>
          </cell>
          <cell r="O858" t="str">
            <v>No</v>
          </cell>
          <cell r="Q858" t="str">
            <v>Cancelled</v>
          </cell>
          <cell r="R858">
            <v>46022.186180555553</v>
          </cell>
          <cell r="S858" t="str">
            <v>Sandra Adel</v>
          </cell>
          <cell r="T858">
            <v>46026</v>
          </cell>
          <cell r="U858" t="str">
            <v>Carolina Tanoue</v>
          </cell>
        </row>
        <row r="859">
          <cell r="I859" t="str">
            <v>EDI</v>
          </cell>
          <cell r="L859">
            <v>4592</v>
          </cell>
          <cell r="N859" t="str">
            <v>Testing</v>
          </cell>
          <cell r="O859" t="str">
            <v>No</v>
          </cell>
          <cell r="Q859" t="str">
            <v>In Progress</v>
          </cell>
          <cell r="R859">
            <v>46022.186168981483</v>
          </cell>
          <cell r="S859" t="str">
            <v>Andrew Ramy</v>
          </cell>
          <cell r="T859">
            <v>46078</v>
          </cell>
          <cell r="U859" t="str">
            <v>Carolina Tanoue</v>
          </cell>
          <cell r="V859">
            <v>46105</v>
          </cell>
          <cell r="Y859">
            <v>46075</v>
          </cell>
        </row>
        <row r="860">
          <cell r="I860" t="str">
            <v>EDI</v>
          </cell>
          <cell r="L860">
            <v>4502</v>
          </cell>
          <cell r="N860" t="str">
            <v>Ready for Production</v>
          </cell>
          <cell r="O860" t="str">
            <v>No</v>
          </cell>
          <cell r="Q860" t="str">
            <v>Cancelled</v>
          </cell>
          <cell r="R860">
            <v>46022.186168981483</v>
          </cell>
          <cell r="S860" t="str">
            <v>Andrew Ramy</v>
          </cell>
          <cell r="T860">
            <v>46055</v>
          </cell>
          <cell r="U860" t="str">
            <v>Carolina Tanoue</v>
          </cell>
          <cell r="V860">
            <v>46078</v>
          </cell>
          <cell r="Y860">
            <v>46047</v>
          </cell>
        </row>
        <row r="861">
          <cell r="I861" t="str">
            <v>EDI</v>
          </cell>
          <cell r="L861">
            <v>4468</v>
          </cell>
          <cell r="N861" t="str">
            <v>Production</v>
          </cell>
          <cell r="O861" t="str">
            <v>No</v>
          </cell>
          <cell r="Q861" t="str">
            <v>Live</v>
          </cell>
          <cell r="R861">
            <v>46022.186157407406</v>
          </cell>
          <cell r="S861" t="str">
            <v>Omnia Abdelaziz</v>
          </cell>
          <cell r="T861">
            <v>46056</v>
          </cell>
          <cell r="U861" t="str">
            <v>Carolina Tanoue</v>
          </cell>
          <cell r="V861">
            <v>46070</v>
          </cell>
          <cell r="W861">
            <v>46104</v>
          </cell>
          <cell r="Y861">
            <v>46055</v>
          </cell>
          <cell r="AC861">
            <v>46098</v>
          </cell>
        </row>
        <row r="862">
          <cell r="I862" t="str">
            <v>EDI</v>
          </cell>
          <cell r="L862">
            <v>4417</v>
          </cell>
          <cell r="N862" t="str">
            <v>Production</v>
          </cell>
          <cell r="O862" t="str">
            <v>No</v>
          </cell>
          <cell r="Q862" t="str">
            <v>Live</v>
          </cell>
          <cell r="R862">
            <v>46021.889351851853</v>
          </cell>
          <cell r="S862" t="str">
            <v>Aya Fathy</v>
          </cell>
          <cell r="T862">
            <v>46043</v>
          </cell>
          <cell r="U862" t="str">
            <v>Melanie Rhine</v>
          </cell>
          <cell r="V862">
            <v>46049</v>
          </cell>
          <cell r="W862">
            <v>46148</v>
          </cell>
          <cell r="Y862">
            <v>46040</v>
          </cell>
          <cell r="AC862">
            <v>46142</v>
          </cell>
        </row>
        <row r="863">
          <cell r="I863" t="str">
            <v>EDI</v>
          </cell>
          <cell r="L863">
            <v>4409</v>
          </cell>
          <cell r="N863" t="str">
            <v>Production</v>
          </cell>
          <cell r="O863" t="str">
            <v>No</v>
          </cell>
          <cell r="Q863" t="str">
            <v>Live</v>
          </cell>
          <cell r="R863">
            <v>46021.774247685193</v>
          </cell>
          <cell r="S863" t="str">
            <v>Andrew Ramy</v>
          </cell>
          <cell r="T863">
            <v>46036</v>
          </cell>
          <cell r="U863" t="str">
            <v>Gregory Dubec</v>
          </cell>
          <cell r="V863">
            <v>46061</v>
          </cell>
          <cell r="W863">
            <v>46100</v>
          </cell>
          <cell r="Y863">
            <v>46034</v>
          </cell>
          <cell r="AC863">
            <v>46099</v>
          </cell>
        </row>
        <row r="864">
          <cell r="I864" t="str">
            <v>EDI</v>
          </cell>
          <cell r="L864">
            <v>4523</v>
          </cell>
          <cell r="N864" t="str">
            <v>Production</v>
          </cell>
          <cell r="O864" t="str">
            <v>No</v>
          </cell>
          <cell r="Q864" t="str">
            <v>Live</v>
          </cell>
          <cell r="R864">
            <v>46020.94730324074</v>
          </cell>
          <cell r="S864" t="str">
            <v>Noha Moustafa</v>
          </cell>
          <cell r="T864">
            <v>46068</v>
          </cell>
          <cell r="U864" t="str">
            <v>Necole Hartsfield</v>
          </cell>
          <cell r="V864">
            <v>46086</v>
          </cell>
          <cell r="W864">
            <v>46132</v>
          </cell>
          <cell r="Y864">
            <v>46063</v>
          </cell>
          <cell r="AC864">
            <v>46126</v>
          </cell>
        </row>
        <row r="865">
          <cell r="I865" t="str">
            <v>EDI</v>
          </cell>
          <cell r="L865">
            <v>4391</v>
          </cell>
          <cell r="N865" t="str">
            <v>Production</v>
          </cell>
          <cell r="O865" t="str">
            <v>No</v>
          </cell>
          <cell r="Q865" t="str">
            <v>Live</v>
          </cell>
          <cell r="R865">
            <v>46020.89439814815</v>
          </cell>
          <cell r="S865" t="str">
            <v>Josephine Ossama</v>
          </cell>
          <cell r="T865">
            <v>46036</v>
          </cell>
          <cell r="U865" t="str">
            <v>Trish Kalinczok</v>
          </cell>
          <cell r="V865">
            <v>46044</v>
          </cell>
          <cell r="W865">
            <v>46083</v>
          </cell>
          <cell r="Y865">
            <v>46034</v>
          </cell>
          <cell r="AC865">
            <v>46076</v>
          </cell>
        </row>
        <row r="866">
          <cell r="I866" t="str">
            <v>EDI</v>
          </cell>
          <cell r="L866">
            <v>4348</v>
          </cell>
          <cell r="N866" t="str">
            <v>Production</v>
          </cell>
          <cell r="O866" t="str">
            <v>No</v>
          </cell>
          <cell r="Q866" t="str">
            <v>Live</v>
          </cell>
          <cell r="R866">
            <v>46016.818784722222</v>
          </cell>
          <cell r="S866" t="str">
            <v>Andrew Ramy</v>
          </cell>
          <cell r="T866">
            <v>46020</v>
          </cell>
          <cell r="U866" t="str">
            <v>Trish Kalinczok</v>
          </cell>
          <cell r="V866">
            <v>46026</v>
          </cell>
          <cell r="W866">
            <v>46133</v>
          </cell>
          <cell r="Y866">
            <v>46020</v>
          </cell>
          <cell r="AC866">
            <v>46133</v>
          </cell>
        </row>
        <row r="867">
          <cell r="I867" t="str">
            <v>EDI</v>
          </cell>
          <cell r="L867">
            <v>4390</v>
          </cell>
          <cell r="N867" t="str">
            <v>Production</v>
          </cell>
          <cell r="O867" t="str">
            <v>No</v>
          </cell>
          <cell r="Q867" t="str">
            <v>Live</v>
          </cell>
          <cell r="R867">
            <v>46016.816064814811</v>
          </cell>
          <cell r="S867" t="str">
            <v>Omnia Abdelaziz</v>
          </cell>
          <cell r="T867">
            <v>46033</v>
          </cell>
          <cell r="U867" t="str">
            <v>Trish Kalinczok</v>
          </cell>
          <cell r="V867">
            <v>46049</v>
          </cell>
          <cell r="W867">
            <v>46062</v>
          </cell>
          <cell r="Y867">
            <v>46027</v>
          </cell>
          <cell r="AC867">
            <v>46057</v>
          </cell>
        </row>
        <row r="868">
          <cell r="I868" t="str">
            <v>EDI</v>
          </cell>
          <cell r="L868">
            <v>3955</v>
          </cell>
          <cell r="N868" t="str">
            <v>Production</v>
          </cell>
          <cell r="O868" t="str">
            <v>No</v>
          </cell>
          <cell r="Q868" t="str">
            <v>Live</v>
          </cell>
          <cell r="R868">
            <v>46016.812997685192</v>
          </cell>
          <cell r="S868" t="str">
            <v>Dina Medhat</v>
          </cell>
          <cell r="T868">
            <v>46020</v>
          </cell>
          <cell r="U868" t="str">
            <v>Trish Kalinczok</v>
          </cell>
          <cell r="V868">
            <v>45876</v>
          </cell>
          <cell r="W868">
            <v>45915</v>
          </cell>
          <cell r="AC868">
            <v>46020</v>
          </cell>
        </row>
        <row r="869">
          <cell r="I869" t="str">
            <v>EDI</v>
          </cell>
          <cell r="L869">
            <v>4389</v>
          </cell>
          <cell r="N869" t="str">
            <v>Production</v>
          </cell>
          <cell r="O869" t="str">
            <v>No</v>
          </cell>
          <cell r="Q869" t="str">
            <v>Live</v>
          </cell>
          <cell r="R869">
            <v>46016.812986111108</v>
          </cell>
          <cell r="S869" t="str">
            <v>Omnia Abdelaziz</v>
          </cell>
          <cell r="T869">
            <v>46033</v>
          </cell>
          <cell r="U869" t="str">
            <v>Trish Kalinczok</v>
          </cell>
          <cell r="V869">
            <v>46049</v>
          </cell>
          <cell r="W869">
            <v>46062</v>
          </cell>
          <cell r="Y869">
            <v>46027</v>
          </cell>
          <cell r="AC869">
            <v>46057</v>
          </cell>
        </row>
        <row r="870">
          <cell r="I870" t="str">
            <v>EDI</v>
          </cell>
          <cell r="L870">
            <v>4360</v>
          </cell>
          <cell r="N870" t="str">
            <v>Production</v>
          </cell>
          <cell r="O870" t="str">
            <v>No</v>
          </cell>
          <cell r="Q870" t="str">
            <v>Live</v>
          </cell>
          <cell r="R870">
            <v>46016.812986111108</v>
          </cell>
          <cell r="S870" t="str">
            <v>Andrew Ramy</v>
          </cell>
          <cell r="T870">
            <v>46027</v>
          </cell>
          <cell r="U870" t="str">
            <v>Trish Kalinczok</v>
          </cell>
          <cell r="V870">
            <v>46028</v>
          </cell>
          <cell r="W870">
            <v>46133</v>
          </cell>
          <cell r="Y870">
            <v>46020</v>
          </cell>
          <cell r="AC870">
            <v>46133</v>
          </cell>
        </row>
        <row r="871">
          <cell r="I871" t="str">
            <v>EDI</v>
          </cell>
          <cell r="L871">
            <v>3944</v>
          </cell>
          <cell r="N871" t="str">
            <v>Production</v>
          </cell>
          <cell r="O871" t="str">
            <v>No</v>
          </cell>
          <cell r="Q871" t="str">
            <v>Live</v>
          </cell>
          <cell r="R871">
            <v>46016.812974537039</v>
          </cell>
          <cell r="S871" t="str">
            <v>Dina Medhat</v>
          </cell>
          <cell r="T871">
            <v>46020</v>
          </cell>
          <cell r="U871" t="str">
            <v>Trish Kalinczok</v>
          </cell>
          <cell r="V871">
            <v>45852</v>
          </cell>
          <cell r="W871">
            <v>45938</v>
          </cell>
          <cell r="AC871">
            <v>46020</v>
          </cell>
        </row>
        <row r="872">
          <cell r="I872" t="str">
            <v>EDI</v>
          </cell>
          <cell r="L872">
            <v>4148</v>
          </cell>
          <cell r="N872" t="str">
            <v>Production</v>
          </cell>
          <cell r="O872" t="str">
            <v>No</v>
          </cell>
          <cell r="Q872" t="str">
            <v>Live</v>
          </cell>
          <cell r="R872">
            <v>46016.812974537039</v>
          </cell>
          <cell r="S872" t="str">
            <v>Dina Medhat</v>
          </cell>
          <cell r="T872">
            <v>46020</v>
          </cell>
          <cell r="U872" t="str">
            <v>Trish Kalinczok</v>
          </cell>
          <cell r="AC872">
            <v>46020</v>
          </cell>
        </row>
        <row r="873">
          <cell r="I873" t="str">
            <v>EDI</v>
          </cell>
          <cell r="L873">
            <v>4373</v>
          </cell>
          <cell r="N873" t="str">
            <v>Production</v>
          </cell>
          <cell r="O873" t="str">
            <v>No</v>
          </cell>
          <cell r="Q873" t="str">
            <v>Live</v>
          </cell>
          <cell r="R873">
            <v>46016.756655092591</v>
          </cell>
          <cell r="S873" t="str">
            <v>Reem Radwan</v>
          </cell>
          <cell r="T873">
            <v>46049</v>
          </cell>
          <cell r="U873" t="str">
            <v>Trish Kalinczok</v>
          </cell>
          <cell r="W873">
            <v>46069</v>
          </cell>
          <cell r="Y873">
            <v>46020</v>
          </cell>
          <cell r="AC873">
            <v>46068</v>
          </cell>
        </row>
        <row r="874">
          <cell r="I874" t="str">
            <v>EDI</v>
          </cell>
          <cell r="L874">
            <v>4599</v>
          </cell>
          <cell r="N874" t="str">
            <v>Production</v>
          </cell>
          <cell r="O874" t="str">
            <v>No</v>
          </cell>
          <cell r="Q874" t="str">
            <v>Live</v>
          </cell>
          <cell r="R874">
            <v>46015.738506944443</v>
          </cell>
          <cell r="S874" t="str">
            <v>Marwan Tawfik</v>
          </cell>
          <cell r="T874">
            <v>46078</v>
          </cell>
          <cell r="U874" t="str">
            <v>Peter Abdelmalek</v>
          </cell>
          <cell r="V874">
            <v>46111</v>
          </cell>
          <cell r="W874">
            <v>46163</v>
          </cell>
          <cell r="Y874">
            <v>46076</v>
          </cell>
          <cell r="AC874">
            <v>46160</v>
          </cell>
        </row>
        <row r="875">
          <cell r="I875" t="str">
            <v>EDI</v>
          </cell>
          <cell r="L875">
            <v>4387</v>
          </cell>
          <cell r="N875" t="str">
            <v>Production</v>
          </cell>
          <cell r="O875" t="str">
            <v>No</v>
          </cell>
          <cell r="Q875" t="str">
            <v>Cancelled</v>
          </cell>
          <cell r="R875">
            <v>46015.738495370373</v>
          </cell>
          <cell r="S875" t="str">
            <v>Marwan Tawfik</v>
          </cell>
          <cell r="T875">
            <v>46036</v>
          </cell>
          <cell r="U875" t="str">
            <v>Peter Abdelmalek</v>
          </cell>
          <cell r="V875">
            <v>46044</v>
          </cell>
          <cell r="W875">
            <v>46086</v>
          </cell>
          <cell r="Y875">
            <v>46035</v>
          </cell>
          <cell r="AC875">
            <v>46083</v>
          </cell>
        </row>
        <row r="876">
          <cell r="I876" t="str">
            <v>EDI</v>
          </cell>
          <cell r="L876">
            <v>4364</v>
          </cell>
          <cell r="N876" t="str">
            <v>Production</v>
          </cell>
          <cell r="O876" t="str">
            <v>No</v>
          </cell>
          <cell r="Q876" t="str">
            <v>Live</v>
          </cell>
          <cell r="R876">
            <v>46015.731932870367</v>
          </cell>
          <cell r="S876" t="str">
            <v>Karen Ramy</v>
          </cell>
          <cell r="T876">
            <v>46026</v>
          </cell>
          <cell r="U876" t="str">
            <v>Gregory Dubec</v>
          </cell>
          <cell r="V876">
            <v>46046</v>
          </cell>
          <cell r="W876">
            <v>46198</v>
          </cell>
          <cell r="Y876">
            <v>46020</v>
          </cell>
          <cell r="AC876">
            <v>46198</v>
          </cell>
        </row>
        <row r="877">
          <cell r="I877" t="str">
            <v>EDI</v>
          </cell>
          <cell r="L877">
            <v>4352</v>
          </cell>
          <cell r="N877" t="str">
            <v>Production</v>
          </cell>
          <cell r="O877" t="str">
            <v>No</v>
          </cell>
          <cell r="Q877" t="str">
            <v>Live</v>
          </cell>
          <cell r="R877">
            <v>46015.604953703703</v>
          </cell>
          <cell r="S877" t="str">
            <v>Marwan Tawfik</v>
          </cell>
          <cell r="T877">
            <v>46026</v>
          </cell>
          <cell r="U877" t="str">
            <v>Trish Kalinczok</v>
          </cell>
          <cell r="V877">
            <v>46044</v>
          </cell>
          <cell r="W877">
            <v>46057</v>
          </cell>
          <cell r="Y877">
            <v>46020</v>
          </cell>
          <cell r="AC877">
            <v>46056</v>
          </cell>
        </row>
        <row r="878">
          <cell r="I878" t="str">
            <v>EDI</v>
          </cell>
          <cell r="N878" t="str">
            <v>Mapping</v>
          </cell>
          <cell r="O878" t="str">
            <v>No</v>
          </cell>
          <cell r="Q878" t="str">
            <v>Cancelled</v>
          </cell>
          <cell r="R878">
            <v>46014.90892361111</v>
          </cell>
          <cell r="S878" t="str">
            <v>Mina Adel</v>
          </cell>
          <cell r="T878">
            <v>46020</v>
          </cell>
          <cell r="U878" t="str">
            <v>Angie Winter</v>
          </cell>
        </row>
        <row r="879">
          <cell r="I879" t="str">
            <v>EDI</v>
          </cell>
          <cell r="L879">
            <v>4439</v>
          </cell>
          <cell r="N879" t="str">
            <v>Production</v>
          </cell>
          <cell r="O879" t="str">
            <v>No</v>
          </cell>
          <cell r="Q879" t="str">
            <v>Live</v>
          </cell>
          <cell r="R879">
            <v>46014.869687500002</v>
          </cell>
          <cell r="S879" t="str">
            <v>Mirna Azmy</v>
          </cell>
          <cell r="T879">
            <v>46047</v>
          </cell>
          <cell r="U879" t="str">
            <v>Melanie Rhine</v>
          </cell>
          <cell r="V879">
            <v>46062</v>
          </cell>
          <cell r="W879">
            <v>46100</v>
          </cell>
          <cell r="Y879">
            <v>46043</v>
          </cell>
          <cell r="AC879">
            <v>46099</v>
          </cell>
        </row>
        <row r="880">
          <cell r="I880" t="str">
            <v>EDI</v>
          </cell>
          <cell r="L880">
            <v>4438</v>
          </cell>
          <cell r="N880" t="str">
            <v>Production</v>
          </cell>
          <cell r="O880" t="str">
            <v>No</v>
          </cell>
          <cell r="Q880" t="str">
            <v>Live</v>
          </cell>
          <cell r="R880">
            <v>46014.869664351849</v>
          </cell>
          <cell r="S880" t="str">
            <v>Mirna Azmy</v>
          </cell>
          <cell r="T880">
            <v>46047</v>
          </cell>
          <cell r="U880" t="str">
            <v>Melanie Rhine</v>
          </cell>
          <cell r="V880">
            <v>46062</v>
          </cell>
          <cell r="W880">
            <v>46104</v>
          </cell>
          <cell r="Y880">
            <v>46043</v>
          </cell>
          <cell r="AC880">
            <v>46099</v>
          </cell>
        </row>
        <row r="881">
          <cell r="I881" t="str">
            <v>EDI</v>
          </cell>
          <cell r="L881">
            <v>4349</v>
          </cell>
          <cell r="N881" t="str">
            <v>Production</v>
          </cell>
          <cell r="O881" t="str">
            <v>No</v>
          </cell>
          <cell r="Q881" t="str">
            <v>Live</v>
          </cell>
          <cell r="R881">
            <v>46014.862129629633</v>
          </cell>
          <cell r="S881" t="str">
            <v>Reem Radwan</v>
          </cell>
          <cell r="T881">
            <v>46026</v>
          </cell>
          <cell r="U881" t="str">
            <v>Melanie Rhine</v>
          </cell>
          <cell r="V881">
            <v>46097</v>
          </cell>
          <cell r="W881">
            <v>46216</v>
          </cell>
          <cell r="Y881">
            <v>46022</v>
          </cell>
          <cell r="AC881">
            <v>46216</v>
          </cell>
        </row>
        <row r="882">
          <cell r="I882" t="str">
            <v>EDI</v>
          </cell>
          <cell r="L882">
            <v>4365</v>
          </cell>
          <cell r="N882" t="str">
            <v>Production</v>
          </cell>
          <cell r="O882" t="str">
            <v>No</v>
          </cell>
          <cell r="Q882" t="str">
            <v>Live</v>
          </cell>
          <cell r="R882">
            <v>46014.855509259258</v>
          </cell>
          <cell r="S882" t="str">
            <v>Karen Ramy</v>
          </cell>
          <cell r="T882">
            <v>46028</v>
          </cell>
          <cell r="U882" t="str">
            <v>Gregory Dubec</v>
          </cell>
          <cell r="V882">
            <v>46037</v>
          </cell>
          <cell r="W882">
            <v>46058</v>
          </cell>
          <cell r="Y882">
            <v>46027</v>
          </cell>
          <cell r="AC882">
            <v>46055</v>
          </cell>
        </row>
        <row r="883">
          <cell r="I883" t="str">
            <v>EDI</v>
          </cell>
          <cell r="L883">
            <v>4368</v>
          </cell>
          <cell r="N883" t="str">
            <v>Production</v>
          </cell>
          <cell r="O883" t="str">
            <v>No</v>
          </cell>
          <cell r="Q883" t="str">
            <v>Live</v>
          </cell>
          <cell r="R883">
            <v>46014.855497685188</v>
          </cell>
          <cell r="S883" t="str">
            <v>Marwan Tawfik</v>
          </cell>
          <cell r="T883">
            <v>46028</v>
          </cell>
          <cell r="U883" t="str">
            <v>Gregory Dubec</v>
          </cell>
          <cell r="V883">
            <v>46044</v>
          </cell>
          <cell r="W883">
            <v>46135</v>
          </cell>
          <cell r="Y883">
            <v>46027</v>
          </cell>
          <cell r="AC883">
            <v>46132</v>
          </cell>
        </row>
        <row r="884">
          <cell r="I884" t="str">
            <v>EDI</v>
          </cell>
          <cell r="N884" t="str">
            <v>Pending Start</v>
          </cell>
          <cell r="O884" t="str">
            <v>No</v>
          </cell>
          <cell r="Q884" t="str">
            <v>Cancelled</v>
          </cell>
          <cell r="R884">
            <v>46013.946643518517</v>
          </cell>
          <cell r="U884" t="str">
            <v>Necole Hartsfield</v>
          </cell>
        </row>
        <row r="885">
          <cell r="I885" t="str">
            <v>EDI</v>
          </cell>
          <cell r="L885">
            <v>4462</v>
          </cell>
          <cell r="N885" t="str">
            <v>Production</v>
          </cell>
          <cell r="O885" t="str">
            <v>No</v>
          </cell>
          <cell r="Q885" t="str">
            <v>Live</v>
          </cell>
          <cell r="R885">
            <v>46013.936168981483</v>
          </cell>
          <cell r="S885" t="str">
            <v>Alaa Yehia</v>
          </cell>
          <cell r="T885">
            <v>46051</v>
          </cell>
          <cell r="U885" t="str">
            <v>Tammy Davies</v>
          </cell>
          <cell r="V885">
            <v>46064</v>
          </cell>
          <cell r="W885">
            <v>46097</v>
          </cell>
          <cell r="Y885">
            <v>46049</v>
          </cell>
          <cell r="AC885">
            <v>46095</v>
          </cell>
        </row>
        <row r="886">
          <cell r="I886" t="str">
            <v>EDI</v>
          </cell>
          <cell r="L886">
            <v>4361</v>
          </cell>
          <cell r="N886" t="str">
            <v>Production</v>
          </cell>
          <cell r="O886" t="str">
            <v>No</v>
          </cell>
          <cell r="Q886" t="str">
            <v>Live</v>
          </cell>
          <cell r="R886">
            <v>46013.934965277767</v>
          </cell>
          <cell r="S886" t="str">
            <v>Alaa Yehia</v>
          </cell>
          <cell r="T886">
            <v>46028</v>
          </cell>
          <cell r="U886" t="str">
            <v>Tammy Davies</v>
          </cell>
          <cell r="V886">
            <v>46044</v>
          </cell>
          <cell r="W886">
            <v>46083</v>
          </cell>
          <cell r="Y886">
            <v>46028</v>
          </cell>
          <cell r="AC886">
            <v>46077</v>
          </cell>
        </row>
        <row r="887">
          <cell r="I887" t="str">
            <v>EDI</v>
          </cell>
          <cell r="L887">
            <v>4752</v>
          </cell>
          <cell r="N887" t="str">
            <v>Production</v>
          </cell>
          <cell r="O887" t="str">
            <v>No</v>
          </cell>
          <cell r="Q887" t="str">
            <v>Live</v>
          </cell>
          <cell r="R887">
            <v>46013.934953703712</v>
          </cell>
          <cell r="S887" t="str">
            <v>Alaa Yehia</v>
          </cell>
          <cell r="T887">
            <v>46117</v>
          </cell>
          <cell r="U887" t="str">
            <v>Tammy Davies</v>
          </cell>
          <cell r="V887">
            <v>46127</v>
          </cell>
          <cell r="W887">
            <v>46132</v>
          </cell>
          <cell r="Y887">
            <v>46113</v>
          </cell>
          <cell r="AC887">
            <v>46128</v>
          </cell>
        </row>
        <row r="888">
          <cell r="I888" t="str">
            <v>EDI</v>
          </cell>
          <cell r="N888" t="str">
            <v>Requirements Gathering</v>
          </cell>
          <cell r="O888" t="str">
            <v>No</v>
          </cell>
          <cell r="Q888" t="str">
            <v>Cancelled</v>
          </cell>
          <cell r="R888">
            <v>46013.930868055562</v>
          </cell>
          <cell r="S888" t="str">
            <v>Karim Tarek</v>
          </cell>
          <cell r="T888">
            <v>46050</v>
          </cell>
          <cell r="U888" t="str">
            <v>Tammy Davies</v>
          </cell>
          <cell r="Y888">
            <v>46043</v>
          </cell>
        </row>
        <row r="889">
          <cell r="I889" t="str">
            <v>EDI</v>
          </cell>
          <cell r="L889">
            <v>4475</v>
          </cell>
          <cell r="N889" t="str">
            <v>Production</v>
          </cell>
          <cell r="O889" t="str">
            <v>No</v>
          </cell>
          <cell r="Q889" t="str">
            <v>Live</v>
          </cell>
          <cell r="R889">
            <v>46013.928414351853</v>
          </cell>
          <cell r="S889" t="str">
            <v>Alaa Yehia</v>
          </cell>
          <cell r="T889">
            <v>46051</v>
          </cell>
          <cell r="U889" t="str">
            <v>Tammy Davies</v>
          </cell>
          <cell r="V889">
            <v>46064</v>
          </cell>
          <cell r="W889">
            <v>46091</v>
          </cell>
          <cell r="Y889">
            <v>46049</v>
          </cell>
          <cell r="AC889">
            <v>46084</v>
          </cell>
        </row>
        <row r="890">
          <cell r="I890" t="str">
            <v>EDI</v>
          </cell>
          <cell r="L890">
            <v>4460</v>
          </cell>
          <cell r="N890" t="str">
            <v>Mapping</v>
          </cell>
          <cell r="O890" t="str">
            <v>No</v>
          </cell>
          <cell r="Q890" t="str">
            <v>In Progress</v>
          </cell>
          <cell r="R890">
            <v>46013.903379629628</v>
          </cell>
          <cell r="S890" t="str">
            <v>Mirna Azmy</v>
          </cell>
          <cell r="T890">
            <v>46050</v>
          </cell>
          <cell r="U890" t="str">
            <v>KJ Ampy</v>
          </cell>
          <cell r="Y890">
            <v>46049</v>
          </cell>
        </row>
        <row r="891">
          <cell r="I891" t="str">
            <v>EDI</v>
          </cell>
          <cell r="L891">
            <v>4371</v>
          </cell>
          <cell r="N891" t="str">
            <v>Production</v>
          </cell>
          <cell r="O891" t="str">
            <v>No</v>
          </cell>
          <cell r="Q891" t="str">
            <v>Live</v>
          </cell>
          <cell r="R891">
            <v>46013.883923611109</v>
          </cell>
          <cell r="S891" t="str">
            <v>Mark Albert</v>
          </cell>
          <cell r="T891">
            <v>46033</v>
          </cell>
          <cell r="U891" t="str">
            <v>Tammy Davies</v>
          </cell>
          <cell r="W891">
            <v>46196</v>
          </cell>
          <cell r="Y891">
            <v>46030</v>
          </cell>
          <cell r="AC891">
            <v>46190</v>
          </cell>
        </row>
        <row r="892">
          <cell r="I892" t="str">
            <v>EDI</v>
          </cell>
          <cell r="L892">
            <v>4334</v>
          </cell>
          <cell r="N892" t="str">
            <v>Production</v>
          </cell>
          <cell r="O892" t="str">
            <v>No</v>
          </cell>
          <cell r="Q892" t="str">
            <v>Live</v>
          </cell>
          <cell r="R892">
            <v>46013.883912037039</v>
          </cell>
          <cell r="S892" t="str">
            <v>Josephine Ossama</v>
          </cell>
          <cell r="T892">
            <v>46019</v>
          </cell>
          <cell r="U892" t="str">
            <v>Tammy Davies</v>
          </cell>
          <cell r="V892">
            <v>46035</v>
          </cell>
          <cell r="W892">
            <v>46064</v>
          </cell>
          <cell r="Y892">
            <v>46016</v>
          </cell>
          <cell r="AC892">
            <v>46062</v>
          </cell>
        </row>
        <row r="893">
          <cell r="I893" t="str">
            <v>EDI</v>
          </cell>
          <cell r="L893">
            <v>4355</v>
          </cell>
          <cell r="N893" t="str">
            <v>Production</v>
          </cell>
          <cell r="O893" t="str">
            <v>No</v>
          </cell>
          <cell r="Q893" t="str">
            <v>Live</v>
          </cell>
          <cell r="R893">
            <v>46013.839247685188</v>
          </cell>
          <cell r="S893" t="str">
            <v>Zeyad Khaled</v>
          </cell>
          <cell r="T893">
            <v>46026</v>
          </cell>
          <cell r="U893" t="str">
            <v>Gregory Dubec</v>
          </cell>
          <cell r="V893">
            <v>46030</v>
          </cell>
          <cell r="W893">
            <v>46128</v>
          </cell>
          <cell r="Y893">
            <v>46022</v>
          </cell>
          <cell r="AC893">
            <v>46121</v>
          </cell>
        </row>
        <row r="894">
          <cell r="I894" t="str">
            <v>EDI</v>
          </cell>
          <cell r="N894" t="str">
            <v>Requirements Gathering</v>
          </cell>
          <cell r="O894" t="str">
            <v>No</v>
          </cell>
          <cell r="Q894" t="str">
            <v>Cancelled</v>
          </cell>
          <cell r="R894">
            <v>46013.830300925933</v>
          </cell>
          <cell r="S894" t="str">
            <v>Sandra Adel</v>
          </cell>
          <cell r="T894">
            <v>46014</v>
          </cell>
          <cell r="U894" t="str">
            <v>Gregory Dubec</v>
          </cell>
        </row>
        <row r="895">
          <cell r="I895" t="str">
            <v>EDI</v>
          </cell>
          <cell r="L895">
            <v>4528</v>
          </cell>
          <cell r="N895" t="str">
            <v>Testing</v>
          </cell>
          <cell r="O895" t="str">
            <v>No</v>
          </cell>
          <cell r="Q895" t="str">
            <v>In Progress</v>
          </cell>
          <cell r="R895">
            <v>46013.830289351848</v>
          </cell>
          <cell r="S895" t="str">
            <v>Marwan Tawfik</v>
          </cell>
          <cell r="T895">
            <v>46069</v>
          </cell>
          <cell r="U895" t="str">
            <v>Gregory Dubec</v>
          </cell>
          <cell r="V895">
            <v>46118</v>
          </cell>
          <cell r="Y895">
            <v>46068</v>
          </cell>
        </row>
        <row r="896">
          <cell r="I896" t="str">
            <v>EDI</v>
          </cell>
          <cell r="L896">
            <v>4453</v>
          </cell>
          <cell r="N896" t="str">
            <v>Production</v>
          </cell>
          <cell r="O896" t="str">
            <v>No</v>
          </cell>
          <cell r="Q896" t="str">
            <v>Live</v>
          </cell>
          <cell r="R896">
            <v>46010.9221412037</v>
          </cell>
          <cell r="S896" t="str">
            <v>Zeyad Khaled</v>
          </cell>
          <cell r="T896">
            <v>46047</v>
          </cell>
          <cell r="U896" t="str">
            <v>Trish Kalinczok</v>
          </cell>
          <cell r="V896">
            <v>46058</v>
          </cell>
          <cell r="W896">
            <v>46069</v>
          </cell>
          <cell r="Y896">
            <v>46044</v>
          </cell>
          <cell r="AC896">
            <v>46065</v>
          </cell>
        </row>
        <row r="897">
          <cell r="I897" t="str">
            <v>EDI</v>
          </cell>
          <cell r="L897">
            <v>4625</v>
          </cell>
          <cell r="N897" t="str">
            <v>Testing</v>
          </cell>
          <cell r="O897" t="str">
            <v>No</v>
          </cell>
          <cell r="Q897" t="str">
            <v>In Progress</v>
          </cell>
          <cell r="R897">
            <v>46010.817777777767</v>
          </cell>
          <cell r="S897" t="str">
            <v>Ahmed Ali</v>
          </cell>
          <cell r="T897">
            <v>46090</v>
          </cell>
          <cell r="U897" t="str">
            <v>Melanie Rhine</v>
          </cell>
          <cell r="V897">
            <v>46155</v>
          </cell>
          <cell r="Y897">
            <v>46086</v>
          </cell>
        </row>
        <row r="898">
          <cell r="I898" t="str">
            <v>EDI</v>
          </cell>
          <cell r="L898">
            <v>4357</v>
          </cell>
          <cell r="N898" t="str">
            <v>Mapping</v>
          </cell>
          <cell r="O898" t="str">
            <v>No</v>
          </cell>
          <cell r="Q898" t="str">
            <v>Cancelled</v>
          </cell>
          <cell r="R898">
            <v>46010.808449074073</v>
          </cell>
          <cell r="S898" t="str">
            <v>Noha Moustafa</v>
          </cell>
          <cell r="T898">
            <v>46026</v>
          </cell>
          <cell r="U898" t="str">
            <v>Melanie Rhine</v>
          </cell>
          <cell r="Y898">
            <v>46019</v>
          </cell>
        </row>
        <row r="899">
          <cell r="I899" t="str">
            <v>EDI</v>
          </cell>
          <cell r="L899">
            <v>4358</v>
          </cell>
          <cell r="N899" t="str">
            <v>Mapping</v>
          </cell>
          <cell r="O899" t="str">
            <v>No</v>
          </cell>
          <cell r="Q899" t="str">
            <v>Cancelled</v>
          </cell>
          <cell r="R899">
            <v>46010.808437500003</v>
          </cell>
          <cell r="S899" t="str">
            <v>Noha Moustafa</v>
          </cell>
          <cell r="T899">
            <v>46026</v>
          </cell>
          <cell r="U899" t="str">
            <v>Melanie Rhine</v>
          </cell>
          <cell r="Y899">
            <v>46019</v>
          </cell>
        </row>
        <row r="900">
          <cell r="I900" t="str">
            <v>EDI</v>
          </cell>
          <cell r="L900">
            <v>4341</v>
          </cell>
          <cell r="N900" t="str">
            <v>Production</v>
          </cell>
          <cell r="O900" t="str">
            <v>No</v>
          </cell>
          <cell r="Q900" t="str">
            <v>Live</v>
          </cell>
          <cell r="R900">
            <v>46010.807650462957</v>
          </cell>
          <cell r="S900" t="str">
            <v>Zeyad Khaled</v>
          </cell>
          <cell r="T900">
            <v>46048</v>
          </cell>
          <cell r="U900" t="str">
            <v>Gregory Dubec</v>
          </cell>
          <cell r="V900">
            <v>46058</v>
          </cell>
          <cell r="W900">
            <v>46091</v>
          </cell>
          <cell r="Y900">
            <v>46048</v>
          </cell>
          <cell r="AC900">
            <v>46084</v>
          </cell>
        </row>
        <row r="901">
          <cell r="I901" t="str">
            <v>EDI</v>
          </cell>
          <cell r="L901">
            <v>4345</v>
          </cell>
          <cell r="N901" t="str">
            <v>Production</v>
          </cell>
          <cell r="O901" t="str">
            <v>No</v>
          </cell>
          <cell r="Q901" t="str">
            <v>Live</v>
          </cell>
          <cell r="R901">
            <v>46010.790324074071</v>
          </cell>
          <cell r="S901" t="str">
            <v>Omnia Abdelaziz</v>
          </cell>
          <cell r="T901">
            <v>46020</v>
          </cell>
          <cell r="U901" t="str">
            <v>Melanie Rhine</v>
          </cell>
          <cell r="V901">
            <v>46050</v>
          </cell>
          <cell r="W901">
            <v>46058</v>
          </cell>
          <cell r="Y901">
            <v>46019</v>
          </cell>
          <cell r="AC901">
            <v>46056</v>
          </cell>
        </row>
        <row r="902">
          <cell r="I902" t="str">
            <v>EDI</v>
          </cell>
          <cell r="L902">
            <v>4344</v>
          </cell>
          <cell r="N902" t="str">
            <v>Production</v>
          </cell>
          <cell r="O902" t="str">
            <v>No</v>
          </cell>
          <cell r="Q902" t="str">
            <v>Live</v>
          </cell>
          <cell r="R902">
            <v>46010.790312500001</v>
          </cell>
          <cell r="S902" t="str">
            <v>Omnia Abdelaziz</v>
          </cell>
          <cell r="T902">
            <v>46020</v>
          </cell>
          <cell r="U902" t="str">
            <v>Melanie Rhine</v>
          </cell>
          <cell r="V902">
            <v>46044</v>
          </cell>
          <cell r="W902">
            <v>46056</v>
          </cell>
          <cell r="Y902">
            <v>46019</v>
          </cell>
          <cell r="AC902">
            <v>46050</v>
          </cell>
        </row>
        <row r="903">
          <cell r="I903" t="str">
            <v>EDI</v>
          </cell>
          <cell r="N903" t="str">
            <v>Pending Start</v>
          </cell>
          <cell r="O903" t="str">
            <v>No</v>
          </cell>
          <cell r="Q903" t="str">
            <v>Cancelled</v>
          </cell>
          <cell r="R903">
            <v>46010.781585648147</v>
          </cell>
          <cell r="U903" t="str">
            <v>Melanie Rhine</v>
          </cell>
        </row>
        <row r="904">
          <cell r="I904" t="str">
            <v>EDI</v>
          </cell>
          <cell r="N904" t="str">
            <v>Pending Start</v>
          </cell>
          <cell r="O904" t="str">
            <v>No</v>
          </cell>
          <cell r="Q904" t="str">
            <v>Cancelled</v>
          </cell>
          <cell r="R904">
            <v>46010.781574074077</v>
          </cell>
          <cell r="U904" t="str">
            <v>Melanie Rhine</v>
          </cell>
        </row>
        <row r="905">
          <cell r="I905" t="str">
            <v>EDI</v>
          </cell>
          <cell r="L905">
            <v>4350</v>
          </cell>
          <cell r="N905" t="str">
            <v>Production</v>
          </cell>
          <cell r="O905" t="str">
            <v>No</v>
          </cell>
          <cell r="Q905" t="str">
            <v>Live</v>
          </cell>
          <cell r="R905">
            <v>46010.7815625</v>
          </cell>
          <cell r="S905" t="str">
            <v>Josephine Ossama</v>
          </cell>
          <cell r="T905">
            <v>46026</v>
          </cell>
          <cell r="U905" t="str">
            <v>Melanie Rhine</v>
          </cell>
          <cell r="V905">
            <v>46030</v>
          </cell>
          <cell r="W905">
            <v>46083</v>
          </cell>
          <cell r="Y905">
            <v>46022</v>
          </cell>
          <cell r="AC905">
            <v>46078</v>
          </cell>
        </row>
        <row r="906">
          <cell r="I906" t="str">
            <v>EDI</v>
          </cell>
          <cell r="N906" t="str">
            <v>Requirements Gathering</v>
          </cell>
          <cell r="O906" t="str">
            <v>No</v>
          </cell>
          <cell r="Q906" t="str">
            <v>Cancelled</v>
          </cell>
          <cell r="R906">
            <v>46010.768009259264</v>
          </cell>
          <cell r="S906" t="str">
            <v>Rasha Wadie</v>
          </cell>
          <cell r="T906">
            <v>46013</v>
          </cell>
          <cell r="U906" t="str">
            <v>Melanie Rhine</v>
          </cell>
        </row>
        <row r="907">
          <cell r="I907" t="str">
            <v>EDI</v>
          </cell>
          <cell r="N907" t="str">
            <v>Requirements Gathering</v>
          </cell>
          <cell r="O907" t="str">
            <v>No</v>
          </cell>
          <cell r="Q907" t="str">
            <v>Cancelled</v>
          </cell>
          <cell r="R907">
            <v>46010.767997685187</v>
          </cell>
          <cell r="S907" t="str">
            <v>Rasha Wadie</v>
          </cell>
          <cell r="T907">
            <v>46013</v>
          </cell>
          <cell r="U907" t="str">
            <v>Melanie Rhine</v>
          </cell>
        </row>
        <row r="908">
          <cell r="I908" t="str">
            <v>EDI</v>
          </cell>
          <cell r="L908">
            <v>4351</v>
          </cell>
          <cell r="N908" t="str">
            <v>Production</v>
          </cell>
          <cell r="O908" t="str">
            <v>No</v>
          </cell>
          <cell r="Q908" t="str">
            <v>Live</v>
          </cell>
          <cell r="R908">
            <v>46010.727187500001</v>
          </cell>
          <cell r="S908" t="str">
            <v>Mark Albert</v>
          </cell>
          <cell r="T908">
            <v>46026</v>
          </cell>
          <cell r="U908" t="str">
            <v>Melanie Rhine</v>
          </cell>
          <cell r="W908">
            <v>46042</v>
          </cell>
          <cell r="Y908">
            <v>46022</v>
          </cell>
          <cell r="AC908">
            <v>46044</v>
          </cell>
        </row>
        <row r="909">
          <cell r="I909" t="str">
            <v>EDI</v>
          </cell>
          <cell r="L909">
            <v>4370</v>
          </cell>
          <cell r="N909" t="str">
            <v>Production</v>
          </cell>
          <cell r="O909" t="str">
            <v>No</v>
          </cell>
          <cell r="Q909" t="str">
            <v>Live</v>
          </cell>
          <cell r="R909">
            <v>46010.727175925917</v>
          </cell>
          <cell r="S909" t="str">
            <v>Mina Kamil</v>
          </cell>
          <cell r="T909">
            <v>46020</v>
          </cell>
          <cell r="U909" t="str">
            <v>Melanie Rhine</v>
          </cell>
          <cell r="W909">
            <v>46056</v>
          </cell>
          <cell r="Y909">
            <v>46019</v>
          </cell>
          <cell r="AC909">
            <v>46055</v>
          </cell>
        </row>
        <row r="910">
          <cell r="I910" t="str">
            <v>EDI</v>
          </cell>
          <cell r="L910">
            <v>4354</v>
          </cell>
          <cell r="N910" t="str">
            <v>Production</v>
          </cell>
          <cell r="O910" t="str">
            <v>No</v>
          </cell>
          <cell r="Q910" t="str">
            <v>Live</v>
          </cell>
          <cell r="R910">
            <v>46010.601701388892</v>
          </cell>
          <cell r="S910" t="str">
            <v>Ahmed Ali</v>
          </cell>
          <cell r="T910">
            <v>46026</v>
          </cell>
          <cell r="U910" t="str">
            <v>Rhettsmey Meak</v>
          </cell>
          <cell r="V910">
            <v>46065</v>
          </cell>
          <cell r="W910">
            <v>46191</v>
          </cell>
          <cell r="Y910">
            <v>46021</v>
          </cell>
          <cell r="AC910">
            <v>46190</v>
          </cell>
        </row>
        <row r="911">
          <cell r="I911" t="str">
            <v>EDI</v>
          </cell>
          <cell r="L911">
            <v>4353</v>
          </cell>
          <cell r="N911" t="str">
            <v>Production</v>
          </cell>
          <cell r="O911" t="str">
            <v>No</v>
          </cell>
          <cell r="Q911" t="str">
            <v>Live</v>
          </cell>
          <cell r="R911">
            <v>46010.60050925926</v>
          </cell>
          <cell r="S911" t="str">
            <v>Ahmed Ali</v>
          </cell>
          <cell r="T911">
            <v>46026</v>
          </cell>
          <cell r="U911" t="str">
            <v>Rhettsmey Meak</v>
          </cell>
          <cell r="V911">
            <v>25569</v>
          </cell>
          <cell r="W911">
            <v>46066</v>
          </cell>
          <cell r="Y911">
            <v>46022</v>
          </cell>
          <cell r="AC911">
            <v>46065</v>
          </cell>
        </row>
        <row r="912">
          <cell r="I912" t="str">
            <v>EDI</v>
          </cell>
          <cell r="L912">
            <v>4332</v>
          </cell>
          <cell r="N912" t="str">
            <v>Production</v>
          </cell>
          <cell r="O912" t="str">
            <v>No</v>
          </cell>
          <cell r="Q912" t="str">
            <v>Live</v>
          </cell>
          <cell r="R912">
            <v>46009.93953703704</v>
          </cell>
          <cell r="S912" t="str">
            <v>Reem Radwan</v>
          </cell>
          <cell r="T912">
            <v>46014</v>
          </cell>
          <cell r="U912" t="str">
            <v>Peter Abdelmalek</v>
          </cell>
          <cell r="V912">
            <v>46034</v>
          </cell>
          <cell r="W912">
            <v>46062</v>
          </cell>
          <cell r="Y912">
            <v>46012</v>
          </cell>
          <cell r="AC912">
            <v>46061</v>
          </cell>
        </row>
        <row r="913">
          <cell r="I913" t="str">
            <v>EDI</v>
          </cell>
          <cell r="L913">
            <v>4333</v>
          </cell>
          <cell r="N913" t="str">
            <v>Production</v>
          </cell>
          <cell r="O913" t="str">
            <v>No</v>
          </cell>
          <cell r="Q913" t="str">
            <v>Live</v>
          </cell>
          <cell r="R913">
            <v>46009.939513888887</v>
          </cell>
          <cell r="S913" t="str">
            <v>Reem Radwan</v>
          </cell>
          <cell r="T913">
            <v>46014</v>
          </cell>
          <cell r="U913" t="str">
            <v>Peter Abdelmalek</v>
          </cell>
          <cell r="V913">
            <v>46033</v>
          </cell>
          <cell r="W913">
            <v>46072</v>
          </cell>
          <cell r="Y913">
            <v>46012</v>
          </cell>
          <cell r="AC913">
            <v>46068</v>
          </cell>
        </row>
        <row r="914">
          <cell r="I914" t="str">
            <v>EDI</v>
          </cell>
          <cell r="L914">
            <v>4308</v>
          </cell>
          <cell r="N914" t="str">
            <v>Production</v>
          </cell>
          <cell r="O914" t="str">
            <v>No</v>
          </cell>
          <cell r="Q914" t="str">
            <v>Live</v>
          </cell>
          <cell r="R914">
            <v>46009.911909722221</v>
          </cell>
          <cell r="S914" t="str">
            <v>Karim Tarek</v>
          </cell>
          <cell r="T914">
            <v>46012</v>
          </cell>
          <cell r="U914" t="str">
            <v>Peter Abdelmalek</v>
          </cell>
          <cell r="W914">
            <v>46013</v>
          </cell>
          <cell r="AC914">
            <v>46012</v>
          </cell>
        </row>
        <row r="915">
          <cell r="I915" t="str">
            <v>EDI</v>
          </cell>
          <cell r="L915">
            <v>4307</v>
          </cell>
          <cell r="N915" t="str">
            <v>Production</v>
          </cell>
          <cell r="O915" t="str">
            <v>No</v>
          </cell>
          <cell r="Q915" t="str">
            <v>Live</v>
          </cell>
          <cell r="R915">
            <v>46009.911909722221</v>
          </cell>
          <cell r="S915" t="str">
            <v>Karim Tarek</v>
          </cell>
          <cell r="T915">
            <v>46012</v>
          </cell>
          <cell r="U915" t="str">
            <v>Peter Abdelmalek</v>
          </cell>
          <cell r="W915">
            <v>46013</v>
          </cell>
          <cell r="AC915">
            <v>46012</v>
          </cell>
        </row>
        <row r="916">
          <cell r="I916" t="str">
            <v>EDI</v>
          </cell>
          <cell r="L916">
            <v>4367</v>
          </cell>
          <cell r="N916" t="str">
            <v>Production</v>
          </cell>
          <cell r="O916" t="str">
            <v>No</v>
          </cell>
          <cell r="Q916" t="str">
            <v>Live</v>
          </cell>
          <cell r="R916">
            <v>46009.886435185188</v>
          </cell>
          <cell r="S916" t="str">
            <v>Marwan Tawfik</v>
          </cell>
          <cell r="T916">
            <v>46033</v>
          </cell>
          <cell r="U916" t="str">
            <v>Trish Kalinczok</v>
          </cell>
          <cell r="V916">
            <v>46048</v>
          </cell>
          <cell r="W916">
            <v>46083</v>
          </cell>
          <cell r="Y916">
            <v>46031</v>
          </cell>
          <cell r="AC916">
            <v>46079</v>
          </cell>
        </row>
        <row r="917">
          <cell r="I917" t="str">
            <v>EDI</v>
          </cell>
          <cell r="L917">
            <v>4382</v>
          </cell>
          <cell r="N917" t="str">
            <v>Production</v>
          </cell>
          <cell r="O917" t="str">
            <v>No</v>
          </cell>
          <cell r="Q917" t="str">
            <v>Live</v>
          </cell>
          <cell r="R917">
            <v>46009.864872685182</v>
          </cell>
          <cell r="S917" t="str">
            <v>Andrew Ramy</v>
          </cell>
          <cell r="T917">
            <v>46033</v>
          </cell>
          <cell r="U917" t="str">
            <v>Lonnie Celestin</v>
          </cell>
          <cell r="V917">
            <v>46036</v>
          </cell>
          <cell r="W917">
            <v>46043</v>
          </cell>
          <cell r="Y917">
            <v>46031</v>
          </cell>
          <cell r="AC917">
            <v>46040</v>
          </cell>
        </row>
        <row r="918">
          <cell r="I918" t="str">
            <v>EDI</v>
          </cell>
          <cell r="L918">
            <v>4403</v>
          </cell>
          <cell r="N918" t="str">
            <v>Production</v>
          </cell>
          <cell r="O918" t="str">
            <v>No</v>
          </cell>
          <cell r="Q918" t="str">
            <v>Live</v>
          </cell>
          <cell r="R918">
            <v>46009.77715277778</v>
          </cell>
          <cell r="S918" t="str">
            <v>Aya Fathy</v>
          </cell>
          <cell r="T918">
            <v>46040</v>
          </cell>
          <cell r="U918" t="str">
            <v>Tammy Davies</v>
          </cell>
          <cell r="V918">
            <v>46042</v>
          </cell>
          <cell r="W918">
            <v>46058</v>
          </cell>
          <cell r="Y918">
            <v>46037</v>
          </cell>
          <cell r="AC918">
            <v>46056</v>
          </cell>
        </row>
        <row r="919">
          <cell r="I919" t="str">
            <v>EDI</v>
          </cell>
          <cell r="L919">
            <v>4450</v>
          </cell>
          <cell r="N919" t="str">
            <v>Production</v>
          </cell>
          <cell r="O919" t="str">
            <v>No</v>
          </cell>
          <cell r="Q919" t="str">
            <v>Live</v>
          </cell>
          <cell r="R919">
            <v>46008.91134259259</v>
          </cell>
          <cell r="S919" t="str">
            <v>Aya Fathy</v>
          </cell>
          <cell r="T919">
            <v>46048</v>
          </cell>
          <cell r="U919" t="str">
            <v>Robbie Schappell</v>
          </cell>
          <cell r="V919">
            <v>46063</v>
          </cell>
          <cell r="W919">
            <v>46071</v>
          </cell>
          <cell r="Y919">
            <v>46047</v>
          </cell>
          <cell r="AC919">
            <v>46070</v>
          </cell>
        </row>
        <row r="920">
          <cell r="I920" t="str">
            <v>EDI</v>
          </cell>
          <cell r="L920">
            <v>4671</v>
          </cell>
          <cell r="N920" t="str">
            <v>Production</v>
          </cell>
          <cell r="O920" t="str">
            <v>No</v>
          </cell>
          <cell r="Q920" t="str">
            <v>Live</v>
          </cell>
          <cell r="R920">
            <v>46008.91134259259</v>
          </cell>
          <cell r="S920" t="str">
            <v>Mirna Azmy</v>
          </cell>
          <cell r="T920">
            <v>46099</v>
          </cell>
          <cell r="U920" t="str">
            <v>Robbie Schappell</v>
          </cell>
          <cell r="V920">
            <v>46111</v>
          </cell>
          <cell r="W920">
            <v>46135</v>
          </cell>
          <cell r="Y920">
            <v>46097</v>
          </cell>
          <cell r="AC920">
            <v>46134</v>
          </cell>
        </row>
        <row r="921">
          <cell r="I921" t="str">
            <v>EDI</v>
          </cell>
          <cell r="L921">
            <v>4474</v>
          </cell>
          <cell r="N921" t="str">
            <v>Production</v>
          </cell>
          <cell r="O921" t="str">
            <v>No</v>
          </cell>
          <cell r="Q921" t="str">
            <v>Live</v>
          </cell>
          <cell r="R921">
            <v>46008.91133101852</v>
          </cell>
          <cell r="S921" t="str">
            <v>Aya Fathy</v>
          </cell>
          <cell r="T921">
            <v>46048</v>
          </cell>
          <cell r="U921" t="str">
            <v>Robbie Schappell</v>
          </cell>
          <cell r="V921">
            <v>46079</v>
          </cell>
          <cell r="W921">
            <v>46141</v>
          </cell>
          <cell r="Y921">
            <v>46047</v>
          </cell>
          <cell r="AC921">
            <v>46135</v>
          </cell>
        </row>
        <row r="922">
          <cell r="I922" t="str">
            <v>EDI</v>
          </cell>
          <cell r="L922">
            <v>4513</v>
          </cell>
          <cell r="N922" t="str">
            <v>Production</v>
          </cell>
          <cell r="O922" t="str">
            <v>No</v>
          </cell>
          <cell r="Q922" t="str">
            <v>Live</v>
          </cell>
          <cell r="R922">
            <v>46008.911319444444</v>
          </cell>
          <cell r="S922" t="str">
            <v>Aya Fathy</v>
          </cell>
          <cell r="T922">
            <v>46062</v>
          </cell>
          <cell r="U922" t="str">
            <v>Robbie Schappell</v>
          </cell>
          <cell r="V922">
            <v>46072</v>
          </cell>
          <cell r="W922">
            <v>46176</v>
          </cell>
          <cell r="Y922">
            <v>46057</v>
          </cell>
          <cell r="AC922">
            <v>46174</v>
          </cell>
        </row>
        <row r="923">
          <cell r="I923" t="str">
            <v>EDI</v>
          </cell>
          <cell r="L923">
            <v>4779</v>
          </cell>
          <cell r="N923" t="str">
            <v>Production</v>
          </cell>
          <cell r="O923" t="str">
            <v>No</v>
          </cell>
          <cell r="Q923" t="str">
            <v>Live</v>
          </cell>
          <cell r="R923">
            <v>46008.726203703707</v>
          </cell>
          <cell r="S923" t="str">
            <v>Andrew Ramy</v>
          </cell>
          <cell r="T923">
            <v>46132</v>
          </cell>
          <cell r="U923" t="str">
            <v>Trish Kalinczok</v>
          </cell>
          <cell r="V923">
            <v>46139</v>
          </cell>
          <cell r="W923">
            <v>46162</v>
          </cell>
          <cell r="Y923">
            <v>46129</v>
          </cell>
          <cell r="AC923">
            <v>46159</v>
          </cell>
        </row>
        <row r="924">
          <cell r="I924" t="str">
            <v>EDI</v>
          </cell>
          <cell r="L924">
            <v>4404</v>
          </cell>
          <cell r="N924" t="str">
            <v>Production</v>
          </cell>
          <cell r="O924" t="str">
            <v>No</v>
          </cell>
          <cell r="Q924" t="str">
            <v>Live</v>
          </cell>
          <cell r="R924">
            <v>46008.726203703707</v>
          </cell>
          <cell r="S924" t="str">
            <v>Aya Fathy</v>
          </cell>
          <cell r="T924">
            <v>46040</v>
          </cell>
          <cell r="U924" t="str">
            <v>Trish Kalinczok</v>
          </cell>
          <cell r="V924">
            <v>46044</v>
          </cell>
          <cell r="W924">
            <v>46099</v>
          </cell>
          <cell r="Y924">
            <v>46036</v>
          </cell>
          <cell r="AC924">
            <v>46092</v>
          </cell>
        </row>
        <row r="925">
          <cell r="I925" t="str">
            <v>EDI</v>
          </cell>
          <cell r="L925">
            <v>4372</v>
          </cell>
          <cell r="N925" t="str">
            <v>Production</v>
          </cell>
          <cell r="O925" t="str">
            <v>No</v>
          </cell>
          <cell r="Q925" t="str">
            <v>Live</v>
          </cell>
          <cell r="R925">
            <v>46008.619571759264</v>
          </cell>
          <cell r="S925" t="str">
            <v>Noha Moustafa</v>
          </cell>
          <cell r="T925">
            <v>46033</v>
          </cell>
          <cell r="U925" t="str">
            <v>Peter Abdelmalek</v>
          </cell>
          <cell r="V925">
            <v>46068</v>
          </cell>
          <cell r="W925">
            <v>46111</v>
          </cell>
          <cell r="Y925">
            <v>46030</v>
          </cell>
          <cell r="AC925">
            <v>46110</v>
          </cell>
        </row>
        <row r="926">
          <cell r="I926" t="str">
            <v>EDI</v>
          </cell>
          <cell r="N926" t="str">
            <v>Requirements Gathering</v>
          </cell>
          <cell r="O926" t="str">
            <v>No</v>
          </cell>
          <cell r="Q926" t="str">
            <v>Cancelled</v>
          </cell>
          <cell r="R926">
            <v>46007.956423611111</v>
          </cell>
          <cell r="S926" t="str">
            <v>Sandra Adel</v>
          </cell>
          <cell r="T926">
            <v>46026</v>
          </cell>
          <cell r="U926" t="str">
            <v>Melissa Beck</v>
          </cell>
        </row>
        <row r="927">
          <cell r="I927" t="str">
            <v>EDI</v>
          </cell>
          <cell r="L927">
            <v>4379</v>
          </cell>
          <cell r="N927" t="str">
            <v>Testing</v>
          </cell>
          <cell r="O927" t="str">
            <v>No</v>
          </cell>
          <cell r="Q927" t="str">
            <v>In Progress</v>
          </cell>
          <cell r="R927">
            <v>46007.956412037027</v>
          </cell>
          <cell r="S927" t="str">
            <v>Marwan Tawfik</v>
          </cell>
          <cell r="T927">
            <v>46049</v>
          </cell>
          <cell r="U927" t="str">
            <v>Melissa Beck</v>
          </cell>
          <cell r="V927">
            <v>46097</v>
          </cell>
          <cell r="Y927">
            <v>46030</v>
          </cell>
        </row>
        <row r="928">
          <cell r="I928" t="str">
            <v>EDI</v>
          </cell>
          <cell r="L928">
            <v>4320</v>
          </cell>
          <cell r="N928" t="str">
            <v>Production</v>
          </cell>
          <cell r="O928" t="str">
            <v>No</v>
          </cell>
          <cell r="Q928" t="str">
            <v>Live</v>
          </cell>
          <cell r="R928">
            <v>46007.913726851853</v>
          </cell>
          <cell r="S928" t="str">
            <v>Mark Albert</v>
          </cell>
          <cell r="T928">
            <v>46014</v>
          </cell>
          <cell r="U928" t="str">
            <v>Gregory Dubec</v>
          </cell>
          <cell r="V928">
            <v>46131</v>
          </cell>
          <cell r="W928">
            <v>46058</v>
          </cell>
          <cell r="Y928">
            <v>46009</v>
          </cell>
          <cell r="AC928">
            <v>46054</v>
          </cell>
        </row>
        <row r="929">
          <cell r="I929" t="str">
            <v>EDI</v>
          </cell>
          <cell r="L929">
            <v>4296</v>
          </cell>
          <cell r="N929" t="str">
            <v>Production</v>
          </cell>
          <cell r="O929" t="str">
            <v>No</v>
          </cell>
          <cell r="Q929" t="str">
            <v>Live</v>
          </cell>
          <cell r="R929">
            <v>46007.837905092587</v>
          </cell>
          <cell r="S929" t="str">
            <v>Marwan Tawfik</v>
          </cell>
          <cell r="T929">
            <v>46026</v>
          </cell>
          <cell r="U929" t="str">
            <v>Brooke Marshall</v>
          </cell>
          <cell r="V929">
            <v>46044</v>
          </cell>
          <cell r="W929">
            <v>46112</v>
          </cell>
          <cell r="Y929">
            <v>46022</v>
          </cell>
          <cell r="AC929">
            <v>46105</v>
          </cell>
        </row>
        <row r="930">
          <cell r="I930" t="str">
            <v>EDI</v>
          </cell>
          <cell r="N930" t="str">
            <v>Pending Start</v>
          </cell>
          <cell r="O930" t="str">
            <v>No</v>
          </cell>
          <cell r="Q930" t="str">
            <v>Cancelled</v>
          </cell>
          <cell r="R930">
            <v>46007.772303240738</v>
          </cell>
          <cell r="U930" t="str">
            <v>Brooke Marshall</v>
          </cell>
        </row>
        <row r="931">
          <cell r="I931" t="str">
            <v>EDI</v>
          </cell>
          <cell r="L931">
            <v>4384</v>
          </cell>
          <cell r="N931" t="str">
            <v>Production</v>
          </cell>
          <cell r="O931" t="str">
            <v>No</v>
          </cell>
          <cell r="Q931" t="str">
            <v>Live</v>
          </cell>
          <cell r="R931">
            <v>46007.742442129631</v>
          </cell>
          <cell r="S931" t="str">
            <v>Dina Medhat</v>
          </cell>
          <cell r="T931">
            <v>46008</v>
          </cell>
          <cell r="U931" t="str">
            <v>Kayla Szczepanski</v>
          </cell>
          <cell r="V931">
            <v>46058</v>
          </cell>
          <cell r="W931">
            <v>46090</v>
          </cell>
          <cell r="AC931">
            <v>46090</v>
          </cell>
        </row>
        <row r="932">
          <cell r="I932" t="str">
            <v>EDI</v>
          </cell>
          <cell r="N932" t="str">
            <v>Requirements Gathering</v>
          </cell>
          <cell r="O932" t="str">
            <v>No</v>
          </cell>
          <cell r="Q932" t="str">
            <v>In Progress</v>
          </cell>
          <cell r="R932">
            <v>46007.737974537027</v>
          </cell>
          <cell r="S932" t="str">
            <v>Dina Medhat</v>
          </cell>
          <cell r="T932">
            <v>46008</v>
          </cell>
          <cell r="U932" t="str">
            <v>Kayla Szczepanski</v>
          </cell>
          <cell r="Y932">
            <v>46008</v>
          </cell>
        </row>
        <row r="933">
          <cell r="I933" t="str">
            <v>EDI</v>
          </cell>
          <cell r="L933">
            <v>4384</v>
          </cell>
          <cell r="N933" t="str">
            <v>Production</v>
          </cell>
          <cell r="O933" t="str">
            <v>No</v>
          </cell>
          <cell r="Q933" t="str">
            <v>Live</v>
          </cell>
          <cell r="R933">
            <v>46006.932314814818</v>
          </cell>
          <cell r="S933" t="str">
            <v>Omnia Abdelaziz</v>
          </cell>
          <cell r="T933">
            <v>46033</v>
          </cell>
          <cell r="U933" t="str">
            <v>Kayla Szczepanski</v>
          </cell>
          <cell r="V933">
            <v>46058</v>
          </cell>
          <cell r="W933">
            <v>46090</v>
          </cell>
          <cell r="Y933">
            <v>46030</v>
          </cell>
          <cell r="AC933">
            <v>46090</v>
          </cell>
        </row>
        <row r="934">
          <cell r="I934" t="str">
            <v>EDI</v>
          </cell>
          <cell r="L934">
            <v>4376</v>
          </cell>
          <cell r="N934" t="str">
            <v>Production</v>
          </cell>
          <cell r="O934" t="str">
            <v>No</v>
          </cell>
          <cell r="Q934" t="str">
            <v>Live</v>
          </cell>
          <cell r="R934">
            <v>46006.770405092589</v>
          </cell>
          <cell r="S934" t="str">
            <v>Zeyad Khaled</v>
          </cell>
          <cell r="T934">
            <v>46033</v>
          </cell>
          <cell r="U934" t="str">
            <v>Rhettsmey Meak</v>
          </cell>
          <cell r="V934">
            <v>46056</v>
          </cell>
          <cell r="W934">
            <v>46065</v>
          </cell>
          <cell r="Y934">
            <v>46030</v>
          </cell>
          <cell r="AC934">
            <v>46065</v>
          </cell>
        </row>
        <row r="935">
          <cell r="I935" t="str">
            <v>EDI</v>
          </cell>
          <cell r="L935">
            <v>4327</v>
          </cell>
          <cell r="N935" t="str">
            <v>Production</v>
          </cell>
          <cell r="O935" t="str">
            <v>No</v>
          </cell>
          <cell r="Q935" t="str">
            <v>Live</v>
          </cell>
          <cell r="R935">
            <v>46006.638321759259</v>
          </cell>
          <cell r="S935" t="str">
            <v>Ahmed Ali</v>
          </cell>
          <cell r="T935">
            <v>46014</v>
          </cell>
          <cell r="U935" t="str">
            <v>Gregory Dubec</v>
          </cell>
          <cell r="V935">
            <v>46098</v>
          </cell>
          <cell r="W935">
            <v>46156</v>
          </cell>
          <cell r="Y935">
            <v>46013</v>
          </cell>
          <cell r="AC935">
            <v>46149</v>
          </cell>
        </row>
        <row r="936">
          <cell r="I936" t="str">
            <v>EDI</v>
          </cell>
          <cell r="L936">
            <v>4330</v>
          </cell>
          <cell r="N936" t="str">
            <v>Production</v>
          </cell>
          <cell r="O936" t="str">
            <v>No</v>
          </cell>
          <cell r="Q936" t="str">
            <v>Live</v>
          </cell>
          <cell r="R936">
            <v>46004.722685185188</v>
          </cell>
          <cell r="S936" t="str">
            <v>Alaa Yehia</v>
          </cell>
          <cell r="T936">
            <v>46008</v>
          </cell>
          <cell r="U936" t="str">
            <v>Trish Kalinczok</v>
          </cell>
          <cell r="V936">
            <v>46028</v>
          </cell>
          <cell r="W936">
            <v>46064</v>
          </cell>
          <cell r="AC936">
            <v>46064</v>
          </cell>
        </row>
        <row r="937">
          <cell r="I937" t="str">
            <v>EDI</v>
          </cell>
          <cell r="L937">
            <v>4329</v>
          </cell>
          <cell r="N937" t="str">
            <v>Production</v>
          </cell>
          <cell r="O937" t="str">
            <v>No</v>
          </cell>
          <cell r="Q937" t="str">
            <v>Live</v>
          </cell>
          <cell r="R937">
            <v>46004.722662037027</v>
          </cell>
          <cell r="S937" t="str">
            <v>Alaa Yehia</v>
          </cell>
          <cell r="T937">
            <v>46008</v>
          </cell>
          <cell r="U937" t="str">
            <v>Trish Kalinczok</v>
          </cell>
          <cell r="V937">
            <v>46028</v>
          </cell>
          <cell r="W937">
            <v>46064</v>
          </cell>
          <cell r="AC937">
            <v>46064</v>
          </cell>
        </row>
        <row r="938">
          <cell r="I938" t="str">
            <v>EDI</v>
          </cell>
          <cell r="L938">
            <v>4328</v>
          </cell>
          <cell r="N938" t="str">
            <v>Production</v>
          </cell>
          <cell r="O938" t="str">
            <v>No</v>
          </cell>
          <cell r="Q938" t="str">
            <v>Live</v>
          </cell>
          <cell r="R938">
            <v>46004.722650462973</v>
          </cell>
          <cell r="S938" t="str">
            <v>Alaa Yehia</v>
          </cell>
          <cell r="T938">
            <v>46008</v>
          </cell>
          <cell r="U938" t="str">
            <v>Trish Kalinczok</v>
          </cell>
          <cell r="V938">
            <v>46028</v>
          </cell>
          <cell r="W938">
            <v>46064</v>
          </cell>
          <cell r="AC938">
            <v>46064</v>
          </cell>
        </row>
        <row r="939">
          <cell r="I939" t="str">
            <v>EDI</v>
          </cell>
          <cell r="L939">
            <v>4325</v>
          </cell>
          <cell r="N939" t="str">
            <v>Production</v>
          </cell>
          <cell r="O939" t="str">
            <v>No</v>
          </cell>
          <cell r="Q939" t="str">
            <v>Live</v>
          </cell>
          <cell r="R939">
            <v>46004.722638888888</v>
          </cell>
          <cell r="S939" t="str">
            <v>Alaa Yehia</v>
          </cell>
          <cell r="T939">
            <v>46008</v>
          </cell>
          <cell r="U939" t="str">
            <v>Trish Kalinczok</v>
          </cell>
          <cell r="V939">
            <v>46028</v>
          </cell>
          <cell r="W939">
            <v>46064</v>
          </cell>
          <cell r="AC939">
            <v>46064</v>
          </cell>
        </row>
        <row r="940">
          <cell r="I940" t="str">
            <v>EDI</v>
          </cell>
          <cell r="L940">
            <v>4323</v>
          </cell>
          <cell r="N940" t="str">
            <v>Production</v>
          </cell>
          <cell r="O940" t="str">
            <v>No</v>
          </cell>
          <cell r="Q940" t="str">
            <v>Live</v>
          </cell>
          <cell r="R940">
            <v>46004.722627314812</v>
          </cell>
          <cell r="S940" t="str">
            <v>Alaa Yehia</v>
          </cell>
          <cell r="T940">
            <v>46008</v>
          </cell>
          <cell r="U940" t="str">
            <v>Trish Kalinczok</v>
          </cell>
          <cell r="V940">
            <v>46028</v>
          </cell>
          <cell r="W940">
            <v>46064</v>
          </cell>
          <cell r="AC940">
            <v>46064</v>
          </cell>
        </row>
        <row r="941">
          <cell r="I941" t="str">
            <v>EDI</v>
          </cell>
          <cell r="L941">
            <v>4314</v>
          </cell>
          <cell r="N941" t="str">
            <v>Production</v>
          </cell>
          <cell r="O941" t="str">
            <v>No</v>
          </cell>
          <cell r="Q941" t="str">
            <v>Live</v>
          </cell>
          <cell r="R941">
            <v>46004.722615740742</v>
          </cell>
          <cell r="S941" t="str">
            <v>Alaa Yehia</v>
          </cell>
          <cell r="T941">
            <v>46008</v>
          </cell>
          <cell r="U941" t="str">
            <v>Trish Kalinczok</v>
          </cell>
          <cell r="V941">
            <v>46028</v>
          </cell>
          <cell r="W941">
            <v>46064</v>
          </cell>
          <cell r="AC941">
            <v>46064</v>
          </cell>
        </row>
        <row r="942">
          <cell r="I942" t="str">
            <v>EDI</v>
          </cell>
          <cell r="L942">
            <v>4311</v>
          </cell>
          <cell r="N942" t="str">
            <v>Production</v>
          </cell>
          <cell r="O942" t="str">
            <v>No</v>
          </cell>
          <cell r="Q942" t="str">
            <v>Live</v>
          </cell>
          <cell r="R942">
            <v>46004.722592592603</v>
          </cell>
          <cell r="S942" t="str">
            <v>Alaa Yehia</v>
          </cell>
          <cell r="T942">
            <v>46008</v>
          </cell>
          <cell r="U942" t="str">
            <v>Trish Kalinczok</v>
          </cell>
          <cell r="V942">
            <v>46028</v>
          </cell>
          <cell r="W942">
            <v>46064</v>
          </cell>
          <cell r="AC942">
            <v>46064</v>
          </cell>
        </row>
        <row r="943">
          <cell r="I943" t="str">
            <v>EDI</v>
          </cell>
          <cell r="L943">
            <v>4310</v>
          </cell>
          <cell r="N943" t="str">
            <v>Production</v>
          </cell>
          <cell r="O943" t="str">
            <v>No</v>
          </cell>
          <cell r="Q943" t="str">
            <v>Live</v>
          </cell>
          <cell r="R943">
            <v>46004.722581018519</v>
          </cell>
          <cell r="S943" t="str">
            <v>Alaa Yehia</v>
          </cell>
          <cell r="T943">
            <v>46008</v>
          </cell>
          <cell r="U943" t="str">
            <v>Trish Kalinczok</v>
          </cell>
          <cell r="V943">
            <v>46028</v>
          </cell>
          <cell r="W943">
            <v>46064</v>
          </cell>
          <cell r="AC943">
            <v>46064</v>
          </cell>
        </row>
        <row r="944">
          <cell r="I944" t="str">
            <v>EDI</v>
          </cell>
          <cell r="L944">
            <v>4306</v>
          </cell>
          <cell r="N944" t="str">
            <v>Production</v>
          </cell>
          <cell r="O944" t="str">
            <v>No</v>
          </cell>
          <cell r="Q944" t="str">
            <v>Live</v>
          </cell>
          <cell r="R944">
            <v>46004.722569444442</v>
          </cell>
          <cell r="S944" t="str">
            <v>Alaa Yehia</v>
          </cell>
          <cell r="T944">
            <v>46008</v>
          </cell>
          <cell r="U944" t="str">
            <v>Trish Kalinczok</v>
          </cell>
          <cell r="V944">
            <v>46028</v>
          </cell>
          <cell r="W944">
            <v>46065</v>
          </cell>
          <cell r="AC944">
            <v>46064</v>
          </cell>
        </row>
        <row r="945">
          <cell r="I945" t="str">
            <v>EDI</v>
          </cell>
          <cell r="L945">
            <v>4517</v>
          </cell>
          <cell r="N945" t="str">
            <v>Production</v>
          </cell>
          <cell r="O945" t="str">
            <v>No</v>
          </cell>
          <cell r="Q945" t="str">
            <v>Live</v>
          </cell>
          <cell r="R945">
            <v>46003.884548611109</v>
          </cell>
          <cell r="S945" t="str">
            <v>Omnia Abdelaziz</v>
          </cell>
          <cell r="T945">
            <v>46062</v>
          </cell>
          <cell r="U945" t="str">
            <v>Gregory Dubec</v>
          </cell>
          <cell r="V945">
            <v>46076</v>
          </cell>
          <cell r="W945">
            <v>46099</v>
          </cell>
          <cell r="Y945">
            <v>46061</v>
          </cell>
          <cell r="AC945">
            <v>46097</v>
          </cell>
        </row>
        <row r="946">
          <cell r="I946" t="str">
            <v>EDI</v>
          </cell>
          <cell r="L946">
            <v>4369</v>
          </cell>
          <cell r="N946" t="str">
            <v>Production</v>
          </cell>
          <cell r="O946" t="str">
            <v>No</v>
          </cell>
          <cell r="Q946" t="str">
            <v>Live</v>
          </cell>
          <cell r="R946">
            <v>46003.823703703703</v>
          </cell>
          <cell r="S946" t="str">
            <v>Zeyad Khaled</v>
          </cell>
          <cell r="T946">
            <v>46049</v>
          </cell>
          <cell r="U946" t="str">
            <v>Tammy Davies</v>
          </cell>
          <cell r="W946">
            <v>46057</v>
          </cell>
          <cell r="Y946">
            <v>46013</v>
          </cell>
          <cell r="AC946">
            <v>46051</v>
          </cell>
        </row>
        <row r="947">
          <cell r="I947" t="str">
            <v>EDI</v>
          </cell>
          <cell r="L947">
            <v>4347</v>
          </cell>
          <cell r="N947" t="str">
            <v>Production</v>
          </cell>
          <cell r="O947" t="str">
            <v>No</v>
          </cell>
          <cell r="Q947" t="str">
            <v>Live</v>
          </cell>
          <cell r="R947">
            <v>46003.792569444442</v>
          </cell>
          <cell r="S947" t="str">
            <v>Reem Radwan</v>
          </cell>
          <cell r="T947">
            <v>46020</v>
          </cell>
          <cell r="U947" t="str">
            <v>Rhettsmey Meak</v>
          </cell>
          <cell r="V947">
            <v>46051</v>
          </cell>
          <cell r="W947">
            <v>46106</v>
          </cell>
          <cell r="Y947">
            <v>46020</v>
          </cell>
          <cell r="AC947">
            <v>46106</v>
          </cell>
        </row>
        <row r="948">
          <cell r="I948" t="str">
            <v>EDI</v>
          </cell>
          <cell r="L948">
            <v>4324</v>
          </cell>
          <cell r="N948" t="str">
            <v>Production</v>
          </cell>
          <cell r="O948" t="str">
            <v>No</v>
          </cell>
          <cell r="Q948" t="str">
            <v>Live</v>
          </cell>
          <cell r="R948">
            <v>46003.762777777767</v>
          </cell>
          <cell r="S948" t="str">
            <v>Andrew Ramy</v>
          </cell>
          <cell r="T948">
            <v>46008</v>
          </cell>
          <cell r="U948" t="str">
            <v>Peter Abdelmalek</v>
          </cell>
          <cell r="V948">
            <v>46044</v>
          </cell>
          <cell r="W948">
            <v>46135</v>
          </cell>
          <cell r="Y948">
            <v>46006</v>
          </cell>
          <cell r="AC948">
            <v>46134</v>
          </cell>
        </row>
        <row r="949">
          <cell r="I949" t="str">
            <v>EDI</v>
          </cell>
          <cell r="L949">
            <v>4322</v>
          </cell>
          <cell r="N949" t="str">
            <v>Production</v>
          </cell>
          <cell r="O949" t="str">
            <v>No</v>
          </cell>
          <cell r="Q949" t="str">
            <v>Live</v>
          </cell>
          <cell r="R949">
            <v>46003.762766203698</v>
          </cell>
          <cell r="S949" t="str">
            <v>Andrew Ramy</v>
          </cell>
          <cell r="T949">
            <v>46008</v>
          </cell>
          <cell r="U949" t="str">
            <v>Peter Abdelmalek</v>
          </cell>
          <cell r="V949">
            <v>46055</v>
          </cell>
          <cell r="W949">
            <v>46140</v>
          </cell>
          <cell r="Y949">
            <v>46006</v>
          </cell>
          <cell r="AC949">
            <v>46134</v>
          </cell>
        </row>
        <row r="950">
          <cell r="I950" t="str">
            <v>EDI</v>
          </cell>
          <cell r="L950">
            <v>4313</v>
          </cell>
          <cell r="N950" t="str">
            <v>Production</v>
          </cell>
          <cell r="O950" t="str">
            <v>No</v>
          </cell>
          <cell r="Q950" t="str">
            <v>Live</v>
          </cell>
          <cell r="R950">
            <v>46003.670729166668</v>
          </cell>
          <cell r="S950" t="str">
            <v>Mark Albert</v>
          </cell>
          <cell r="T950">
            <v>46008</v>
          </cell>
          <cell r="U950" t="str">
            <v>Benjamin Labowitz</v>
          </cell>
          <cell r="V950">
            <v>46019</v>
          </cell>
          <cell r="W950">
            <v>46031</v>
          </cell>
          <cell r="Y950">
            <v>46006</v>
          </cell>
          <cell r="AC950">
            <v>46030</v>
          </cell>
        </row>
        <row r="951">
          <cell r="I951" t="str">
            <v>EDI</v>
          </cell>
          <cell r="L951">
            <v>4299</v>
          </cell>
          <cell r="N951" t="str">
            <v>Production</v>
          </cell>
          <cell r="O951" t="str">
            <v>No</v>
          </cell>
          <cell r="Q951" t="str">
            <v>Live</v>
          </cell>
          <cell r="R951">
            <v>46003.667175925933</v>
          </cell>
          <cell r="S951" t="str">
            <v>Josephine Ossama</v>
          </cell>
          <cell r="T951">
            <v>46008</v>
          </cell>
          <cell r="U951" t="str">
            <v>Gregory Dubec</v>
          </cell>
          <cell r="V951">
            <v>46037</v>
          </cell>
          <cell r="W951">
            <v>46050</v>
          </cell>
          <cell r="Y951">
            <v>46007</v>
          </cell>
          <cell r="AC951">
            <v>46044</v>
          </cell>
        </row>
        <row r="952">
          <cell r="I952" t="str">
            <v>EDI</v>
          </cell>
          <cell r="L952">
            <v>4506</v>
          </cell>
          <cell r="N952" t="str">
            <v>Production</v>
          </cell>
          <cell r="O952" t="str">
            <v>No</v>
          </cell>
          <cell r="Q952" t="str">
            <v>Live</v>
          </cell>
          <cell r="R952">
            <v>46002.884942129633</v>
          </cell>
          <cell r="S952" t="str">
            <v>Noha Moustafa</v>
          </cell>
          <cell r="T952">
            <v>46062</v>
          </cell>
          <cell r="U952" t="str">
            <v>Peter Abdelmalek</v>
          </cell>
          <cell r="V952">
            <v>46070</v>
          </cell>
          <cell r="W952">
            <v>25569</v>
          </cell>
          <cell r="Y952">
            <v>46061</v>
          </cell>
          <cell r="AC952">
            <v>46093</v>
          </cell>
        </row>
        <row r="953">
          <cell r="I953" t="str">
            <v>EDI</v>
          </cell>
          <cell r="L953">
            <v>4312</v>
          </cell>
          <cell r="N953" t="str">
            <v>Production</v>
          </cell>
          <cell r="O953" t="str">
            <v>No</v>
          </cell>
          <cell r="Q953" t="str">
            <v>Live</v>
          </cell>
          <cell r="R953">
            <v>46002.884918981479</v>
          </cell>
          <cell r="S953" t="str">
            <v>Mark Albert</v>
          </cell>
          <cell r="T953">
            <v>46006</v>
          </cell>
          <cell r="U953" t="str">
            <v>Peter Abdelmalek</v>
          </cell>
          <cell r="W953">
            <v>46045</v>
          </cell>
          <cell r="Y953">
            <v>46006</v>
          </cell>
          <cell r="AC953">
            <v>46040</v>
          </cell>
        </row>
        <row r="954">
          <cell r="I954" t="str">
            <v>EDI</v>
          </cell>
          <cell r="L954">
            <v>4819</v>
          </cell>
          <cell r="N954" t="str">
            <v>Testing</v>
          </cell>
          <cell r="O954" t="str">
            <v>No</v>
          </cell>
          <cell r="Q954" t="str">
            <v>In Progress</v>
          </cell>
          <cell r="R954">
            <v>46002.782638888893</v>
          </cell>
          <cell r="S954" t="str">
            <v>Omnia Abdelaziz</v>
          </cell>
          <cell r="T954">
            <v>46138</v>
          </cell>
          <cell r="U954" t="str">
            <v>Rhettsmey Meak</v>
          </cell>
          <cell r="V954">
            <v>46163</v>
          </cell>
          <cell r="Y954">
            <v>46134</v>
          </cell>
        </row>
        <row r="955">
          <cell r="I955" t="str">
            <v>EDI</v>
          </cell>
          <cell r="L955">
            <v>4337</v>
          </cell>
          <cell r="N955" t="str">
            <v>Production</v>
          </cell>
          <cell r="O955" t="str">
            <v>No</v>
          </cell>
          <cell r="Q955" t="str">
            <v>Live</v>
          </cell>
          <cell r="R955">
            <v>46002.591099537043</v>
          </cell>
          <cell r="S955" t="str">
            <v>Zeyad Khaled</v>
          </cell>
          <cell r="T955">
            <v>46020</v>
          </cell>
          <cell r="U955" t="str">
            <v>Robbie Schappell</v>
          </cell>
          <cell r="V955">
            <v>25569</v>
          </cell>
          <cell r="W955">
            <v>46063</v>
          </cell>
          <cell r="Y955">
            <v>46019</v>
          </cell>
          <cell r="AC955">
            <v>46062</v>
          </cell>
        </row>
        <row r="956">
          <cell r="I956" t="str">
            <v>EDI</v>
          </cell>
          <cell r="L956">
            <v>4315</v>
          </cell>
          <cell r="N956" t="str">
            <v>Production</v>
          </cell>
          <cell r="O956" t="str">
            <v>No</v>
          </cell>
          <cell r="Q956" t="str">
            <v>Live</v>
          </cell>
          <cell r="R956">
            <v>46001.960023148153</v>
          </cell>
          <cell r="S956" t="str">
            <v>Marwan Tawfik</v>
          </cell>
          <cell r="T956">
            <v>46008</v>
          </cell>
          <cell r="U956" t="str">
            <v>Robbie Schappell</v>
          </cell>
          <cell r="V956">
            <v>46049</v>
          </cell>
          <cell r="W956">
            <v>46091</v>
          </cell>
          <cell r="Y956">
            <v>46006</v>
          </cell>
          <cell r="AC956">
            <v>46091</v>
          </cell>
        </row>
        <row r="957">
          <cell r="I957" t="str">
            <v>EDI</v>
          </cell>
          <cell r="L957">
            <v>4564</v>
          </cell>
          <cell r="N957" t="str">
            <v>Production</v>
          </cell>
          <cell r="O957" t="str">
            <v>No</v>
          </cell>
          <cell r="Q957" t="str">
            <v>Live</v>
          </cell>
          <cell r="R957">
            <v>46001.917858796303</v>
          </cell>
          <cell r="S957" t="str">
            <v>Aya Fathy</v>
          </cell>
          <cell r="T957">
            <v>46070</v>
          </cell>
          <cell r="U957" t="str">
            <v>Melanie Rhine</v>
          </cell>
          <cell r="V957">
            <v>46076</v>
          </cell>
          <cell r="W957">
            <v>46118</v>
          </cell>
          <cell r="AC957">
            <v>46118</v>
          </cell>
        </row>
        <row r="958">
          <cell r="I958" t="str">
            <v>EDI</v>
          </cell>
          <cell r="L958">
            <v>4570</v>
          </cell>
          <cell r="N958" t="str">
            <v>Production</v>
          </cell>
          <cell r="O958" t="str">
            <v>No</v>
          </cell>
          <cell r="Q958" t="str">
            <v>Live</v>
          </cell>
          <cell r="R958">
            <v>46001.917858796303</v>
          </cell>
          <cell r="S958" t="str">
            <v>Aya Fathy</v>
          </cell>
          <cell r="T958">
            <v>46070</v>
          </cell>
          <cell r="U958" t="str">
            <v>Melanie Rhine</v>
          </cell>
          <cell r="V958">
            <v>46082</v>
          </cell>
          <cell r="W958">
            <v>46118</v>
          </cell>
          <cell r="AC958">
            <v>46118</v>
          </cell>
        </row>
        <row r="959">
          <cell r="I959" t="str">
            <v>EDI</v>
          </cell>
          <cell r="L959">
            <v>4511</v>
          </cell>
          <cell r="N959" t="str">
            <v>Production</v>
          </cell>
          <cell r="O959" t="str">
            <v>No</v>
          </cell>
          <cell r="Q959" t="str">
            <v>Live</v>
          </cell>
          <cell r="R959">
            <v>46001.917847222219</v>
          </cell>
          <cell r="S959" t="str">
            <v>Karen Ramy</v>
          </cell>
          <cell r="T959">
            <v>46075</v>
          </cell>
          <cell r="U959" t="str">
            <v>Melanie Rhine</v>
          </cell>
          <cell r="V959">
            <v>46096</v>
          </cell>
          <cell r="W959">
            <v>46153</v>
          </cell>
          <cell r="Y959">
            <v>46071</v>
          </cell>
          <cell r="AC959">
            <v>46146</v>
          </cell>
        </row>
        <row r="960">
          <cell r="I960" t="str">
            <v>EDI</v>
          </cell>
          <cell r="L960">
            <v>4499</v>
          </cell>
          <cell r="N960" t="str">
            <v>Production</v>
          </cell>
          <cell r="O960" t="str">
            <v>No</v>
          </cell>
          <cell r="Q960" t="str">
            <v>Live</v>
          </cell>
          <cell r="R960">
            <v>46001.91783564815</v>
          </cell>
          <cell r="S960" t="str">
            <v>Karen Ramy</v>
          </cell>
          <cell r="T960">
            <v>46075</v>
          </cell>
          <cell r="U960" t="str">
            <v>Melanie Rhine</v>
          </cell>
          <cell r="V960">
            <v>46093</v>
          </cell>
          <cell r="W960">
            <v>46196</v>
          </cell>
          <cell r="Y960">
            <v>46070</v>
          </cell>
          <cell r="AC960">
            <v>46194</v>
          </cell>
        </row>
        <row r="961">
          <cell r="I961" t="str">
            <v>EDI</v>
          </cell>
          <cell r="L961">
            <v>4359</v>
          </cell>
          <cell r="N961" t="str">
            <v>Production</v>
          </cell>
          <cell r="O961" t="str">
            <v>No</v>
          </cell>
          <cell r="Q961" t="str">
            <v>Live</v>
          </cell>
          <cell r="R961">
            <v>46001.891550925917</v>
          </cell>
          <cell r="S961" t="str">
            <v>Reem Radwan</v>
          </cell>
          <cell r="T961">
            <v>46028</v>
          </cell>
          <cell r="U961" t="str">
            <v>Peter Abdelmalek</v>
          </cell>
          <cell r="V961">
            <v>25569</v>
          </cell>
          <cell r="W961">
            <v>46070</v>
          </cell>
          <cell r="Y961">
            <v>46027</v>
          </cell>
          <cell r="AC961">
            <v>46068</v>
          </cell>
        </row>
        <row r="962">
          <cell r="I962" t="str">
            <v>EDI</v>
          </cell>
          <cell r="L962">
            <v>4294</v>
          </cell>
          <cell r="N962" t="str">
            <v>Production</v>
          </cell>
          <cell r="O962" t="str">
            <v>No</v>
          </cell>
          <cell r="Q962" t="str">
            <v>Live</v>
          </cell>
          <cell r="R962">
            <v>46001.863749999997</v>
          </cell>
          <cell r="S962" t="str">
            <v>Josephine Ossama</v>
          </cell>
          <cell r="T962">
            <v>46008</v>
          </cell>
          <cell r="U962" t="str">
            <v>Trish Kalinczok</v>
          </cell>
          <cell r="V962">
            <v>46042</v>
          </cell>
          <cell r="W962">
            <v>46048</v>
          </cell>
          <cell r="Y962">
            <v>46007</v>
          </cell>
          <cell r="AC962">
            <v>46044</v>
          </cell>
        </row>
        <row r="963">
          <cell r="I963" t="str">
            <v>EDI</v>
          </cell>
          <cell r="L963">
            <v>4281</v>
          </cell>
          <cell r="N963" t="str">
            <v>Testing</v>
          </cell>
          <cell r="O963" t="str">
            <v>No</v>
          </cell>
          <cell r="Q963" t="str">
            <v>Cancelled</v>
          </cell>
          <cell r="R963">
            <v>46001.634247685193</v>
          </cell>
          <cell r="S963" t="str">
            <v>Karim Tarek</v>
          </cell>
          <cell r="T963">
            <v>46001</v>
          </cell>
          <cell r="U963" t="str">
            <v>Trish Kalinczok</v>
          </cell>
          <cell r="V963">
            <v>46002</v>
          </cell>
        </row>
        <row r="964">
          <cell r="I964" t="str">
            <v>EDI</v>
          </cell>
          <cell r="L964">
            <v>4340</v>
          </cell>
          <cell r="N964" t="str">
            <v>Production</v>
          </cell>
          <cell r="O964" t="str">
            <v>No</v>
          </cell>
          <cell r="Q964" t="str">
            <v>Live</v>
          </cell>
          <cell r="R964">
            <v>46000.691967592589</v>
          </cell>
          <cell r="S964" t="str">
            <v>Marwan Tawfik</v>
          </cell>
          <cell r="T964">
            <v>46014</v>
          </cell>
          <cell r="U964" t="str">
            <v>Peter Abdelmalek</v>
          </cell>
          <cell r="V964">
            <v>46036</v>
          </cell>
          <cell r="W964">
            <v>46063</v>
          </cell>
          <cell r="Y964">
            <v>46013</v>
          </cell>
          <cell r="AC964">
            <v>46062</v>
          </cell>
        </row>
        <row r="965">
          <cell r="I965" t="str">
            <v>EDI</v>
          </cell>
          <cell r="L965">
            <v>4544</v>
          </cell>
          <cell r="N965" t="str">
            <v>Production</v>
          </cell>
          <cell r="O965" t="str">
            <v>No</v>
          </cell>
          <cell r="Q965" t="str">
            <v>Live</v>
          </cell>
          <cell r="R965">
            <v>46000.619641203702</v>
          </cell>
          <cell r="S965" t="str">
            <v>Josephine Ossama</v>
          </cell>
          <cell r="T965">
            <v>46068</v>
          </cell>
          <cell r="U965" t="str">
            <v>Gregory Dubec</v>
          </cell>
          <cell r="V965">
            <v>46083</v>
          </cell>
          <cell r="W965">
            <v>46161</v>
          </cell>
          <cell r="Y965">
            <v>46065</v>
          </cell>
          <cell r="AC965">
            <v>46154</v>
          </cell>
        </row>
        <row r="966">
          <cell r="I966" t="str">
            <v>EDI</v>
          </cell>
          <cell r="L966">
            <v>4293</v>
          </cell>
          <cell r="N966" t="str">
            <v>Production</v>
          </cell>
          <cell r="O966" t="str">
            <v>No</v>
          </cell>
          <cell r="Q966" t="str">
            <v>Live</v>
          </cell>
          <cell r="R966">
            <v>45999.973020833328</v>
          </cell>
          <cell r="S966" t="str">
            <v>Ahmed Ali</v>
          </cell>
          <cell r="T966">
            <v>46008</v>
          </cell>
          <cell r="U966" t="str">
            <v>Amy Bergstrom</v>
          </cell>
          <cell r="V966">
            <v>46040</v>
          </cell>
          <cell r="W966">
            <v>46099</v>
          </cell>
          <cell r="Y966">
            <v>46007</v>
          </cell>
          <cell r="AC966">
            <v>46098</v>
          </cell>
        </row>
        <row r="967">
          <cell r="I967" t="str">
            <v>EDI</v>
          </cell>
          <cell r="L967">
            <v>4298</v>
          </cell>
          <cell r="N967" t="str">
            <v>Production</v>
          </cell>
          <cell r="O967" t="str">
            <v>No</v>
          </cell>
          <cell r="Q967" t="str">
            <v>Live</v>
          </cell>
          <cell r="R967">
            <v>45999.900347222218</v>
          </cell>
          <cell r="S967" t="str">
            <v>Dina Medhat</v>
          </cell>
          <cell r="T967">
            <v>46000</v>
          </cell>
          <cell r="U967" t="str">
            <v>Hans De Grouw</v>
          </cell>
          <cell r="V967">
            <v>46033</v>
          </cell>
          <cell r="W967">
            <v>46105</v>
          </cell>
          <cell r="AC967">
            <v>46105</v>
          </cell>
        </row>
        <row r="968">
          <cell r="I968" t="str">
            <v>EDI</v>
          </cell>
          <cell r="L968">
            <v>4298</v>
          </cell>
          <cell r="N968" t="str">
            <v>Production</v>
          </cell>
          <cell r="O968" t="str">
            <v>No</v>
          </cell>
          <cell r="Q968" t="str">
            <v>Live</v>
          </cell>
          <cell r="R968">
            <v>45999.895960648151</v>
          </cell>
          <cell r="S968" t="str">
            <v>Dina Medhat</v>
          </cell>
          <cell r="T968">
            <v>46000</v>
          </cell>
          <cell r="U968" t="str">
            <v>Hans De Grouw</v>
          </cell>
          <cell r="V968">
            <v>46033</v>
          </cell>
          <cell r="W968">
            <v>46105</v>
          </cell>
          <cell r="AC968">
            <v>46105</v>
          </cell>
        </row>
        <row r="969">
          <cell r="I969" t="str">
            <v>EDI</v>
          </cell>
          <cell r="L969">
            <v>4298</v>
          </cell>
          <cell r="N969" t="str">
            <v>Production</v>
          </cell>
          <cell r="O969" t="str">
            <v>No</v>
          </cell>
          <cell r="Q969" t="str">
            <v>Live</v>
          </cell>
          <cell r="R969">
            <v>45999.893553240741</v>
          </cell>
          <cell r="S969" t="str">
            <v>Karen Ramy</v>
          </cell>
          <cell r="T969">
            <v>46008</v>
          </cell>
          <cell r="U969" t="str">
            <v>Lindsay Hudacik</v>
          </cell>
          <cell r="V969">
            <v>46033</v>
          </cell>
          <cell r="W969">
            <v>46105</v>
          </cell>
          <cell r="Y969">
            <v>46007</v>
          </cell>
          <cell r="AC969">
            <v>46105</v>
          </cell>
        </row>
        <row r="970">
          <cell r="I970" t="str">
            <v>EDI</v>
          </cell>
          <cell r="L970">
            <v>4297</v>
          </cell>
          <cell r="N970" t="str">
            <v>Production</v>
          </cell>
          <cell r="O970" t="str">
            <v>No</v>
          </cell>
          <cell r="Q970" t="str">
            <v>Live</v>
          </cell>
          <cell r="R970">
            <v>45999.874861111108</v>
          </cell>
          <cell r="S970" t="str">
            <v>Karen Ramy</v>
          </cell>
          <cell r="T970">
            <v>46008</v>
          </cell>
          <cell r="U970" t="str">
            <v>Gregory Dubec</v>
          </cell>
          <cell r="V970">
            <v>46057</v>
          </cell>
          <cell r="W970">
            <v>46198</v>
          </cell>
          <cell r="Y970">
            <v>46007</v>
          </cell>
          <cell r="AC970">
            <v>46198</v>
          </cell>
        </row>
        <row r="971">
          <cell r="I971" t="str">
            <v>EDI</v>
          </cell>
          <cell r="L971">
            <v>4289</v>
          </cell>
          <cell r="N971" t="str">
            <v>Production</v>
          </cell>
          <cell r="O971" t="str">
            <v>No</v>
          </cell>
          <cell r="Q971" t="str">
            <v>Live</v>
          </cell>
          <cell r="R971">
            <v>45999.820219907408</v>
          </cell>
          <cell r="S971" t="str">
            <v>Ahmed Ali</v>
          </cell>
          <cell r="T971">
            <v>46006</v>
          </cell>
          <cell r="U971" t="str">
            <v>Gregory Dubec</v>
          </cell>
          <cell r="V971">
            <v>46035</v>
          </cell>
          <cell r="W971">
            <v>46063</v>
          </cell>
          <cell r="Y971">
            <v>46005</v>
          </cell>
          <cell r="AC971">
            <v>46058</v>
          </cell>
        </row>
        <row r="972">
          <cell r="I972" t="str">
            <v>EDI</v>
          </cell>
          <cell r="L972">
            <v>4356</v>
          </cell>
          <cell r="N972" t="str">
            <v>Testing</v>
          </cell>
          <cell r="O972" t="str">
            <v>No</v>
          </cell>
          <cell r="Q972" t="str">
            <v>Cancelled</v>
          </cell>
          <cell r="R972">
            <v>45999.716574074067</v>
          </cell>
          <cell r="S972" t="str">
            <v>Zeyad Khaled</v>
          </cell>
          <cell r="T972">
            <v>46026</v>
          </cell>
          <cell r="U972" t="str">
            <v>Gregory Dubec</v>
          </cell>
          <cell r="V972">
            <v>46035</v>
          </cell>
          <cell r="Y972">
            <v>46022</v>
          </cell>
        </row>
        <row r="973">
          <cell r="I973" t="str">
            <v>EDI</v>
          </cell>
          <cell r="L973">
            <v>4339</v>
          </cell>
          <cell r="N973" t="str">
            <v>Mapping</v>
          </cell>
          <cell r="O973" t="str">
            <v>No</v>
          </cell>
          <cell r="Q973" t="str">
            <v>Cancelled</v>
          </cell>
          <cell r="R973">
            <v>45999.716574074067</v>
          </cell>
          <cell r="S973" t="str">
            <v>Noha Moustafa</v>
          </cell>
          <cell r="T973">
            <v>46020</v>
          </cell>
          <cell r="U973" t="str">
            <v>Gregory Dubec</v>
          </cell>
          <cell r="Y973">
            <v>46019</v>
          </cell>
        </row>
        <row r="974">
          <cell r="I974" t="str">
            <v>EDI</v>
          </cell>
          <cell r="L974">
            <v>4388</v>
          </cell>
          <cell r="N974" t="str">
            <v>Dataset Validation</v>
          </cell>
          <cell r="O974" t="str">
            <v>No</v>
          </cell>
          <cell r="Q974" t="str">
            <v>Cancelled</v>
          </cell>
          <cell r="R974">
            <v>45999.716562499998</v>
          </cell>
          <cell r="S974" t="str">
            <v>Marwan Tawfik</v>
          </cell>
          <cell r="T974">
            <v>46036</v>
          </cell>
          <cell r="U974" t="str">
            <v>Gregory Dubec</v>
          </cell>
          <cell r="Y974">
            <v>46035</v>
          </cell>
        </row>
        <row r="975">
          <cell r="I975" t="str">
            <v>EDI</v>
          </cell>
          <cell r="L975">
            <v>4326</v>
          </cell>
          <cell r="N975" t="str">
            <v>Production</v>
          </cell>
          <cell r="O975" t="str">
            <v>No</v>
          </cell>
          <cell r="Q975" t="str">
            <v>Live</v>
          </cell>
          <cell r="R975">
            <v>45996.780439814807</v>
          </cell>
          <cell r="S975" t="str">
            <v>Noha Moustafa</v>
          </cell>
          <cell r="T975">
            <v>46006</v>
          </cell>
          <cell r="U975" t="str">
            <v>Tammy Davies</v>
          </cell>
          <cell r="V975">
            <v>46034</v>
          </cell>
          <cell r="W975">
            <v>46044</v>
          </cell>
          <cell r="Y975">
            <v>46005</v>
          </cell>
          <cell r="AC975">
            <v>46042</v>
          </cell>
        </row>
        <row r="976">
          <cell r="I976" t="str">
            <v>EDI</v>
          </cell>
          <cell r="L976">
            <v>4386</v>
          </cell>
          <cell r="N976" t="str">
            <v>Production</v>
          </cell>
          <cell r="O976" t="str">
            <v>No</v>
          </cell>
          <cell r="Q976" t="str">
            <v>Live</v>
          </cell>
          <cell r="R976">
            <v>45996.780428240738</v>
          </cell>
          <cell r="S976" t="str">
            <v>Marwan Tawfik</v>
          </cell>
          <cell r="T976">
            <v>46006</v>
          </cell>
          <cell r="U976" t="str">
            <v>Tammy Davies</v>
          </cell>
          <cell r="V976">
            <v>46069</v>
          </cell>
          <cell r="W976">
            <v>46209</v>
          </cell>
          <cell r="Y976">
            <v>46005</v>
          </cell>
          <cell r="AC976">
            <v>46208</v>
          </cell>
        </row>
        <row r="977">
          <cell r="I977" t="str">
            <v>EDI</v>
          </cell>
          <cell r="L977">
            <v>4285</v>
          </cell>
          <cell r="N977" t="str">
            <v>Production</v>
          </cell>
          <cell r="O977" t="str">
            <v>No</v>
          </cell>
          <cell r="Q977" t="str">
            <v>Live</v>
          </cell>
          <cell r="R977">
            <v>45996.757187499999</v>
          </cell>
          <cell r="S977" t="str">
            <v>Reem Radwan</v>
          </cell>
          <cell r="T977">
            <v>46005</v>
          </cell>
          <cell r="U977" t="str">
            <v>Trish Kalinczok</v>
          </cell>
          <cell r="V977">
            <v>46037</v>
          </cell>
          <cell r="W977">
            <v>46071</v>
          </cell>
          <cell r="Y977">
            <v>46002</v>
          </cell>
          <cell r="AC977">
            <v>46071</v>
          </cell>
        </row>
        <row r="978">
          <cell r="I978" t="str">
            <v>EDI</v>
          </cell>
          <cell r="L978">
            <v>4269</v>
          </cell>
          <cell r="N978" t="str">
            <v>Production</v>
          </cell>
          <cell r="O978" t="str">
            <v>No</v>
          </cell>
          <cell r="Q978" t="str">
            <v>Live</v>
          </cell>
          <cell r="R978">
            <v>45996.747731481482</v>
          </cell>
          <cell r="S978" t="str">
            <v>Marwan Tawfik</v>
          </cell>
          <cell r="T978">
            <v>45998</v>
          </cell>
          <cell r="U978" t="str">
            <v>Peter Abdelmalek</v>
          </cell>
          <cell r="V978">
            <v>46028</v>
          </cell>
          <cell r="W978">
            <v>46139</v>
          </cell>
          <cell r="Y978">
            <v>45998</v>
          </cell>
          <cell r="AC978">
            <v>46135</v>
          </cell>
        </row>
        <row r="979">
          <cell r="I979" t="str">
            <v>EDI</v>
          </cell>
          <cell r="N979" t="str">
            <v>Requirements Gathering</v>
          </cell>
          <cell r="O979" t="str">
            <v>No</v>
          </cell>
          <cell r="Q979" t="str">
            <v>Cancelled</v>
          </cell>
          <cell r="R979">
            <v>45996.718611111108</v>
          </cell>
          <cell r="S979" t="str">
            <v>Karim Tarek</v>
          </cell>
          <cell r="T979">
            <v>46033</v>
          </cell>
          <cell r="U979" t="str">
            <v>Melodie Coles</v>
          </cell>
        </row>
        <row r="980">
          <cell r="I980" t="str">
            <v>EDI</v>
          </cell>
          <cell r="L980">
            <v>4362</v>
          </cell>
          <cell r="N980" t="str">
            <v>Production</v>
          </cell>
          <cell r="O980" t="str">
            <v>No</v>
          </cell>
          <cell r="Q980" t="str">
            <v>Live</v>
          </cell>
          <cell r="R980">
            <v>45996.629814814813</v>
          </cell>
          <cell r="S980" t="str">
            <v>Ahmed Ali</v>
          </cell>
          <cell r="T980">
            <v>46028</v>
          </cell>
          <cell r="U980" t="str">
            <v>Trish Kalinczok</v>
          </cell>
          <cell r="V980">
            <v>46035</v>
          </cell>
          <cell r="W980">
            <v>46090</v>
          </cell>
          <cell r="Y980">
            <v>46027</v>
          </cell>
          <cell r="AC980">
            <v>46090</v>
          </cell>
        </row>
        <row r="981">
          <cell r="I981" t="str">
            <v>EDI</v>
          </cell>
          <cell r="L981">
            <v>4520</v>
          </cell>
          <cell r="N981" t="str">
            <v>Production</v>
          </cell>
          <cell r="O981" t="str">
            <v>No</v>
          </cell>
          <cell r="Q981" t="str">
            <v>Live</v>
          </cell>
          <cell r="R981">
            <v>45996.629803240743</v>
          </cell>
          <cell r="S981" t="str">
            <v>Ahmed Ali</v>
          </cell>
          <cell r="T981">
            <v>46057</v>
          </cell>
          <cell r="U981" t="str">
            <v>Trish Kalinczok</v>
          </cell>
          <cell r="V981">
            <v>46077</v>
          </cell>
          <cell r="W981">
            <v>25569</v>
          </cell>
          <cell r="Y981">
            <v>46055</v>
          </cell>
          <cell r="AC981">
            <v>46097</v>
          </cell>
        </row>
        <row r="982">
          <cell r="I982" t="str">
            <v>EDI</v>
          </cell>
          <cell r="L982">
            <v>4284</v>
          </cell>
          <cell r="N982" t="str">
            <v>Production</v>
          </cell>
          <cell r="O982" t="str">
            <v>No</v>
          </cell>
          <cell r="Q982" t="str">
            <v>Live</v>
          </cell>
          <cell r="R982">
            <v>45996.62363425926</v>
          </cell>
          <cell r="S982" t="str">
            <v>Zeyad Khaled</v>
          </cell>
          <cell r="T982">
            <v>46000</v>
          </cell>
          <cell r="U982" t="str">
            <v>Trish Kalinczok</v>
          </cell>
          <cell r="V982">
            <v>46016</v>
          </cell>
          <cell r="W982">
            <v>46041</v>
          </cell>
          <cell r="Y982">
            <v>45999</v>
          </cell>
          <cell r="AC982">
            <v>46037</v>
          </cell>
        </row>
        <row r="983">
          <cell r="I983" t="str">
            <v>EDI</v>
          </cell>
          <cell r="L983">
            <v>4290</v>
          </cell>
          <cell r="N983" t="str">
            <v>Production</v>
          </cell>
          <cell r="O983" t="str">
            <v>No</v>
          </cell>
          <cell r="Q983" t="str">
            <v>Live</v>
          </cell>
          <cell r="R983">
            <v>45996.600717592592</v>
          </cell>
          <cell r="S983" t="str">
            <v>Josephine Ossama</v>
          </cell>
          <cell r="T983">
            <v>46006</v>
          </cell>
          <cell r="U983" t="str">
            <v>Trish Kalinczok</v>
          </cell>
          <cell r="V983">
            <v>46013</v>
          </cell>
          <cell r="W983">
            <v>46027</v>
          </cell>
          <cell r="Y983">
            <v>46005</v>
          </cell>
          <cell r="AC983">
            <v>46020</v>
          </cell>
        </row>
        <row r="984">
          <cell r="I984" t="str">
            <v>EDI</v>
          </cell>
          <cell r="L984">
            <v>4346</v>
          </cell>
          <cell r="N984" t="str">
            <v>Production</v>
          </cell>
          <cell r="O984" t="str">
            <v>No</v>
          </cell>
          <cell r="Q984" t="str">
            <v>Live</v>
          </cell>
          <cell r="R984">
            <v>45996.597071759257</v>
          </cell>
          <cell r="S984" t="str">
            <v>Andrew Ramy</v>
          </cell>
          <cell r="T984">
            <v>46014</v>
          </cell>
          <cell r="U984" t="str">
            <v>Lonnie Celestin</v>
          </cell>
          <cell r="V984">
            <v>46033</v>
          </cell>
          <cell r="W984">
            <v>46044</v>
          </cell>
          <cell r="Y984">
            <v>46013</v>
          </cell>
          <cell r="AC984">
            <v>46043</v>
          </cell>
        </row>
        <row r="985">
          <cell r="I985" t="str">
            <v>EDI</v>
          </cell>
          <cell r="L985">
            <v>4305</v>
          </cell>
          <cell r="N985" t="str">
            <v>Production</v>
          </cell>
          <cell r="O985" t="str">
            <v>No</v>
          </cell>
          <cell r="Q985" t="str">
            <v>Live</v>
          </cell>
          <cell r="R985">
            <v>45995.936157407406</v>
          </cell>
          <cell r="S985" t="str">
            <v>Alaa Yehia</v>
          </cell>
          <cell r="T985">
            <v>46008</v>
          </cell>
          <cell r="U985" t="str">
            <v>Trish Kalinczok</v>
          </cell>
          <cell r="V985">
            <v>46056</v>
          </cell>
          <cell r="W985">
            <v>46064</v>
          </cell>
          <cell r="Y985">
            <v>46005</v>
          </cell>
          <cell r="AC985">
            <v>46064</v>
          </cell>
        </row>
        <row r="986">
          <cell r="I986" t="str">
            <v>EDI</v>
          </cell>
          <cell r="L986">
            <v>4316</v>
          </cell>
          <cell r="N986" t="str">
            <v>Production</v>
          </cell>
          <cell r="O986" t="str">
            <v>No</v>
          </cell>
          <cell r="Q986" t="str">
            <v>Live</v>
          </cell>
          <cell r="R986">
            <v>45995.936145833337</v>
          </cell>
          <cell r="S986" t="str">
            <v>Karen Ramy</v>
          </cell>
          <cell r="T986">
            <v>46014</v>
          </cell>
          <cell r="U986" t="str">
            <v>Trish Kalinczok</v>
          </cell>
          <cell r="V986">
            <v>46052</v>
          </cell>
          <cell r="W986">
            <v>46099</v>
          </cell>
          <cell r="Y986">
            <v>46013</v>
          </cell>
          <cell r="AC986">
            <v>46092</v>
          </cell>
        </row>
        <row r="987">
          <cell r="I987" t="str">
            <v>EDI</v>
          </cell>
          <cell r="L987">
            <v>4318</v>
          </cell>
          <cell r="N987" t="str">
            <v>Production</v>
          </cell>
          <cell r="O987" t="str">
            <v>No</v>
          </cell>
          <cell r="Q987" t="str">
            <v>Live</v>
          </cell>
          <cell r="R987">
            <v>45995.93613425926</v>
          </cell>
          <cell r="S987" t="str">
            <v>Karen Ramy</v>
          </cell>
          <cell r="T987">
            <v>46014</v>
          </cell>
          <cell r="U987" t="str">
            <v>Trish Kalinczok</v>
          </cell>
          <cell r="V987">
            <v>46036</v>
          </cell>
          <cell r="W987">
            <v>46097</v>
          </cell>
          <cell r="Y987">
            <v>46013</v>
          </cell>
          <cell r="AC987">
            <v>46092</v>
          </cell>
        </row>
        <row r="988">
          <cell r="I988" t="str">
            <v>EDI</v>
          </cell>
          <cell r="L988">
            <v>4300</v>
          </cell>
          <cell r="N988" t="str">
            <v>Production</v>
          </cell>
          <cell r="O988" t="str">
            <v>No</v>
          </cell>
          <cell r="Q988" t="str">
            <v>Live</v>
          </cell>
          <cell r="R988">
            <v>45995.92560185185</v>
          </cell>
          <cell r="S988" t="str">
            <v>Zeyad Khaled</v>
          </cell>
          <cell r="T988">
            <v>46008</v>
          </cell>
          <cell r="U988" t="str">
            <v>Trish Kalinczok</v>
          </cell>
          <cell r="V988">
            <v>46025</v>
          </cell>
          <cell r="W988">
            <v>46055</v>
          </cell>
          <cell r="Y988">
            <v>46006</v>
          </cell>
          <cell r="AC988">
            <v>46051</v>
          </cell>
        </row>
        <row r="989">
          <cell r="I989" t="str">
            <v>EDI</v>
          </cell>
          <cell r="L989">
            <v>4319</v>
          </cell>
          <cell r="N989" t="str">
            <v>Production</v>
          </cell>
          <cell r="O989" t="str">
            <v>No</v>
          </cell>
          <cell r="Q989" t="str">
            <v>Live</v>
          </cell>
          <cell r="R989">
            <v>45995.664155092592</v>
          </cell>
          <cell r="S989" t="str">
            <v>Omnia Abdelaziz</v>
          </cell>
          <cell r="T989">
            <v>46008</v>
          </cell>
          <cell r="U989" t="str">
            <v>Lonnie Celestin</v>
          </cell>
          <cell r="V989">
            <v>46070</v>
          </cell>
          <cell r="W989">
            <v>46085</v>
          </cell>
          <cell r="Y989">
            <v>46007</v>
          </cell>
          <cell r="AC989">
            <v>46077</v>
          </cell>
        </row>
        <row r="990">
          <cell r="I990" t="str">
            <v>EDI</v>
          </cell>
          <cell r="L990">
            <v>4276</v>
          </cell>
          <cell r="N990" t="str">
            <v>Production</v>
          </cell>
          <cell r="O990" t="str">
            <v>No</v>
          </cell>
          <cell r="Q990" t="str">
            <v>Live</v>
          </cell>
          <cell r="R990">
            <v>45994.886076388888</v>
          </cell>
          <cell r="S990" t="str">
            <v>Ahmed Ali</v>
          </cell>
          <cell r="T990">
            <v>46000</v>
          </cell>
          <cell r="U990" t="str">
            <v>Gregory Dubec</v>
          </cell>
          <cell r="V990">
            <v>46014</v>
          </cell>
          <cell r="W990">
            <v>46045</v>
          </cell>
          <cell r="Y990">
            <v>45999</v>
          </cell>
          <cell r="AC990">
            <v>46043</v>
          </cell>
        </row>
        <row r="991">
          <cell r="I991" t="str">
            <v>EDI</v>
          </cell>
          <cell r="L991">
            <v>4309</v>
          </cell>
          <cell r="N991" t="str">
            <v>Production</v>
          </cell>
          <cell r="O991" t="str">
            <v>No</v>
          </cell>
          <cell r="Q991" t="str">
            <v>Live</v>
          </cell>
          <cell r="R991">
            <v>45994.87332175926</v>
          </cell>
          <cell r="S991" t="str">
            <v>Ahmed Ali</v>
          </cell>
          <cell r="T991">
            <v>46049</v>
          </cell>
          <cell r="U991" t="str">
            <v>Trish Kalinczok</v>
          </cell>
          <cell r="V991">
            <v>46058</v>
          </cell>
          <cell r="W991">
            <v>46119</v>
          </cell>
          <cell r="Y991">
            <v>46005</v>
          </cell>
          <cell r="AC991">
            <v>46118</v>
          </cell>
        </row>
        <row r="992">
          <cell r="I992" t="str">
            <v>EDI</v>
          </cell>
          <cell r="L992">
            <v>4363</v>
          </cell>
          <cell r="N992" t="str">
            <v>Production</v>
          </cell>
          <cell r="O992" t="str">
            <v>No</v>
          </cell>
          <cell r="Q992" t="str">
            <v>Live</v>
          </cell>
          <cell r="R992">
            <v>45994.873310185183</v>
          </cell>
          <cell r="S992" t="str">
            <v>Zeyad Khaled</v>
          </cell>
          <cell r="T992">
            <v>46028</v>
          </cell>
          <cell r="U992" t="str">
            <v>Trish Kalinczok</v>
          </cell>
          <cell r="V992">
            <v>46035</v>
          </cell>
          <cell r="W992">
            <v>46069</v>
          </cell>
          <cell r="Y992">
            <v>46027</v>
          </cell>
          <cell r="AC992">
            <v>46065</v>
          </cell>
        </row>
        <row r="993">
          <cell r="I993" t="str">
            <v>EDI</v>
          </cell>
          <cell r="L993">
            <v>4265</v>
          </cell>
          <cell r="N993" t="str">
            <v>Production</v>
          </cell>
          <cell r="O993" t="str">
            <v>No</v>
          </cell>
          <cell r="Q993" t="str">
            <v>Live</v>
          </cell>
          <cell r="R993">
            <v>45993.967499999999</v>
          </cell>
          <cell r="S993" t="str">
            <v>Peter Abdelmalek</v>
          </cell>
          <cell r="T993">
            <v>45994</v>
          </cell>
          <cell r="U993" t="str">
            <v>Peter Abdelmalek</v>
          </cell>
          <cell r="V993">
            <v>45996</v>
          </cell>
          <cell r="W993">
            <v>46013</v>
          </cell>
          <cell r="AC993">
            <v>46010</v>
          </cell>
        </row>
        <row r="994">
          <cell r="I994" t="str">
            <v>EDI</v>
          </cell>
          <cell r="L994">
            <v>4601</v>
          </cell>
          <cell r="N994" t="str">
            <v>Production</v>
          </cell>
          <cell r="O994" t="str">
            <v>No</v>
          </cell>
          <cell r="Q994" t="str">
            <v>Live</v>
          </cell>
          <cell r="R994">
            <v>45993.704351851848</v>
          </cell>
          <cell r="S994" t="str">
            <v>Josephine Ossama</v>
          </cell>
          <cell r="T994">
            <v>46082</v>
          </cell>
          <cell r="U994" t="str">
            <v>Gregory Dubec</v>
          </cell>
          <cell r="V994">
            <v>46140</v>
          </cell>
          <cell r="W994">
            <v>46198</v>
          </cell>
          <cell r="Y994">
            <v>46079</v>
          </cell>
          <cell r="AC994">
            <v>46197</v>
          </cell>
        </row>
        <row r="995">
          <cell r="I995" t="str">
            <v>EDI</v>
          </cell>
          <cell r="L995">
            <v>4317</v>
          </cell>
          <cell r="N995" t="str">
            <v>Production</v>
          </cell>
          <cell r="O995" t="str">
            <v>No</v>
          </cell>
          <cell r="Q995" t="str">
            <v>Live</v>
          </cell>
          <cell r="R995">
            <v>45993.704340277778</v>
          </cell>
          <cell r="S995" t="str">
            <v>Josephine Ossama</v>
          </cell>
          <cell r="T995">
            <v>46014</v>
          </cell>
          <cell r="U995" t="str">
            <v>Gregory Dubec</v>
          </cell>
          <cell r="V995">
            <v>46033</v>
          </cell>
          <cell r="W995">
            <v>46163</v>
          </cell>
          <cell r="Y995">
            <v>46013</v>
          </cell>
          <cell r="AC995">
            <v>46161</v>
          </cell>
        </row>
        <row r="996">
          <cell r="I996" t="str">
            <v>EDI</v>
          </cell>
          <cell r="L996">
            <v>4287</v>
          </cell>
          <cell r="N996" t="str">
            <v>Production</v>
          </cell>
          <cell r="O996" t="str">
            <v>No</v>
          </cell>
          <cell r="Q996" t="str">
            <v>Live</v>
          </cell>
          <cell r="R996">
            <v>45993.625601851847</v>
          </cell>
          <cell r="S996" t="str">
            <v>Marwan Tawfik</v>
          </cell>
          <cell r="T996">
            <v>46000</v>
          </cell>
          <cell r="U996" t="str">
            <v>Jay Lang</v>
          </cell>
          <cell r="V996">
            <v>46044</v>
          </cell>
          <cell r="W996">
            <v>46155</v>
          </cell>
          <cell r="Y996">
            <v>45999</v>
          </cell>
          <cell r="AC996">
            <v>46152</v>
          </cell>
        </row>
        <row r="997">
          <cell r="I997" t="str">
            <v>EDI</v>
          </cell>
          <cell r="L997">
            <v>4288</v>
          </cell>
          <cell r="N997" t="str">
            <v>Testing</v>
          </cell>
          <cell r="O997" t="str">
            <v>No</v>
          </cell>
          <cell r="Q997" t="str">
            <v>In Progress</v>
          </cell>
          <cell r="R997">
            <v>45993.625601851847</v>
          </cell>
          <cell r="S997" t="str">
            <v>Josephine Ossama</v>
          </cell>
          <cell r="T997">
            <v>46005</v>
          </cell>
          <cell r="U997" t="str">
            <v>Jay Lang</v>
          </cell>
          <cell r="V997">
            <v>46050</v>
          </cell>
          <cell r="Y997">
            <v>46002</v>
          </cell>
        </row>
        <row r="998">
          <cell r="I998" t="str">
            <v>EDI</v>
          </cell>
          <cell r="L998">
            <v>4653</v>
          </cell>
          <cell r="N998" t="str">
            <v>Production</v>
          </cell>
          <cell r="O998" t="str">
            <v>No</v>
          </cell>
          <cell r="Q998" t="str">
            <v>Live</v>
          </cell>
          <cell r="R998">
            <v>45993.625590277778</v>
          </cell>
          <cell r="S998" t="str">
            <v>Josephine Ossama</v>
          </cell>
          <cell r="T998">
            <v>46090</v>
          </cell>
          <cell r="U998" t="str">
            <v>Jay Lang</v>
          </cell>
          <cell r="V998">
            <v>46142</v>
          </cell>
          <cell r="W998">
            <v>46215</v>
          </cell>
          <cell r="Y998">
            <v>46086</v>
          </cell>
          <cell r="AC998">
            <v>46215</v>
          </cell>
        </row>
        <row r="999">
          <cell r="I999" t="str">
            <v>EDI</v>
          </cell>
          <cell r="L999">
            <v>4283</v>
          </cell>
          <cell r="N999" t="str">
            <v>Production</v>
          </cell>
          <cell r="O999" t="str">
            <v>No</v>
          </cell>
          <cell r="Q999" t="str">
            <v>Live</v>
          </cell>
          <cell r="R999">
            <v>45987.851203703707</v>
          </cell>
          <cell r="S999" t="str">
            <v>Nada Ashraf</v>
          </cell>
          <cell r="T999">
            <v>46005</v>
          </cell>
          <cell r="U999" t="str">
            <v>Peter Abdelmalek</v>
          </cell>
          <cell r="W999">
            <v>46021</v>
          </cell>
          <cell r="Y999">
            <v>46001</v>
          </cell>
          <cell r="AC999">
            <v>46019</v>
          </cell>
        </row>
        <row r="1000">
          <cell r="I1000" t="str">
            <v>EDI</v>
          </cell>
          <cell r="L1000">
            <v>4331</v>
          </cell>
          <cell r="N1000" t="str">
            <v>Production</v>
          </cell>
          <cell r="O1000" t="str">
            <v>No</v>
          </cell>
          <cell r="Q1000" t="str">
            <v>Live</v>
          </cell>
          <cell r="R1000">
            <v>45987.650057870371</v>
          </cell>
          <cell r="S1000" t="str">
            <v>Karen Ramy</v>
          </cell>
          <cell r="T1000">
            <v>46015</v>
          </cell>
          <cell r="U1000" t="str">
            <v>Gregory Dubec</v>
          </cell>
          <cell r="V1000">
            <v>25569</v>
          </cell>
          <cell r="W1000">
            <v>46205</v>
          </cell>
          <cell r="AC1000">
            <v>46204</v>
          </cell>
        </row>
        <row r="1001">
          <cell r="I1001" t="str">
            <v>EDI</v>
          </cell>
          <cell r="L1001">
            <v>4582</v>
          </cell>
          <cell r="N1001" t="str">
            <v>Testing</v>
          </cell>
          <cell r="O1001" t="str">
            <v>No</v>
          </cell>
          <cell r="Q1001" t="str">
            <v>In Progress</v>
          </cell>
          <cell r="R1001">
            <v>45987.650057870371</v>
          </cell>
          <cell r="S1001" t="str">
            <v>Josephine Ossama</v>
          </cell>
          <cell r="T1001">
            <v>46068</v>
          </cell>
          <cell r="U1001" t="str">
            <v>Gregory Dubec</v>
          </cell>
          <cell r="V1001">
            <v>46111</v>
          </cell>
          <cell r="Y1001">
            <v>46064</v>
          </cell>
        </row>
        <row r="1002">
          <cell r="I1002" t="str">
            <v>EDI</v>
          </cell>
          <cell r="L1002">
            <v>4273</v>
          </cell>
          <cell r="N1002" t="str">
            <v>Production</v>
          </cell>
          <cell r="O1002" t="str">
            <v>No</v>
          </cell>
          <cell r="Q1002" t="str">
            <v>Live</v>
          </cell>
          <cell r="R1002">
            <v>45987.594710648147</v>
          </cell>
          <cell r="S1002" t="str">
            <v>Dina Medhat</v>
          </cell>
          <cell r="T1002">
            <v>45988</v>
          </cell>
          <cell r="U1002" t="str">
            <v>Hans De Grouw</v>
          </cell>
          <cell r="V1002">
            <v>46009</v>
          </cell>
          <cell r="W1002">
            <v>46016</v>
          </cell>
          <cell r="AC1002">
            <v>46014</v>
          </cell>
        </row>
        <row r="1003">
          <cell r="I1003" t="str">
            <v>EDI</v>
          </cell>
          <cell r="L1003">
            <v>4273</v>
          </cell>
          <cell r="N1003" t="str">
            <v>Production</v>
          </cell>
          <cell r="O1003" t="str">
            <v>No</v>
          </cell>
          <cell r="Q1003" t="str">
            <v>Live</v>
          </cell>
          <cell r="R1003">
            <v>45987.592858796299</v>
          </cell>
          <cell r="S1003" t="str">
            <v>Dina Medhat</v>
          </cell>
          <cell r="T1003">
            <v>45988</v>
          </cell>
          <cell r="U1003" t="str">
            <v>Hans De Grouw</v>
          </cell>
          <cell r="V1003">
            <v>46009</v>
          </cell>
          <cell r="W1003">
            <v>46016</v>
          </cell>
          <cell r="AC1003">
            <v>46014</v>
          </cell>
        </row>
        <row r="1004">
          <cell r="I1004" t="str">
            <v>EDI</v>
          </cell>
          <cell r="L1004">
            <v>4273</v>
          </cell>
          <cell r="N1004" t="str">
            <v>Production</v>
          </cell>
          <cell r="O1004" t="str">
            <v>No</v>
          </cell>
          <cell r="Q1004" t="str">
            <v>Live</v>
          </cell>
          <cell r="R1004">
            <v>45987.590833333343</v>
          </cell>
          <cell r="S1004" t="str">
            <v>Omnia Abdelaziz</v>
          </cell>
          <cell r="T1004">
            <v>45998</v>
          </cell>
          <cell r="U1004" t="str">
            <v>Hans De Grouw</v>
          </cell>
          <cell r="V1004">
            <v>46009</v>
          </cell>
          <cell r="W1004">
            <v>46016</v>
          </cell>
          <cell r="Y1004">
            <v>45995</v>
          </cell>
          <cell r="AC1004">
            <v>46014</v>
          </cell>
        </row>
        <row r="1005">
          <cell r="I1005" t="str">
            <v>EDI</v>
          </cell>
          <cell r="L1005">
            <v>4266</v>
          </cell>
          <cell r="N1005" t="str">
            <v>Production</v>
          </cell>
          <cell r="O1005" t="str">
            <v>No</v>
          </cell>
          <cell r="Q1005" t="str">
            <v>Live</v>
          </cell>
          <cell r="R1005">
            <v>45986.904293981483</v>
          </cell>
          <cell r="S1005" t="str">
            <v>Marwan Tawfik</v>
          </cell>
          <cell r="T1005">
            <v>45995</v>
          </cell>
          <cell r="U1005" t="str">
            <v>Trish Kalinczok</v>
          </cell>
          <cell r="V1005">
            <v>46027</v>
          </cell>
          <cell r="W1005">
            <v>46076</v>
          </cell>
          <cell r="Y1005">
            <v>45994</v>
          </cell>
          <cell r="AC1005">
            <v>46075</v>
          </cell>
        </row>
        <row r="1006">
          <cell r="I1006" t="str">
            <v>EDI</v>
          </cell>
          <cell r="L1006">
            <v>4596</v>
          </cell>
          <cell r="N1006" t="str">
            <v>Production</v>
          </cell>
          <cell r="O1006" t="str">
            <v>No</v>
          </cell>
          <cell r="Q1006" t="str">
            <v>Live</v>
          </cell>
          <cell r="R1006">
            <v>45986.688425925917</v>
          </cell>
          <cell r="S1006" t="str">
            <v>Aya Fathy</v>
          </cell>
          <cell r="T1006">
            <v>46083</v>
          </cell>
          <cell r="U1006" t="str">
            <v>Patrick Dillon</v>
          </cell>
          <cell r="V1006">
            <v>46084</v>
          </cell>
          <cell r="W1006">
            <v>46160</v>
          </cell>
          <cell r="Y1006">
            <v>46082</v>
          </cell>
          <cell r="AC1006">
            <v>46156</v>
          </cell>
        </row>
        <row r="1007">
          <cell r="I1007" t="str">
            <v>EDI</v>
          </cell>
          <cell r="L1007">
            <v>4295</v>
          </cell>
          <cell r="N1007" t="str">
            <v>Production</v>
          </cell>
          <cell r="O1007" t="str">
            <v>No</v>
          </cell>
          <cell r="Q1007" t="str">
            <v>Live</v>
          </cell>
          <cell r="R1007">
            <v>45986.688414351847</v>
          </cell>
          <cell r="S1007" t="str">
            <v>Josephine Ossama</v>
          </cell>
          <cell r="T1007">
            <v>46019</v>
          </cell>
          <cell r="U1007" t="str">
            <v>Patrick Dillon</v>
          </cell>
          <cell r="V1007">
            <v>46068</v>
          </cell>
          <cell r="W1007">
            <v>46202</v>
          </cell>
          <cell r="Y1007">
            <v>46005</v>
          </cell>
          <cell r="AC1007">
            <v>46198</v>
          </cell>
        </row>
        <row r="1008">
          <cell r="I1008" t="str">
            <v>EDI</v>
          </cell>
          <cell r="L1008">
            <v>4489</v>
          </cell>
          <cell r="N1008" t="str">
            <v>Testing</v>
          </cell>
          <cell r="O1008" t="str">
            <v>No</v>
          </cell>
          <cell r="Q1008" t="str">
            <v>In Progress</v>
          </cell>
          <cell r="R1008">
            <v>45986.6559375</v>
          </cell>
          <cell r="S1008" t="str">
            <v>Mirna Azmy</v>
          </cell>
          <cell r="T1008">
            <v>46057</v>
          </cell>
          <cell r="U1008" t="str">
            <v>Tracey Hicks</v>
          </cell>
          <cell r="V1008">
            <v>46064</v>
          </cell>
          <cell r="Y1008">
            <v>46055</v>
          </cell>
        </row>
        <row r="1009">
          <cell r="I1009" t="str">
            <v>EDI</v>
          </cell>
          <cell r="L1009">
            <v>4280</v>
          </cell>
          <cell r="N1009" t="str">
            <v>Production</v>
          </cell>
          <cell r="O1009" t="str">
            <v>No</v>
          </cell>
          <cell r="Q1009" t="str">
            <v>Cancelled</v>
          </cell>
          <cell r="R1009">
            <v>45986.6559375</v>
          </cell>
          <cell r="S1009" t="str">
            <v>Josephine Ossama</v>
          </cell>
          <cell r="T1009">
            <v>46000</v>
          </cell>
          <cell r="U1009" t="str">
            <v>Randi Frame</v>
          </cell>
          <cell r="V1009">
            <v>46009</v>
          </cell>
          <cell r="W1009">
            <v>46034</v>
          </cell>
          <cell r="Y1009">
            <v>45999</v>
          </cell>
          <cell r="AC1009">
            <v>46030</v>
          </cell>
        </row>
        <row r="1010">
          <cell r="I1010" t="str">
            <v>EDI</v>
          </cell>
          <cell r="L1010">
            <v>4278</v>
          </cell>
          <cell r="N1010" t="str">
            <v>Production</v>
          </cell>
          <cell r="O1010" t="str">
            <v>No</v>
          </cell>
          <cell r="Q1010" t="str">
            <v>Live</v>
          </cell>
          <cell r="R1010">
            <v>45986.64503472222</v>
          </cell>
          <cell r="S1010" t="str">
            <v>Mark Albert</v>
          </cell>
          <cell r="T1010">
            <v>46000</v>
          </cell>
          <cell r="U1010" t="str">
            <v>Trish Kalinczok</v>
          </cell>
          <cell r="W1010">
            <v>46158</v>
          </cell>
          <cell r="Y1010">
            <v>46000</v>
          </cell>
          <cell r="AC1010">
            <v>46133</v>
          </cell>
        </row>
        <row r="1011">
          <cell r="I1011" t="str">
            <v>EDI</v>
          </cell>
          <cell r="N1011" t="str">
            <v>Requirements Gathering</v>
          </cell>
          <cell r="O1011" t="str">
            <v>No</v>
          </cell>
          <cell r="Q1011" t="str">
            <v>Cancelled</v>
          </cell>
          <cell r="R1011">
            <v>45985.600162037037</v>
          </cell>
          <cell r="S1011" t="str">
            <v>Karim Tarek</v>
          </cell>
          <cell r="T1011">
            <v>46048</v>
          </cell>
          <cell r="U1011" t="str">
            <v>Peter Abdelmalek</v>
          </cell>
        </row>
        <row r="1012">
          <cell r="I1012" t="str">
            <v>EDI</v>
          </cell>
          <cell r="L1012">
            <v>4260</v>
          </cell>
          <cell r="N1012" t="str">
            <v>Production</v>
          </cell>
          <cell r="O1012" t="str">
            <v>No</v>
          </cell>
          <cell r="Q1012" t="str">
            <v>Live</v>
          </cell>
          <cell r="R1012">
            <v>45982.899664351848</v>
          </cell>
          <cell r="S1012" t="str">
            <v>Karen Ramy</v>
          </cell>
          <cell r="T1012">
            <v>45988</v>
          </cell>
          <cell r="U1012" t="str">
            <v>Trish Kalinczok</v>
          </cell>
          <cell r="V1012">
            <v>46009</v>
          </cell>
          <cell r="W1012">
            <v>46037</v>
          </cell>
          <cell r="Y1012">
            <v>45987</v>
          </cell>
          <cell r="AC1012">
            <v>46017</v>
          </cell>
        </row>
        <row r="1013">
          <cell r="I1013" t="str">
            <v>EDI</v>
          </cell>
          <cell r="L1013">
            <v>4251</v>
          </cell>
          <cell r="N1013" t="str">
            <v>Production</v>
          </cell>
          <cell r="O1013" t="str">
            <v>No</v>
          </cell>
          <cell r="Q1013" t="str">
            <v>Live</v>
          </cell>
          <cell r="R1013">
            <v>45982.899652777778</v>
          </cell>
          <cell r="S1013" t="str">
            <v>Mark Albert</v>
          </cell>
          <cell r="T1013">
            <v>45988</v>
          </cell>
          <cell r="U1013" t="str">
            <v>Trish Kalinczok</v>
          </cell>
          <cell r="W1013">
            <v>46062</v>
          </cell>
          <cell r="Y1013">
            <v>45987</v>
          </cell>
          <cell r="AC1013">
            <v>46058</v>
          </cell>
        </row>
        <row r="1014">
          <cell r="I1014" t="str">
            <v>EDI</v>
          </cell>
          <cell r="L1014">
            <v>4279</v>
          </cell>
          <cell r="N1014" t="str">
            <v>Production</v>
          </cell>
          <cell r="O1014" t="str">
            <v>No</v>
          </cell>
          <cell r="Q1014" t="str">
            <v>Live</v>
          </cell>
          <cell r="R1014">
            <v>45982.555474537039</v>
          </cell>
          <cell r="S1014" t="str">
            <v>Reem Radwan</v>
          </cell>
          <cell r="T1014">
            <v>46000</v>
          </cell>
          <cell r="U1014" t="str">
            <v>Trish Kalinczok</v>
          </cell>
          <cell r="V1014">
            <v>25569</v>
          </cell>
          <cell r="W1014">
            <v>46093</v>
          </cell>
          <cell r="Y1014">
            <v>45999</v>
          </cell>
          <cell r="AC1014">
            <v>46092</v>
          </cell>
        </row>
        <row r="1015">
          <cell r="I1015" t="str">
            <v>EDI</v>
          </cell>
          <cell r="L1015">
            <v>4584</v>
          </cell>
          <cell r="N1015" t="str">
            <v>Production</v>
          </cell>
          <cell r="O1015" t="str">
            <v>No</v>
          </cell>
          <cell r="Q1015" t="str">
            <v>Live</v>
          </cell>
          <cell r="R1015">
            <v>45982.548171296286</v>
          </cell>
          <cell r="S1015" t="str">
            <v>Zeyad Khaled</v>
          </cell>
          <cell r="T1015">
            <v>46078</v>
          </cell>
          <cell r="U1015" t="str">
            <v>Trish Kalinczok</v>
          </cell>
          <cell r="V1015">
            <v>46105</v>
          </cell>
          <cell r="W1015">
            <v>46184</v>
          </cell>
          <cell r="Y1015">
            <v>46076</v>
          </cell>
          <cell r="AC1015">
            <v>46182</v>
          </cell>
        </row>
        <row r="1016">
          <cell r="I1016" t="str">
            <v>EDI</v>
          </cell>
          <cell r="L1016">
            <v>4446</v>
          </cell>
          <cell r="N1016" t="str">
            <v>Testing</v>
          </cell>
          <cell r="O1016" t="str">
            <v>No</v>
          </cell>
          <cell r="Q1016" t="str">
            <v>In Progress</v>
          </cell>
          <cell r="R1016">
            <v>45982.548159722217</v>
          </cell>
          <cell r="S1016" t="str">
            <v>Mirna Azmy</v>
          </cell>
          <cell r="T1016">
            <v>46048</v>
          </cell>
          <cell r="U1016" t="str">
            <v>Trish Kalinczok</v>
          </cell>
          <cell r="V1016">
            <v>46075</v>
          </cell>
          <cell r="Y1016">
            <v>46047</v>
          </cell>
        </row>
        <row r="1017">
          <cell r="I1017" t="str">
            <v>EDI</v>
          </cell>
          <cell r="L1017">
            <v>4254</v>
          </cell>
          <cell r="N1017" t="str">
            <v>Production</v>
          </cell>
          <cell r="O1017" t="str">
            <v>No</v>
          </cell>
          <cell r="Q1017" t="str">
            <v>Live</v>
          </cell>
          <cell r="R1017">
            <v>45982.548148148147</v>
          </cell>
          <cell r="S1017" t="str">
            <v>Ahmed Ali</v>
          </cell>
          <cell r="T1017">
            <v>45987</v>
          </cell>
          <cell r="U1017" t="str">
            <v>Trish Kalinczok</v>
          </cell>
          <cell r="V1017">
            <v>46008</v>
          </cell>
          <cell r="W1017">
            <v>46020</v>
          </cell>
          <cell r="Y1017">
            <v>45986</v>
          </cell>
          <cell r="AC1017">
            <v>46014</v>
          </cell>
        </row>
        <row r="1018">
          <cell r="I1018" t="str">
            <v>EDI</v>
          </cell>
          <cell r="L1018">
            <v>4255</v>
          </cell>
          <cell r="N1018" t="str">
            <v>Production</v>
          </cell>
          <cell r="O1018" t="str">
            <v>No</v>
          </cell>
          <cell r="Q1018" t="str">
            <v>Live</v>
          </cell>
          <cell r="R1018">
            <v>45982.548136574071</v>
          </cell>
          <cell r="S1018" t="str">
            <v>Mirna Azmy</v>
          </cell>
          <cell r="T1018">
            <v>45987</v>
          </cell>
          <cell r="U1018" t="str">
            <v>Trish Kalinczok</v>
          </cell>
          <cell r="V1018">
            <v>46012</v>
          </cell>
          <cell r="W1018">
            <v>46051</v>
          </cell>
          <cell r="Y1018">
            <v>45986</v>
          </cell>
          <cell r="AC1018">
            <v>46042</v>
          </cell>
        </row>
        <row r="1019">
          <cell r="I1019" t="str">
            <v>EDI</v>
          </cell>
          <cell r="L1019">
            <v>4496</v>
          </cell>
          <cell r="N1019" t="str">
            <v>Production</v>
          </cell>
          <cell r="O1019" t="str">
            <v>No</v>
          </cell>
          <cell r="Q1019" t="str">
            <v>Live</v>
          </cell>
          <cell r="R1019">
            <v>45981.924085648148</v>
          </cell>
          <cell r="S1019" t="str">
            <v>Mirna Azmy</v>
          </cell>
          <cell r="T1019">
            <v>46062</v>
          </cell>
          <cell r="U1019" t="str">
            <v>Trish Kalinczok</v>
          </cell>
          <cell r="V1019">
            <v>46089</v>
          </cell>
          <cell r="W1019">
            <v>46147</v>
          </cell>
          <cell r="Y1019">
            <v>46061</v>
          </cell>
          <cell r="AC1019">
            <v>46135</v>
          </cell>
        </row>
        <row r="1020">
          <cell r="I1020" t="str">
            <v>EDI</v>
          </cell>
          <cell r="N1020" t="str">
            <v>Requirements Gathering</v>
          </cell>
          <cell r="O1020" t="str">
            <v>No</v>
          </cell>
          <cell r="Q1020" t="str">
            <v>Cancelled</v>
          </cell>
          <cell r="R1020">
            <v>45981.924085648148</v>
          </cell>
          <cell r="S1020" t="str">
            <v>Sandra Adel</v>
          </cell>
          <cell r="T1020">
            <v>45985</v>
          </cell>
          <cell r="U1020" t="str">
            <v>Trish Kalinczok</v>
          </cell>
        </row>
        <row r="1021">
          <cell r="I1021" t="str">
            <v>EDI</v>
          </cell>
          <cell r="L1021">
            <v>4286</v>
          </cell>
          <cell r="N1021" t="str">
            <v>Production</v>
          </cell>
          <cell r="O1021" t="str">
            <v>No</v>
          </cell>
          <cell r="Q1021" t="str">
            <v>Live</v>
          </cell>
          <cell r="R1021">
            <v>45981.924074074072</v>
          </cell>
          <cell r="S1021" t="str">
            <v>Andrew Ramy</v>
          </cell>
          <cell r="T1021">
            <v>46000</v>
          </cell>
          <cell r="U1021" t="str">
            <v>Trish Kalinczok</v>
          </cell>
          <cell r="V1021">
            <v>46008</v>
          </cell>
          <cell r="W1021">
            <v>46029</v>
          </cell>
          <cell r="Y1021">
            <v>45999</v>
          </cell>
          <cell r="AC1021">
            <v>46028</v>
          </cell>
        </row>
        <row r="1022">
          <cell r="I1022" t="str">
            <v>EDI</v>
          </cell>
          <cell r="L1022">
            <v>4274</v>
          </cell>
          <cell r="N1022" t="str">
            <v>Production</v>
          </cell>
          <cell r="O1022" t="str">
            <v>No</v>
          </cell>
          <cell r="Q1022" t="str">
            <v>Live</v>
          </cell>
          <cell r="R1022">
            <v>45981.924027777779</v>
          </cell>
          <cell r="S1022" t="str">
            <v>Andrew Ramy</v>
          </cell>
          <cell r="T1022">
            <v>45998</v>
          </cell>
          <cell r="U1022" t="str">
            <v>Trish Kalinczok</v>
          </cell>
          <cell r="V1022">
            <v>46009</v>
          </cell>
          <cell r="W1022">
            <v>46057</v>
          </cell>
          <cell r="Y1022">
            <v>45995</v>
          </cell>
          <cell r="AC1022">
            <v>46055</v>
          </cell>
        </row>
        <row r="1023">
          <cell r="I1023" t="str">
            <v>EDI</v>
          </cell>
          <cell r="L1023">
            <v>4304</v>
          </cell>
          <cell r="N1023" t="str">
            <v>Production</v>
          </cell>
          <cell r="O1023" t="str">
            <v>No</v>
          </cell>
          <cell r="Q1023" t="str">
            <v>Live</v>
          </cell>
          <cell r="R1023">
            <v>45981.924016203702</v>
          </cell>
          <cell r="S1023" t="str">
            <v>Alaa Yehia</v>
          </cell>
          <cell r="T1023">
            <v>46006</v>
          </cell>
          <cell r="U1023" t="str">
            <v>Trish Kalinczok</v>
          </cell>
          <cell r="V1023">
            <v>46061</v>
          </cell>
          <cell r="W1023">
            <v>46084</v>
          </cell>
          <cell r="Y1023">
            <v>46005</v>
          </cell>
          <cell r="AC1023">
            <v>46079</v>
          </cell>
        </row>
        <row r="1024">
          <cell r="I1024" t="str">
            <v>EDI</v>
          </cell>
          <cell r="L1024">
            <v>4268</v>
          </cell>
          <cell r="N1024" t="str">
            <v>Production</v>
          </cell>
          <cell r="O1024" t="str">
            <v>No</v>
          </cell>
          <cell r="Q1024" t="str">
            <v>Cancelled</v>
          </cell>
          <cell r="R1024">
            <v>45981.908437500002</v>
          </cell>
          <cell r="S1024" t="str">
            <v>Alaa Yehia</v>
          </cell>
          <cell r="T1024">
            <v>45998</v>
          </cell>
          <cell r="U1024" t="str">
            <v>Carolina Tanoue</v>
          </cell>
          <cell r="V1024">
            <v>46033</v>
          </cell>
          <cell r="W1024">
            <v>25569</v>
          </cell>
          <cell r="Y1024">
            <v>45995</v>
          </cell>
          <cell r="AC1024">
            <v>46048</v>
          </cell>
        </row>
        <row r="1025">
          <cell r="I1025" t="str">
            <v>EDI</v>
          </cell>
          <cell r="L1025">
            <v>4272</v>
          </cell>
          <cell r="N1025" t="str">
            <v>Testing</v>
          </cell>
          <cell r="O1025" t="str">
            <v>No</v>
          </cell>
          <cell r="Q1025" t="str">
            <v>Cancelled</v>
          </cell>
          <cell r="R1025">
            <v>45981.908425925933</v>
          </cell>
          <cell r="S1025" t="str">
            <v>Josephine Ossama</v>
          </cell>
          <cell r="T1025">
            <v>45998</v>
          </cell>
          <cell r="U1025" t="str">
            <v>Carolina Tanoue</v>
          </cell>
          <cell r="V1025">
            <v>46027</v>
          </cell>
          <cell r="Y1025">
            <v>45995</v>
          </cell>
        </row>
        <row r="1026">
          <cell r="I1026" t="str">
            <v>EDI</v>
          </cell>
          <cell r="L1026">
            <v>4512</v>
          </cell>
          <cell r="N1026" t="str">
            <v>Production</v>
          </cell>
          <cell r="O1026" t="str">
            <v>No</v>
          </cell>
          <cell r="Q1026" t="str">
            <v>Live</v>
          </cell>
          <cell r="R1026">
            <v>45981.716562499998</v>
          </cell>
          <cell r="S1026" t="str">
            <v>Andrew Ramy</v>
          </cell>
          <cell r="T1026">
            <v>46062</v>
          </cell>
          <cell r="U1026" t="str">
            <v>Joel Costanzo</v>
          </cell>
          <cell r="V1026">
            <v>46072</v>
          </cell>
          <cell r="W1026">
            <v>46125</v>
          </cell>
          <cell r="Y1026">
            <v>46057</v>
          </cell>
          <cell r="AC1026">
            <v>46123</v>
          </cell>
        </row>
        <row r="1027">
          <cell r="I1027" t="str">
            <v>EDI</v>
          </cell>
          <cell r="L1027">
            <v>4267</v>
          </cell>
          <cell r="N1027" t="str">
            <v>Production</v>
          </cell>
          <cell r="O1027" t="str">
            <v>No</v>
          </cell>
          <cell r="Q1027" t="str">
            <v>Live</v>
          </cell>
          <cell r="R1027">
            <v>45981.055185185192</v>
          </cell>
          <cell r="S1027" t="str">
            <v>Mark Albert</v>
          </cell>
          <cell r="T1027">
            <v>45995</v>
          </cell>
          <cell r="U1027" t="str">
            <v>Peter Abdelmalek</v>
          </cell>
          <cell r="W1027">
            <v>46099</v>
          </cell>
          <cell r="Y1027">
            <v>45994</v>
          </cell>
          <cell r="AC1027">
            <v>46097</v>
          </cell>
        </row>
        <row r="1028">
          <cell r="I1028" t="str">
            <v>EDI</v>
          </cell>
          <cell r="L1028">
            <v>4250</v>
          </cell>
          <cell r="N1028" t="str">
            <v>Production</v>
          </cell>
          <cell r="O1028" t="str">
            <v>No</v>
          </cell>
          <cell r="Q1028" t="str">
            <v>Cancelled</v>
          </cell>
          <cell r="R1028">
            <v>45981.055173611108</v>
          </cell>
          <cell r="S1028" t="str">
            <v>Mark Albert</v>
          </cell>
          <cell r="T1028">
            <v>45987</v>
          </cell>
          <cell r="U1028" t="str">
            <v>Peter Abdelmalek</v>
          </cell>
          <cell r="W1028">
            <v>46022</v>
          </cell>
          <cell r="Y1028">
            <v>45986</v>
          </cell>
          <cell r="AC1028">
            <v>46021</v>
          </cell>
        </row>
        <row r="1029">
          <cell r="I1029" t="str">
            <v>EDI</v>
          </cell>
          <cell r="L1029">
            <v>4237</v>
          </cell>
          <cell r="N1029" t="str">
            <v>Production</v>
          </cell>
          <cell r="O1029" t="str">
            <v>No</v>
          </cell>
          <cell r="Q1029" t="str">
            <v>Live</v>
          </cell>
          <cell r="R1029">
            <v>45980.781238425923</v>
          </cell>
          <cell r="S1029" t="str">
            <v>Karen Ramy</v>
          </cell>
          <cell r="T1029">
            <v>45981</v>
          </cell>
          <cell r="U1029" t="str">
            <v>Rhettsmey Meak</v>
          </cell>
          <cell r="V1029">
            <v>46050</v>
          </cell>
          <cell r="W1029">
            <v>46134</v>
          </cell>
          <cell r="Y1029">
            <v>45981</v>
          </cell>
          <cell r="AC1029">
            <v>46132</v>
          </cell>
        </row>
        <row r="1030">
          <cell r="I1030" t="str">
            <v>EDI</v>
          </cell>
          <cell r="L1030">
            <v>4270</v>
          </cell>
          <cell r="N1030" t="str">
            <v>Testing</v>
          </cell>
          <cell r="O1030" t="str">
            <v>No</v>
          </cell>
          <cell r="Q1030" t="str">
            <v>In Progress</v>
          </cell>
          <cell r="R1030">
            <v>45980.775416666656</v>
          </cell>
          <cell r="S1030" t="str">
            <v>Mirna Azmy</v>
          </cell>
          <cell r="T1030">
            <v>45995</v>
          </cell>
          <cell r="U1030" t="str">
            <v>Rhettsmey Meak</v>
          </cell>
          <cell r="V1030">
            <v>46071</v>
          </cell>
          <cell r="Y1030">
            <v>45994</v>
          </cell>
        </row>
        <row r="1031">
          <cell r="I1031" t="str">
            <v>EDI</v>
          </cell>
          <cell r="L1031">
            <v>4262</v>
          </cell>
          <cell r="N1031" t="str">
            <v>Production</v>
          </cell>
          <cell r="O1031" t="str">
            <v>No</v>
          </cell>
          <cell r="Q1031" t="str">
            <v>Live</v>
          </cell>
          <cell r="R1031">
            <v>45980.703460648147</v>
          </cell>
          <cell r="S1031" t="str">
            <v>Andrew Ramy</v>
          </cell>
          <cell r="T1031">
            <v>46019</v>
          </cell>
          <cell r="U1031" t="str">
            <v>Peter Abdelmalek</v>
          </cell>
          <cell r="V1031">
            <v>46007</v>
          </cell>
          <cell r="W1031">
            <v>46051</v>
          </cell>
          <cell r="Y1031">
            <v>45988</v>
          </cell>
          <cell r="AC1031">
            <v>46050</v>
          </cell>
        </row>
        <row r="1032">
          <cell r="I1032" t="str">
            <v>EDI</v>
          </cell>
          <cell r="L1032">
            <v>4271</v>
          </cell>
          <cell r="N1032" t="str">
            <v>Production</v>
          </cell>
          <cell r="O1032" t="str">
            <v>No</v>
          </cell>
          <cell r="Q1032" t="str">
            <v>Live</v>
          </cell>
          <cell r="R1032">
            <v>45979.790625000001</v>
          </cell>
          <cell r="S1032" t="str">
            <v>Mark Albert</v>
          </cell>
          <cell r="T1032">
            <v>45998</v>
          </cell>
          <cell r="U1032" t="str">
            <v>Rhettsmey Meak</v>
          </cell>
          <cell r="W1032">
            <v>46107</v>
          </cell>
          <cell r="Y1032">
            <v>45995</v>
          </cell>
          <cell r="AC1032">
            <v>46105</v>
          </cell>
        </row>
        <row r="1033">
          <cell r="I1033" t="str">
            <v>EDI</v>
          </cell>
          <cell r="L1033">
            <v>4263</v>
          </cell>
          <cell r="N1033" t="str">
            <v>Production</v>
          </cell>
          <cell r="O1033" t="str">
            <v>No</v>
          </cell>
          <cell r="Q1033" t="str">
            <v>Live</v>
          </cell>
          <cell r="R1033">
            <v>45979.789895833332</v>
          </cell>
          <cell r="S1033" t="str">
            <v>Alaa Yehia</v>
          </cell>
          <cell r="T1033">
            <v>45994</v>
          </cell>
          <cell r="U1033" t="str">
            <v>Rhettsmey Meak</v>
          </cell>
          <cell r="V1033">
            <v>46020</v>
          </cell>
          <cell r="W1033">
            <v>46091</v>
          </cell>
          <cell r="Y1033">
            <v>45993</v>
          </cell>
          <cell r="AC1033">
            <v>46086</v>
          </cell>
        </row>
        <row r="1034">
          <cell r="I1034" t="str">
            <v>EDI</v>
          </cell>
          <cell r="L1034">
            <v>4240</v>
          </cell>
          <cell r="N1034" t="str">
            <v>Production</v>
          </cell>
          <cell r="O1034" t="str">
            <v>No</v>
          </cell>
          <cell r="Q1034" t="str">
            <v>Live</v>
          </cell>
          <cell r="R1034">
            <v>45978.901817129627</v>
          </cell>
          <cell r="S1034" t="str">
            <v>Zeyad Khaled</v>
          </cell>
          <cell r="T1034">
            <v>45981</v>
          </cell>
          <cell r="U1034" t="str">
            <v>Trish Kalinczok</v>
          </cell>
          <cell r="V1034">
            <v>45985</v>
          </cell>
          <cell r="W1034">
            <v>25569</v>
          </cell>
          <cell r="Y1034">
            <v>45981</v>
          </cell>
          <cell r="AC1034">
            <v>46020</v>
          </cell>
        </row>
        <row r="1035">
          <cell r="I1035" t="str">
            <v>EDI</v>
          </cell>
          <cell r="L1035">
            <v>4239</v>
          </cell>
          <cell r="N1035" t="str">
            <v>Production</v>
          </cell>
          <cell r="O1035" t="str">
            <v>No</v>
          </cell>
          <cell r="Q1035" t="str">
            <v>Live</v>
          </cell>
          <cell r="R1035">
            <v>45978.865682870368</v>
          </cell>
          <cell r="S1035" t="str">
            <v>Dina Medhat</v>
          </cell>
          <cell r="T1035">
            <v>45979</v>
          </cell>
          <cell r="U1035" t="str">
            <v>Hans De Grouw</v>
          </cell>
          <cell r="V1035">
            <v>46028</v>
          </cell>
          <cell r="W1035">
            <v>46037</v>
          </cell>
          <cell r="AC1035">
            <v>46056</v>
          </cell>
        </row>
        <row r="1036">
          <cell r="I1036" t="str">
            <v>EDI</v>
          </cell>
          <cell r="L1036">
            <v>4239</v>
          </cell>
          <cell r="N1036" t="str">
            <v>Production</v>
          </cell>
          <cell r="O1036" t="str">
            <v>No</v>
          </cell>
          <cell r="Q1036" t="str">
            <v>Live</v>
          </cell>
          <cell r="R1036">
            <v>45978.863796296297</v>
          </cell>
          <cell r="S1036" t="str">
            <v>Dina Medhat</v>
          </cell>
          <cell r="T1036">
            <v>45979</v>
          </cell>
          <cell r="U1036" t="str">
            <v>Hans De Grouw</v>
          </cell>
          <cell r="V1036">
            <v>46028</v>
          </cell>
          <cell r="W1036">
            <v>46037</v>
          </cell>
          <cell r="AC1036">
            <v>46056</v>
          </cell>
        </row>
        <row r="1037">
          <cell r="I1037" t="str">
            <v>EDI</v>
          </cell>
          <cell r="L1037">
            <v>4239</v>
          </cell>
          <cell r="N1037" t="str">
            <v>Production</v>
          </cell>
          <cell r="O1037" t="str">
            <v>No</v>
          </cell>
          <cell r="Q1037" t="str">
            <v>Live</v>
          </cell>
          <cell r="R1037">
            <v>45978.861967592587</v>
          </cell>
          <cell r="S1037" t="str">
            <v>Dina Medhat</v>
          </cell>
          <cell r="T1037">
            <v>45979</v>
          </cell>
          <cell r="U1037" t="str">
            <v>Hans De Grouw</v>
          </cell>
          <cell r="V1037">
            <v>46028</v>
          </cell>
          <cell r="W1037">
            <v>46037</v>
          </cell>
          <cell r="AC1037">
            <v>46056</v>
          </cell>
        </row>
        <row r="1038">
          <cell r="I1038" t="str">
            <v>EDI</v>
          </cell>
          <cell r="L1038">
            <v>4239</v>
          </cell>
          <cell r="N1038" t="str">
            <v>Production</v>
          </cell>
          <cell r="O1038" t="str">
            <v>No</v>
          </cell>
          <cell r="Q1038" t="str">
            <v>Live</v>
          </cell>
          <cell r="R1038">
            <v>45978.859942129631</v>
          </cell>
          <cell r="S1038" t="str">
            <v>Dina Medhat</v>
          </cell>
          <cell r="T1038">
            <v>45979</v>
          </cell>
          <cell r="U1038" t="str">
            <v>Hans De Grouw</v>
          </cell>
          <cell r="V1038">
            <v>46028</v>
          </cell>
          <cell r="W1038">
            <v>46037</v>
          </cell>
          <cell r="AC1038">
            <v>46056</v>
          </cell>
        </row>
        <row r="1039">
          <cell r="I1039" t="str">
            <v>EDI</v>
          </cell>
          <cell r="L1039">
            <v>4239</v>
          </cell>
          <cell r="N1039" t="str">
            <v>Production</v>
          </cell>
          <cell r="O1039" t="str">
            <v>No</v>
          </cell>
          <cell r="Q1039" t="str">
            <v>Live</v>
          </cell>
          <cell r="R1039">
            <v>45978.858356481483</v>
          </cell>
          <cell r="S1039" t="str">
            <v>Dina Medhat</v>
          </cell>
          <cell r="T1039">
            <v>45979</v>
          </cell>
          <cell r="U1039" t="str">
            <v>Hans De Grouw</v>
          </cell>
          <cell r="V1039">
            <v>46028</v>
          </cell>
          <cell r="W1039">
            <v>46037</v>
          </cell>
          <cell r="AC1039">
            <v>46056</v>
          </cell>
        </row>
        <row r="1040">
          <cell r="I1040" t="str">
            <v>EDI</v>
          </cell>
          <cell r="L1040">
            <v>4239</v>
          </cell>
          <cell r="N1040" t="str">
            <v>Production</v>
          </cell>
          <cell r="O1040" t="str">
            <v>No</v>
          </cell>
          <cell r="Q1040" t="str">
            <v>Live</v>
          </cell>
          <cell r="R1040">
            <v>45978.856747685182</v>
          </cell>
          <cell r="S1040" t="str">
            <v>Dina Medhat</v>
          </cell>
          <cell r="T1040">
            <v>45979</v>
          </cell>
          <cell r="U1040" t="str">
            <v>Hans De Grouw</v>
          </cell>
          <cell r="V1040">
            <v>46028</v>
          </cell>
          <cell r="W1040">
            <v>46037</v>
          </cell>
          <cell r="AC1040">
            <v>46056</v>
          </cell>
        </row>
        <row r="1041">
          <cell r="I1041" t="str">
            <v>EDI</v>
          </cell>
          <cell r="L1041">
            <v>4239</v>
          </cell>
          <cell r="N1041" t="str">
            <v>Production</v>
          </cell>
          <cell r="O1041" t="str">
            <v>No</v>
          </cell>
          <cell r="Q1041" t="str">
            <v>Live</v>
          </cell>
          <cell r="R1041">
            <v>45978.855057870373</v>
          </cell>
          <cell r="S1041" t="str">
            <v>Dina Medhat</v>
          </cell>
          <cell r="T1041">
            <v>45979</v>
          </cell>
          <cell r="U1041" t="str">
            <v>Hans De Grouw</v>
          </cell>
          <cell r="V1041">
            <v>46028</v>
          </cell>
          <cell r="W1041">
            <v>46037</v>
          </cell>
          <cell r="AC1041">
            <v>46056</v>
          </cell>
        </row>
        <row r="1042">
          <cell r="I1042" t="str">
            <v>EDI</v>
          </cell>
          <cell r="L1042">
            <v>4239</v>
          </cell>
          <cell r="N1042" t="str">
            <v>Production</v>
          </cell>
          <cell r="O1042" t="str">
            <v>No</v>
          </cell>
          <cell r="Q1042" t="str">
            <v>Live</v>
          </cell>
          <cell r="R1042">
            <v>45978.852800925917</v>
          </cell>
          <cell r="S1042" t="str">
            <v>Dina Medhat</v>
          </cell>
          <cell r="T1042">
            <v>45979</v>
          </cell>
          <cell r="U1042" t="str">
            <v>Hans De Grouw</v>
          </cell>
          <cell r="V1042">
            <v>46028</v>
          </cell>
          <cell r="W1042">
            <v>46037</v>
          </cell>
          <cell r="AC1042">
            <v>46056</v>
          </cell>
        </row>
        <row r="1043">
          <cell r="I1043" t="str">
            <v>EDI</v>
          </cell>
          <cell r="L1043">
            <v>4239</v>
          </cell>
          <cell r="N1043" t="str">
            <v>Production</v>
          </cell>
          <cell r="O1043" t="str">
            <v>No</v>
          </cell>
          <cell r="Q1043" t="str">
            <v>Live</v>
          </cell>
          <cell r="R1043">
            <v>45978.847418981481</v>
          </cell>
          <cell r="S1043" t="str">
            <v>Dina Medhat</v>
          </cell>
          <cell r="T1043">
            <v>45979</v>
          </cell>
          <cell r="U1043" t="str">
            <v>Hans De Grouw</v>
          </cell>
          <cell r="V1043">
            <v>46028</v>
          </cell>
          <cell r="W1043">
            <v>46037</v>
          </cell>
          <cell r="AC1043">
            <v>46056</v>
          </cell>
        </row>
        <row r="1044">
          <cell r="I1044" t="str">
            <v>EDI</v>
          </cell>
          <cell r="L1044">
            <v>4239</v>
          </cell>
          <cell r="N1044" t="str">
            <v>Production</v>
          </cell>
          <cell r="O1044" t="str">
            <v>No</v>
          </cell>
          <cell r="Q1044" t="str">
            <v>Live</v>
          </cell>
          <cell r="R1044">
            <v>45978.845821759263</v>
          </cell>
          <cell r="S1044" t="str">
            <v>Dina Medhat</v>
          </cell>
          <cell r="T1044">
            <v>45979</v>
          </cell>
          <cell r="U1044" t="str">
            <v>Hans De Grouw</v>
          </cell>
          <cell r="V1044">
            <v>46028</v>
          </cell>
          <cell r="W1044">
            <v>46037</v>
          </cell>
          <cell r="AC1044">
            <v>46056</v>
          </cell>
        </row>
        <row r="1045">
          <cell r="I1045" t="str">
            <v>EDI</v>
          </cell>
          <cell r="L1045">
            <v>4239</v>
          </cell>
          <cell r="N1045" t="str">
            <v>Production</v>
          </cell>
          <cell r="O1045" t="str">
            <v>No</v>
          </cell>
          <cell r="Q1045" t="str">
            <v>Live</v>
          </cell>
          <cell r="R1045">
            <v>45978.842152777783</v>
          </cell>
          <cell r="S1045" t="str">
            <v>Dina Medhat</v>
          </cell>
          <cell r="T1045">
            <v>45979</v>
          </cell>
          <cell r="U1045" t="str">
            <v>Hans De Grouw</v>
          </cell>
          <cell r="V1045">
            <v>46028</v>
          </cell>
          <cell r="W1045">
            <v>46037</v>
          </cell>
          <cell r="AC1045">
            <v>46056</v>
          </cell>
        </row>
        <row r="1046">
          <cell r="I1046" t="str">
            <v>EDI</v>
          </cell>
          <cell r="L1046">
            <v>4239</v>
          </cell>
          <cell r="N1046" t="str">
            <v>Production</v>
          </cell>
          <cell r="O1046" t="str">
            <v>No</v>
          </cell>
          <cell r="Q1046" t="str">
            <v>Live</v>
          </cell>
          <cell r="R1046">
            <v>45978.840532407397</v>
          </cell>
          <cell r="S1046" t="str">
            <v>Mina Kamil</v>
          </cell>
          <cell r="T1046">
            <v>45981</v>
          </cell>
          <cell r="U1046" t="str">
            <v>Hans De Grouw</v>
          </cell>
          <cell r="V1046">
            <v>46028</v>
          </cell>
          <cell r="W1046">
            <v>46037</v>
          </cell>
          <cell r="Y1046">
            <v>45981</v>
          </cell>
          <cell r="AC1046">
            <v>46030</v>
          </cell>
        </row>
        <row r="1047">
          <cell r="I1047" t="str">
            <v>EDI</v>
          </cell>
          <cell r="L1047">
            <v>4336</v>
          </cell>
          <cell r="N1047" t="str">
            <v>Production</v>
          </cell>
          <cell r="O1047" t="str">
            <v>No</v>
          </cell>
          <cell r="Q1047" t="str">
            <v>Live</v>
          </cell>
          <cell r="R1047">
            <v>45978.789189814823</v>
          </cell>
          <cell r="S1047" t="str">
            <v>Josephine Ossama</v>
          </cell>
          <cell r="T1047">
            <v>46019</v>
          </cell>
          <cell r="U1047" t="str">
            <v>Peter Abdelmalek</v>
          </cell>
          <cell r="V1047">
            <v>46031</v>
          </cell>
          <cell r="W1047">
            <v>46080</v>
          </cell>
          <cell r="Y1047">
            <v>46015</v>
          </cell>
          <cell r="AC1047">
            <v>46076</v>
          </cell>
        </row>
        <row r="1048">
          <cell r="I1048" t="str">
            <v>EDI</v>
          </cell>
          <cell r="L1048">
            <v>4303</v>
          </cell>
          <cell r="N1048" t="str">
            <v>Production</v>
          </cell>
          <cell r="O1048" t="str">
            <v>No</v>
          </cell>
          <cell r="Q1048" t="str">
            <v>Live</v>
          </cell>
          <cell r="R1048">
            <v>45975.860810185193</v>
          </cell>
          <cell r="S1048" t="str">
            <v>Reem Radwan</v>
          </cell>
          <cell r="T1048">
            <v>46008</v>
          </cell>
          <cell r="U1048" t="str">
            <v>Gregory Dubec</v>
          </cell>
          <cell r="V1048">
            <v>46054</v>
          </cell>
          <cell r="W1048">
            <v>46184</v>
          </cell>
          <cell r="Y1048">
            <v>46007</v>
          </cell>
          <cell r="AC1048">
            <v>46184</v>
          </cell>
        </row>
        <row r="1049">
          <cell r="I1049" t="str">
            <v>EDI</v>
          </cell>
          <cell r="L1049">
            <v>4257</v>
          </cell>
          <cell r="N1049" t="str">
            <v>Production</v>
          </cell>
          <cell r="O1049" t="str">
            <v>No</v>
          </cell>
          <cell r="Q1049" t="str">
            <v>Live</v>
          </cell>
          <cell r="R1049">
            <v>45975.600312499999</v>
          </cell>
          <cell r="S1049" t="str">
            <v>Ahmed Ali</v>
          </cell>
          <cell r="T1049">
            <v>45991</v>
          </cell>
          <cell r="U1049" t="str">
            <v>Robbie Schappell</v>
          </cell>
          <cell r="V1049">
            <v>46021</v>
          </cell>
          <cell r="W1049">
            <v>46083</v>
          </cell>
          <cell r="Y1049">
            <v>45988</v>
          </cell>
          <cell r="AC1049">
            <v>46082</v>
          </cell>
        </row>
        <row r="1050">
          <cell r="I1050" t="str">
            <v>EDI</v>
          </cell>
          <cell r="L1050">
            <v>4282</v>
          </cell>
          <cell r="N1050" t="str">
            <v>Production</v>
          </cell>
          <cell r="O1050" t="str">
            <v>No</v>
          </cell>
          <cell r="Q1050" t="str">
            <v>Cancelled</v>
          </cell>
          <cell r="R1050">
            <v>45975.600312499999</v>
          </cell>
          <cell r="S1050" t="str">
            <v>Karen Ramy</v>
          </cell>
          <cell r="T1050">
            <v>46000</v>
          </cell>
          <cell r="U1050" t="str">
            <v>Robbie Schappell</v>
          </cell>
          <cell r="V1050">
            <v>46033</v>
          </cell>
          <cell r="W1050">
            <v>46083</v>
          </cell>
          <cell r="Y1050">
            <v>45999</v>
          </cell>
          <cell r="AC1050">
            <v>46078</v>
          </cell>
        </row>
        <row r="1051">
          <cell r="I1051" t="str">
            <v>EDI</v>
          </cell>
          <cell r="L1051">
            <v>4231</v>
          </cell>
          <cell r="N1051" t="str">
            <v>Production</v>
          </cell>
          <cell r="O1051" t="str">
            <v>No</v>
          </cell>
          <cell r="Q1051" t="str">
            <v>Live</v>
          </cell>
          <cell r="R1051">
            <v>45974.948182870372</v>
          </cell>
          <cell r="S1051" t="str">
            <v>Mirna Azmy</v>
          </cell>
          <cell r="T1051">
            <v>46000</v>
          </cell>
          <cell r="U1051" t="str">
            <v>Trish Kalinczok</v>
          </cell>
          <cell r="W1051">
            <v>25569</v>
          </cell>
          <cell r="Y1051">
            <v>45999</v>
          </cell>
          <cell r="AC1051">
            <v>46034</v>
          </cell>
        </row>
        <row r="1052">
          <cell r="I1052" t="str">
            <v>EDI</v>
          </cell>
          <cell r="L1052">
            <v>4242</v>
          </cell>
          <cell r="N1052" t="str">
            <v>Production</v>
          </cell>
          <cell r="O1052" t="str">
            <v>No</v>
          </cell>
          <cell r="Q1052" t="str">
            <v>Live</v>
          </cell>
          <cell r="R1052">
            <v>45974.877615740741</v>
          </cell>
          <cell r="S1052" t="str">
            <v>Dina Medhat</v>
          </cell>
          <cell r="T1052">
            <v>45978</v>
          </cell>
          <cell r="U1052" t="str">
            <v>Hans De Grouw</v>
          </cell>
          <cell r="W1052">
            <v>46057</v>
          </cell>
          <cell r="AC1052">
            <v>46058</v>
          </cell>
        </row>
        <row r="1053">
          <cell r="I1053" t="str">
            <v>EDI</v>
          </cell>
          <cell r="L1053">
            <v>4242</v>
          </cell>
          <cell r="N1053" t="str">
            <v>Production</v>
          </cell>
          <cell r="O1053" t="str">
            <v>No</v>
          </cell>
          <cell r="Q1053" t="str">
            <v>Live</v>
          </cell>
          <cell r="R1053">
            <v>45974.875162037039</v>
          </cell>
          <cell r="S1053" t="str">
            <v>Dina Medhat</v>
          </cell>
          <cell r="T1053">
            <v>45978</v>
          </cell>
          <cell r="U1053" t="str">
            <v>Hans De Grouw</v>
          </cell>
          <cell r="W1053">
            <v>46057</v>
          </cell>
          <cell r="AC1053">
            <v>46058</v>
          </cell>
        </row>
        <row r="1054">
          <cell r="I1054" t="str">
            <v>EDI</v>
          </cell>
          <cell r="L1054">
            <v>4242</v>
          </cell>
          <cell r="N1054" t="str">
            <v>Production</v>
          </cell>
          <cell r="O1054" t="str">
            <v>No</v>
          </cell>
          <cell r="Q1054" t="str">
            <v>Live</v>
          </cell>
          <cell r="R1054">
            <v>45974.872453703712</v>
          </cell>
          <cell r="S1054" t="str">
            <v>Dina Medhat</v>
          </cell>
          <cell r="T1054">
            <v>45978</v>
          </cell>
          <cell r="U1054" t="str">
            <v>Hans De Grouw</v>
          </cell>
          <cell r="W1054">
            <v>46057</v>
          </cell>
          <cell r="AC1054">
            <v>46058</v>
          </cell>
        </row>
        <row r="1055">
          <cell r="I1055" t="str">
            <v>EDI</v>
          </cell>
          <cell r="L1055">
            <v>4242</v>
          </cell>
          <cell r="N1055" t="str">
            <v>Production</v>
          </cell>
          <cell r="O1055" t="str">
            <v>No</v>
          </cell>
          <cell r="Q1055" t="str">
            <v>Live</v>
          </cell>
          <cell r="R1055">
            <v>45974.870416666658</v>
          </cell>
          <cell r="S1055" t="str">
            <v>Dina Medhat</v>
          </cell>
          <cell r="T1055">
            <v>45978</v>
          </cell>
          <cell r="U1055" t="str">
            <v>Hans De Grouw</v>
          </cell>
          <cell r="W1055">
            <v>46057</v>
          </cell>
          <cell r="AC1055">
            <v>46058</v>
          </cell>
        </row>
        <row r="1056">
          <cell r="I1056" t="str">
            <v>EDI</v>
          </cell>
          <cell r="L1056">
            <v>4242</v>
          </cell>
          <cell r="N1056" t="str">
            <v>Production</v>
          </cell>
          <cell r="O1056" t="str">
            <v>No</v>
          </cell>
          <cell r="Q1056" t="str">
            <v>Live</v>
          </cell>
          <cell r="R1056">
            <v>45974.868171296293</v>
          </cell>
          <cell r="S1056" t="str">
            <v>Dina Medhat</v>
          </cell>
          <cell r="T1056">
            <v>45978</v>
          </cell>
          <cell r="U1056" t="str">
            <v>Hans De Grouw</v>
          </cell>
          <cell r="W1056">
            <v>46057</v>
          </cell>
          <cell r="AC1056">
            <v>46058</v>
          </cell>
        </row>
        <row r="1057">
          <cell r="I1057" t="str">
            <v>EDI</v>
          </cell>
          <cell r="L1057">
            <v>4301</v>
          </cell>
          <cell r="N1057" t="str">
            <v>Production</v>
          </cell>
          <cell r="O1057" t="str">
            <v>No</v>
          </cell>
          <cell r="Q1057" t="str">
            <v>Live</v>
          </cell>
          <cell r="R1057">
            <v>45974.8671412037</v>
          </cell>
          <cell r="S1057" t="str">
            <v>Zeyad Khaled</v>
          </cell>
          <cell r="T1057">
            <v>46006</v>
          </cell>
          <cell r="U1057" t="str">
            <v>Gregory Dubec</v>
          </cell>
          <cell r="V1057">
            <v>46027</v>
          </cell>
          <cell r="W1057">
            <v>46037</v>
          </cell>
          <cell r="Y1057">
            <v>46005</v>
          </cell>
          <cell r="AC1057">
            <v>46030</v>
          </cell>
        </row>
        <row r="1058">
          <cell r="I1058" t="str">
            <v>EDI</v>
          </cell>
          <cell r="N1058" t="str">
            <v>Requirements Gathering</v>
          </cell>
          <cell r="O1058" t="str">
            <v>No</v>
          </cell>
          <cell r="Q1058" t="str">
            <v>Cancelled</v>
          </cell>
          <cell r="R1058">
            <v>45974.8671412037</v>
          </cell>
          <cell r="S1058" t="str">
            <v>Sandra Adel</v>
          </cell>
          <cell r="T1058">
            <v>45978</v>
          </cell>
          <cell r="U1058" t="str">
            <v>Gregory Dubec</v>
          </cell>
        </row>
        <row r="1059">
          <cell r="I1059" t="str">
            <v>EDI</v>
          </cell>
          <cell r="L1059">
            <v>4242</v>
          </cell>
          <cell r="N1059" t="str">
            <v>Production</v>
          </cell>
          <cell r="O1059" t="str">
            <v>No</v>
          </cell>
          <cell r="Q1059" t="str">
            <v>Live</v>
          </cell>
          <cell r="R1059">
            <v>45974.86577546296</v>
          </cell>
          <cell r="S1059" t="str">
            <v>Dina Medhat</v>
          </cell>
          <cell r="T1059">
            <v>45978</v>
          </cell>
          <cell r="U1059" t="str">
            <v>Hans De Grouw</v>
          </cell>
          <cell r="W1059">
            <v>46057</v>
          </cell>
          <cell r="AC1059">
            <v>46058</v>
          </cell>
        </row>
        <row r="1060">
          <cell r="I1060" t="str">
            <v>EDI</v>
          </cell>
          <cell r="L1060">
            <v>4242</v>
          </cell>
          <cell r="N1060" t="str">
            <v>Production</v>
          </cell>
          <cell r="O1060" t="str">
            <v>No</v>
          </cell>
          <cell r="Q1060" t="str">
            <v>Live</v>
          </cell>
          <cell r="R1060">
            <v>45974.863564814812</v>
          </cell>
          <cell r="S1060" t="str">
            <v>Dina Medhat</v>
          </cell>
          <cell r="T1060">
            <v>45978</v>
          </cell>
          <cell r="U1060" t="str">
            <v>Hans De Grouw</v>
          </cell>
          <cell r="W1060">
            <v>46057</v>
          </cell>
          <cell r="AC1060">
            <v>46058</v>
          </cell>
        </row>
        <row r="1061">
          <cell r="I1061" t="str">
            <v>EDI</v>
          </cell>
          <cell r="L1061">
            <v>4242</v>
          </cell>
          <cell r="N1061" t="str">
            <v>Production</v>
          </cell>
          <cell r="O1061" t="str">
            <v>No</v>
          </cell>
          <cell r="Q1061" t="str">
            <v>Live</v>
          </cell>
          <cell r="R1061">
            <v>45974.861481481479</v>
          </cell>
          <cell r="S1061" t="str">
            <v>Dina Medhat</v>
          </cell>
          <cell r="T1061">
            <v>45978</v>
          </cell>
          <cell r="U1061" t="str">
            <v>Hans De Grouw</v>
          </cell>
          <cell r="W1061">
            <v>46057</v>
          </cell>
          <cell r="AC1061">
            <v>46058</v>
          </cell>
        </row>
        <row r="1062">
          <cell r="I1062" t="str">
            <v>EDI</v>
          </cell>
          <cell r="L1062">
            <v>4242</v>
          </cell>
          <cell r="N1062" t="str">
            <v>Production</v>
          </cell>
          <cell r="O1062" t="str">
            <v>No</v>
          </cell>
          <cell r="Q1062" t="str">
            <v>Live</v>
          </cell>
          <cell r="R1062">
            <v>45974.859016203707</v>
          </cell>
          <cell r="S1062" t="str">
            <v>Dina Medhat</v>
          </cell>
          <cell r="T1062">
            <v>45978</v>
          </cell>
          <cell r="U1062" t="str">
            <v>Hans De Grouw</v>
          </cell>
          <cell r="W1062">
            <v>46057</v>
          </cell>
          <cell r="AC1062">
            <v>46058</v>
          </cell>
        </row>
        <row r="1063">
          <cell r="I1063" t="str">
            <v>EDI</v>
          </cell>
          <cell r="L1063">
            <v>4242</v>
          </cell>
          <cell r="N1063" t="str">
            <v>Production</v>
          </cell>
          <cell r="O1063" t="str">
            <v>No</v>
          </cell>
          <cell r="Q1063" t="str">
            <v>Live</v>
          </cell>
          <cell r="R1063">
            <v>45974.855775462973</v>
          </cell>
          <cell r="S1063" t="str">
            <v>Dina Medhat</v>
          </cell>
          <cell r="T1063">
            <v>45978</v>
          </cell>
          <cell r="U1063" t="str">
            <v>Hans De Grouw</v>
          </cell>
          <cell r="W1063">
            <v>46057</v>
          </cell>
          <cell r="AC1063">
            <v>46058</v>
          </cell>
        </row>
        <row r="1064">
          <cell r="I1064" t="str">
            <v>EDI</v>
          </cell>
          <cell r="L1064">
            <v>4242</v>
          </cell>
          <cell r="N1064" t="str">
            <v>Production</v>
          </cell>
          <cell r="O1064" t="str">
            <v>No</v>
          </cell>
          <cell r="Q1064" t="str">
            <v>Live</v>
          </cell>
          <cell r="R1064">
            <v>45974.853067129632</v>
          </cell>
          <cell r="S1064" t="str">
            <v>Dina Medhat</v>
          </cell>
          <cell r="T1064">
            <v>45978</v>
          </cell>
          <cell r="U1064" t="str">
            <v>Hans De Grouw</v>
          </cell>
          <cell r="W1064">
            <v>46057</v>
          </cell>
          <cell r="AC1064">
            <v>46058</v>
          </cell>
        </row>
        <row r="1065">
          <cell r="I1065" t="str">
            <v>EDI</v>
          </cell>
          <cell r="L1065">
            <v>4242</v>
          </cell>
          <cell r="N1065" t="str">
            <v>Production</v>
          </cell>
          <cell r="O1065" t="str">
            <v>No</v>
          </cell>
          <cell r="Q1065" t="str">
            <v>Live</v>
          </cell>
          <cell r="R1065">
            <v>45974.847962962973</v>
          </cell>
          <cell r="S1065" t="str">
            <v>Aya Fathy</v>
          </cell>
          <cell r="T1065">
            <v>46049</v>
          </cell>
          <cell r="U1065" t="str">
            <v>Matt Howell</v>
          </cell>
          <cell r="W1065">
            <v>46057</v>
          </cell>
          <cell r="Y1065">
            <v>45981</v>
          </cell>
          <cell r="AC1065">
            <v>46057</v>
          </cell>
        </row>
        <row r="1066">
          <cell r="I1066" t="str">
            <v>EDI</v>
          </cell>
          <cell r="L1066">
            <v>4249</v>
          </cell>
          <cell r="N1066" t="str">
            <v>Testing</v>
          </cell>
          <cell r="O1066" t="str">
            <v>No</v>
          </cell>
          <cell r="Q1066" t="str">
            <v>Cancelled</v>
          </cell>
          <cell r="R1066">
            <v>45973.926782407398</v>
          </cell>
          <cell r="S1066" t="str">
            <v>Josephine Ossama</v>
          </cell>
          <cell r="T1066">
            <v>45986</v>
          </cell>
          <cell r="U1066" t="str">
            <v>Lonnie Celestin</v>
          </cell>
          <cell r="V1066">
            <v>46043</v>
          </cell>
          <cell r="Y1066">
            <v>45985</v>
          </cell>
        </row>
        <row r="1067">
          <cell r="I1067" t="str">
            <v>EDI</v>
          </cell>
          <cell r="L1067">
            <v>4256</v>
          </cell>
          <cell r="N1067" t="str">
            <v>Production</v>
          </cell>
          <cell r="O1067" t="str">
            <v>No</v>
          </cell>
          <cell r="Q1067" t="str">
            <v>Cancelled</v>
          </cell>
          <cell r="R1067">
            <v>45973.925543981481</v>
          </cell>
          <cell r="S1067" t="str">
            <v>Alaa Yehia</v>
          </cell>
          <cell r="T1067">
            <v>45986</v>
          </cell>
          <cell r="U1067" t="str">
            <v>Lonnie Celestin</v>
          </cell>
          <cell r="V1067">
            <v>46037</v>
          </cell>
          <cell r="W1067">
            <v>46051</v>
          </cell>
          <cell r="Y1067">
            <v>45981</v>
          </cell>
          <cell r="AC1067">
            <v>46041</v>
          </cell>
        </row>
        <row r="1068">
          <cell r="I1068" t="str">
            <v>EDI</v>
          </cell>
          <cell r="L1068">
            <v>4222</v>
          </cell>
          <cell r="N1068" t="str">
            <v>Production</v>
          </cell>
          <cell r="O1068" t="str">
            <v>No</v>
          </cell>
          <cell r="Q1068" t="str">
            <v>Live</v>
          </cell>
          <cell r="R1068">
            <v>45973.874097222222</v>
          </cell>
          <cell r="S1068" t="str">
            <v>Mark Albert</v>
          </cell>
          <cell r="T1068">
            <v>45985</v>
          </cell>
          <cell r="U1068" t="str">
            <v>Trish Kalinczok</v>
          </cell>
          <cell r="V1068">
            <v>45994</v>
          </cell>
          <cell r="W1068">
            <v>46055</v>
          </cell>
          <cell r="Y1068">
            <v>45981</v>
          </cell>
          <cell r="AC1068">
            <v>46055</v>
          </cell>
        </row>
        <row r="1069">
          <cell r="I1069" t="str">
            <v>EDI</v>
          </cell>
          <cell r="L1069">
            <v>4652</v>
          </cell>
          <cell r="N1069" t="str">
            <v>Testing</v>
          </cell>
          <cell r="O1069" t="str">
            <v>No</v>
          </cell>
          <cell r="Q1069" t="str">
            <v>In Progress</v>
          </cell>
          <cell r="R1069">
            <v>45973.6559375</v>
          </cell>
          <cell r="S1069" t="str">
            <v>Omnia Abdelaziz</v>
          </cell>
          <cell r="T1069">
            <v>46090</v>
          </cell>
          <cell r="U1069" t="str">
            <v>Benjamin Labowitz</v>
          </cell>
          <cell r="V1069">
            <v>46105</v>
          </cell>
          <cell r="Y1069">
            <v>46090</v>
          </cell>
        </row>
        <row r="1070">
          <cell r="I1070" t="str">
            <v>EDI</v>
          </cell>
          <cell r="L1070">
            <v>4579</v>
          </cell>
          <cell r="N1070" t="str">
            <v>Testing</v>
          </cell>
          <cell r="O1070" t="str">
            <v>No</v>
          </cell>
          <cell r="Q1070" t="str">
            <v>Cancelled</v>
          </cell>
          <cell r="R1070">
            <v>45972.671342592592</v>
          </cell>
          <cell r="S1070" t="str">
            <v>Mirna Azmy</v>
          </cell>
          <cell r="T1070">
            <v>46078</v>
          </cell>
          <cell r="U1070" t="str">
            <v>Rhettsmey Meak</v>
          </cell>
          <cell r="V1070">
            <v>25569</v>
          </cell>
          <cell r="Y1070">
            <v>46077</v>
          </cell>
        </row>
        <row r="1071">
          <cell r="I1071" t="str">
            <v>EDI</v>
          </cell>
          <cell r="L1071">
            <v>4244</v>
          </cell>
          <cell r="N1071" t="str">
            <v>Production</v>
          </cell>
          <cell r="O1071" t="str">
            <v>No</v>
          </cell>
          <cell r="Q1071" t="str">
            <v>Live</v>
          </cell>
          <cell r="R1071">
            <v>45972.66909722222</v>
          </cell>
          <cell r="S1071" t="str">
            <v>Dina Medhat</v>
          </cell>
          <cell r="T1071">
            <v>45973</v>
          </cell>
          <cell r="U1071" t="str">
            <v>Hans De Grouw</v>
          </cell>
          <cell r="V1071">
            <v>46009</v>
          </cell>
          <cell r="W1071">
            <v>46020</v>
          </cell>
          <cell r="AC1071">
            <v>46059</v>
          </cell>
        </row>
        <row r="1072">
          <cell r="I1072" t="str">
            <v>EDI</v>
          </cell>
          <cell r="N1072" t="str">
            <v>Requirements Gathering</v>
          </cell>
          <cell r="O1072" t="str">
            <v>No</v>
          </cell>
          <cell r="Q1072" t="str">
            <v>Cancelled</v>
          </cell>
          <cell r="R1072">
            <v>45971.918634259258</v>
          </cell>
          <cell r="S1072" t="str">
            <v>Dina Medhat</v>
          </cell>
          <cell r="T1072">
            <v>45972</v>
          </cell>
          <cell r="U1072" t="str">
            <v>Hans De Grouw</v>
          </cell>
        </row>
        <row r="1073">
          <cell r="I1073" t="str">
            <v>EDI</v>
          </cell>
          <cell r="L1073">
            <v>4244</v>
          </cell>
          <cell r="N1073" t="str">
            <v>Production</v>
          </cell>
          <cell r="O1073" t="str">
            <v>No</v>
          </cell>
          <cell r="Q1073" t="str">
            <v>Live</v>
          </cell>
          <cell r="R1073">
            <v>45971.916273148148</v>
          </cell>
          <cell r="S1073" t="str">
            <v>Dina Medhat</v>
          </cell>
          <cell r="T1073">
            <v>45972</v>
          </cell>
          <cell r="U1073" t="str">
            <v>Hans De Grouw</v>
          </cell>
          <cell r="V1073">
            <v>46009</v>
          </cell>
          <cell r="W1073">
            <v>46020</v>
          </cell>
          <cell r="AC1073">
            <v>46059</v>
          </cell>
        </row>
        <row r="1074">
          <cell r="I1074" t="str">
            <v>EDI</v>
          </cell>
          <cell r="L1074">
            <v>4244</v>
          </cell>
          <cell r="N1074" t="str">
            <v>Production</v>
          </cell>
          <cell r="O1074" t="str">
            <v>No</v>
          </cell>
          <cell r="Q1074" t="str">
            <v>Live</v>
          </cell>
          <cell r="R1074">
            <v>45971.911215277767</v>
          </cell>
          <cell r="S1074" t="str">
            <v>Omnia Abdelaziz</v>
          </cell>
          <cell r="T1074">
            <v>45985</v>
          </cell>
          <cell r="U1074" t="str">
            <v>Hans De Grouw</v>
          </cell>
          <cell r="V1074">
            <v>46009</v>
          </cell>
          <cell r="W1074">
            <v>46020</v>
          </cell>
          <cell r="Y1074">
            <v>45981</v>
          </cell>
          <cell r="AC1074">
            <v>46014</v>
          </cell>
        </row>
        <row r="1075">
          <cell r="I1075" t="str">
            <v>EDI</v>
          </cell>
          <cell r="L1075">
            <v>4220</v>
          </cell>
          <cell r="N1075" t="str">
            <v>Production</v>
          </cell>
          <cell r="O1075" t="str">
            <v>eBenefits Network</v>
          </cell>
          <cell r="P1075" t="str">
            <v>Production</v>
          </cell>
          <cell r="Q1075" t="str">
            <v>Live</v>
          </cell>
          <cell r="R1075">
            <v>45970.769780092603</v>
          </cell>
          <cell r="S1075" t="str">
            <v>Omnia Abdelaziz</v>
          </cell>
          <cell r="T1075">
            <v>45972</v>
          </cell>
          <cell r="U1075" t="str">
            <v>Trish Kalinczok</v>
          </cell>
          <cell r="W1075">
            <v>46083</v>
          </cell>
          <cell r="Y1075">
            <v>45971</v>
          </cell>
          <cell r="AC1075">
            <v>46079</v>
          </cell>
        </row>
        <row r="1076">
          <cell r="I1076" t="str">
            <v>EDI</v>
          </cell>
          <cell r="L1076">
            <v>4216</v>
          </cell>
          <cell r="N1076" t="str">
            <v>Production</v>
          </cell>
          <cell r="O1076" t="str">
            <v>eBenefits Network</v>
          </cell>
          <cell r="P1076" t="str">
            <v>Migration Testing</v>
          </cell>
          <cell r="Q1076" t="str">
            <v>Live</v>
          </cell>
          <cell r="R1076">
            <v>45970.769768518519</v>
          </cell>
          <cell r="S1076" t="str">
            <v>Mark Albert</v>
          </cell>
          <cell r="T1076">
            <v>45972</v>
          </cell>
          <cell r="U1076" t="str">
            <v>Trish Kalinczok</v>
          </cell>
          <cell r="W1076">
            <v>46034</v>
          </cell>
          <cell r="Y1076">
            <v>45971</v>
          </cell>
          <cell r="AC1076">
            <v>46033</v>
          </cell>
        </row>
        <row r="1077">
          <cell r="I1077" t="str">
            <v>EDI</v>
          </cell>
          <cell r="L1077">
            <v>4219</v>
          </cell>
          <cell r="N1077" t="str">
            <v>Production</v>
          </cell>
          <cell r="O1077" t="str">
            <v>eBenefits Network</v>
          </cell>
          <cell r="P1077" t="str">
            <v>Production</v>
          </cell>
          <cell r="Q1077" t="str">
            <v>Live</v>
          </cell>
          <cell r="R1077">
            <v>45970.769768518519</v>
          </cell>
          <cell r="S1077" t="str">
            <v>Josephine Ossama</v>
          </cell>
          <cell r="T1077">
            <v>45972</v>
          </cell>
          <cell r="U1077" t="str">
            <v>Trish Kalinczok</v>
          </cell>
          <cell r="V1077">
            <v>45978</v>
          </cell>
          <cell r="W1077">
            <v>46020</v>
          </cell>
          <cell r="Y1077">
            <v>45971</v>
          </cell>
          <cell r="AC1077">
            <v>46015</v>
          </cell>
        </row>
        <row r="1078">
          <cell r="I1078" t="str">
            <v>EDI</v>
          </cell>
          <cell r="L1078">
            <v>4241</v>
          </cell>
          <cell r="N1078" t="str">
            <v>Production</v>
          </cell>
          <cell r="O1078" t="str">
            <v>No</v>
          </cell>
          <cell r="Q1078" t="str">
            <v>Live</v>
          </cell>
          <cell r="R1078">
            <v>45968.897557870368</v>
          </cell>
          <cell r="S1078" t="str">
            <v>Mirna Azmy</v>
          </cell>
          <cell r="T1078">
            <v>45979</v>
          </cell>
          <cell r="U1078" t="str">
            <v>Trish Kalinczok</v>
          </cell>
          <cell r="V1078">
            <v>46009</v>
          </cell>
          <cell r="W1078">
            <v>46066</v>
          </cell>
          <cell r="Y1078">
            <v>45979</v>
          </cell>
          <cell r="AC1078">
            <v>46064</v>
          </cell>
        </row>
        <row r="1079">
          <cell r="I1079" t="str">
            <v>EDI</v>
          </cell>
          <cell r="L1079">
            <v>4259</v>
          </cell>
          <cell r="N1079" t="str">
            <v>Production</v>
          </cell>
          <cell r="O1079" t="str">
            <v>No</v>
          </cell>
          <cell r="Q1079" t="str">
            <v>Live</v>
          </cell>
          <cell r="R1079">
            <v>45968.761747685188</v>
          </cell>
          <cell r="S1079" t="str">
            <v>Marwan Tawfik</v>
          </cell>
          <cell r="T1079">
            <v>45988</v>
          </cell>
          <cell r="U1079" t="str">
            <v>Gregory Dubec</v>
          </cell>
          <cell r="V1079">
            <v>46042</v>
          </cell>
          <cell r="W1079">
            <v>46099</v>
          </cell>
          <cell r="Y1079">
            <v>45987</v>
          </cell>
          <cell r="AC1079">
            <v>46098</v>
          </cell>
        </row>
        <row r="1080">
          <cell r="I1080" t="str">
            <v>EDI</v>
          </cell>
          <cell r="L1080">
            <v>4321</v>
          </cell>
          <cell r="N1080" t="str">
            <v>Production</v>
          </cell>
          <cell r="O1080" t="str">
            <v>No</v>
          </cell>
          <cell r="Q1080" t="str">
            <v>Live</v>
          </cell>
          <cell r="R1080">
            <v>45968.761736111112</v>
          </cell>
          <cell r="S1080" t="str">
            <v>Omnia Abdelaziz</v>
          </cell>
          <cell r="T1080">
            <v>46014</v>
          </cell>
          <cell r="U1080" t="str">
            <v>Gregory Dubec</v>
          </cell>
          <cell r="V1080">
            <v>46037</v>
          </cell>
          <cell r="W1080">
            <v>46058</v>
          </cell>
          <cell r="Y1080">
            <v>46013</v>
          </cell>
          <cell r="AC1080">
            <v>46056</v>
          </cell>
        </row>
        <row r="1081">
          <cell r="I1081" t="str">
            <v>EDI</v>
          </cell>
          <cell r="L1081">
            <v>4230</v>
          </cell>
          <cell r="N1081" t="str">
            <v>Production</v>
          </cell>
          <cell r="O1081" t="str">
            <v>No</v>
          </cell>
          <cell r="Q1081" t="str">
            <v>Live</v>
          </cell>
          <cell r="R1081">
            <v>45968.730300925927</v>
          </cell>
          <cell r="S1081" t="str">
            <v>Reem Radwan</v>
          </cell>
          <cell r="T1081">
            <v>45978</v>
          </cell>
          <cell r="U1081" t="str">
            <v>Gregory Dubec</v>
          </cell>
          <cell r="V1081">
            <v>45984</v>
          </cell>
          <cell r="W1081">
            <v>25569</v>
          </cell>
          <cell r="Y1081">
            <v>45977</v>
          </cell>
          <cell r="AC1081">
            <v>46002</v>
          </cell>
        </row>
        <row r="1082">
          <cell r="I1082" t="str">
            <v>EDI</v>
          </cell>
          <cell r="L1082">
            <v>4229</v>
          </cell>
          <cell r="N1082" t="str">
            <v>Production</v>
          </cell>
          <cell r="O1082" t="str">
            <v>No</v>
          </cell>
          <cell r="Q1082" t="str">
            <v>Live</v>
          </cell>
          <cell r="R1082">
            <v>45968.73028935185</v>
          </cell>
          <cell r="S1082" t="str">
            <v>Reem Radwan</v>
          </cell>
          <cell r="T1082">
            <v>45978</v>
          </cell>
          <cell r="U1082" t="str">
            <v>Gregory Dubec</v>
          </cell>
          <cell r="V1082">
            <v>45979</v>
          </cell>
          <cell r="W1082">
            <v>25569</v>
          </cell>
          <cell r="Y1082">
            <v>45977</v>
          </cell>
          <cell r="AC1082">
            <v>46002</v>
          </cell>
        </row>
        <row r="1083">
          <cell r="I1083" t="str">
            <v>EDI</v>
          </cell>
          <cell r="L1083">
            <v>4217</v>
          </cell>
          <cell r="N1083" t="str">
            <v>Production</v>
          </cell>
          <cell r="O1083" t="str">
            <v>eBenefits Network</v>
          </cell>
          <cell r="P1083" t="str">
            <v>Production</v>
          </cell>
          <cell r="Q1083" t="str">
            <v>Live</v>
          </cell>
          <cell r="R1083">
            <v>45968.712210648147</v>
          </cell>
          <cell r="S1083" t="str">
            <v>Josephine Ossama</v>
          </cell>
          <cell r="T1083">
            <v>45972</v>
          </cell>
          <cell r="U1083" t="str">
            <v>Peter Abdelmalek</v>
          </cell>
          <cell r="V1083">
            <v>45977</v>
          </cell>
          <cell r="W1083">
            <v>46070</v>
          </cell>
          <cell r="Y1083">
            <v>45971</v>
          </cell>
          <cell r="AC1083">
            <v>46069</v>
          </cell>
        </row>
        <row r="1084">
          <cell r="I1084" t="str">
            <v>EDI</v>
          </cell>
          <cell r="L1084">
            <v>4224</v>
          </cell>
          <cell r="N1084" t="str">
            <v>Production</v>
          </cell>
          <cell r="O1084" t="str">
            <v>Everything Benefits</v>
          </cell>
          <cell r="P1084" t="str">
            <v>Production</v>
          </cell>
          <cell r="Q1084" t="str">
            <v>Live</v>
          </cell>
          <cell r="R1084">
            <v>45967.825254629628</v>
          </cell>
          <cell r="S1084" t="str">
            <v>Karen Ramy</v>
          </cell>
          <cell r="T1084">
            <v>45974</v>
          </cell>
          <cell r="U1084" t="str">
            <v>Joel Costanzo</v>
          </cell>
          <cell r="V1084">
            <v>45980</v>
          </cell>
          <cell r="W1084">
            <v>46052</v>
          </cell>
          <cell r="Y1084">
            <v>45973</v>
          </cell>
          <cell r="AC1084">
            <v>46048</v>
          </cell>
        </row>
        <row r="1085">
          <cell r="I1085" t="str">
            <v>EDI</v>
          </cell>
          <cell r="L1085">
            <v>4232</v>
          </cell>
          <cell r="N1085" t="str">
            <v>Production</v>
          </cell>
          <cell r="O1085" t="str">
            <v>No</v>
          </cell>
          <cell r="Q1085" t="str">
            <v>Live</v>
          </cell>
          <cell r="R1085">
            <v>45967.774467592593</v>
          </cell>
          <cell r="S1085" t="str">
            <v>Ahmed Ali</v>
          </cell>
          <cell r="T1085">
            <v>46049</v>
          </cell>
          <cell r="U1085" t="str">
            <v>Rhettsmey Meak</v>
          </cell>
          <cell r="W1085">
            <v>46159</v>
          </cell>
          <cell r="Y1085">
            <v>45974</v>
          </cell>
          <cell r="AC1085">
            <v>46159</v>
          </cell>
        </row>
        <row r="1086">
          <cell r="I1086" t="str">
            <v>EDI</v>
          </cell>
          <cell r="L1086">
            <v>4245</v>
          </cell>
          <cell r="N1086" t="str">
            <v>Production</v>
          </cell>
          <cell r="O1086" t="str">
            <v>No</v>
          </cell>
          <cell r="Q1086" t="str">
            <v>Live</v>
          </cell>
          <cell r="R1086">
            <v>45967.719918981478</v>
          </cell>
          <cell r="S1086" t="str">
            <v>Ahmed Ali</v>
          </cell>
          <cell r="T1086">
            <v>45985</v>
          </cell>
          <cell r="U1086" t="str">
            <v>Joel Costanzo</v>
          </cell>
          <cell r="V1086">
            <v>46040</v>
          </cell>
          <cell r="W1086">
            <v>46069</v>
          </cell>
          <cell r="Y1086">
            <v>45984</v>
          </cell>
          <cell r="AC1086">
            <v>46064</v>
          </cell>
        </row>
        <row r="1087">
          <cell r="I1087" t="str">
            <v>EDI</v>
          </cell>
          <cell r="L1087">
            <v>4235</v>
          </cell>
          <cell r="N1087" t="str">
            <v>Production</v>
          </cell>
          <cell r="O1087" t="str">
            <v>No</v>
          </cell>
          <cell r="Q1087" t="str">
            <v>Cancelled</v>
          </cell>
          <cell r="R1087">
            <v>45967.693599537037</v>
          </cell>
          <cell r="S1087" t="str">
            <v>Andrew Ramy</v>
          </cell>
          <cell r="T1087">
            <v>45979</v>
          </cell>
          <cell r="U1087" t="str">
            <v>Rhettsmey Meak</v>
          </cell>
          <cell r="V1087">
            <v>45980</v>
          </cell>
          <cell r="W1087">
            <v>46073</v>
          </cell>
          <cell r="Y1087">
            <v>45978</v>
          </cell>
          <cell r="AC1087">
            <v>46073</v>
          </cell>
        </row>
        <row r="1088">
          <cell r="I1088" t="str">
            <v>EDI</v>
          </cell>
          <cell r="L1088">
            <v>4458</v>
          </cell>
          <cell r="N1088" t="str">
            <v>Production</v>
          </cell>
          <cell r="O1088" t="str">
            <v>No</v>
          </cell>
          <cell r="Q1088" t="str">
            <v>Live</v>
          </cell>
          <cell r="R1088">
            <v>45967.691932870373</v>
          </cell>
          <cell r="S1088" t="str">
            <v>Mirna Azmy</v>
          </cell>
          <cell r="T1088">
            <v>46050</v>
          </cell>
          <cell r="U1088" t="str">
            <v>Rhettsmey Meak</v>
          </cell>
          <cell r="V1088">
            <v>46127</v>
          </cell>
          <cell r="W1088">
            <v>46149</v>
          </cell>
          <cell r="Y1088">
            <v>46050</v>
          </cell>
          <cell r="AC1088">
            <v>46148</v>
          </cell>
        </row>
        <row r="1089">
          <cell r="I1089" t="str">
            <v>EDI</v>
          </cell>
          <cell r="L1089">
            <v>4215</v>
          </cell>
          <cell r="N1089" t="str">
            <v>Production</v>
          </cell>
          <cell r="O1089" t="str">
            <v>eBenefits Network</v>
          </cell>
          <cell r="P1089" t="str">
            <v>Production</v>
          </cell>
          <cell r="Q1089" t="str">
            <v>Live</v>
          </cell>
          <cell r="R1089">
            <v>45966.747812499998</v>
          </cell>
          <cell r="S1089" t="str">
            <v>Mark Albert</v>
          </cell>
          <cell r="T1089">
            <v>45972</v>
          </cell>
          <cell r="U1089" t="str">
            <v>Rhettsmey Meak</v>
          </cell>
          <cell r="W1089">
            <v>46009</v>
          </cell>
          <cell r="Y1089">
            <v>45971</v>
          </cell>
          <cell r="AC1089">
            <v>46002</v>
          </cell>
        </row>
        <row r="1090">
          <cell r="I1090" t="str">
            <v>EDI</v>
          </cell>
          <cell r="L1090">
            <v>4227</v>
          </cell>
          <cell r="N1090" t="str">
            <v>Testing</v>
          </cell>
          <cell r="O1090" t="str">
            <v>eBenefits Network</v>
          </cell>
          <cell r="P1090" t="str">
            <v>Migration Testing</v>
          </cell>
          <cell r="Q1090" t="str">
            <v>In Progress</v>
          </cell>
          <cell r="R1090">
            <v>45966.707696759258</v>
          </cell>
          <cell r="S1090" t="str">
            <v>Mirna Azmy</v>
          </cell>
          <cell r="T1090">
            <v>45972</v>
          </cell>
          <cell r="U1090" t="str">
            <v>Rhettsmey Meak</v>
          </cell>
          <cell r="V1090">
            <v>46180</v>
          </cell>
          <cell r="Y1090">
            <v>45971</v>
          </cell>
        </row>
        <row r="1091">
          <cell r="I1091" t="str">
            <v>EDI</v>
          </cell>
          <cell r="L1091">
            <v>4221</v>
          </cell>
          <cell r="N1091" t="str">
            <v>Production</v>
          </cell>
          <cell r="O1091" t="str">
            <v>eBenefits Network</v>
          </cell>
          <cell r="P1091" t="str">
            <v>Production</v>
          </cell>
          <cell r="Q1091" t="str">
            <v>Live</v>
          </cell>
          <cell r="R1091">
            <v>45966.694386574083</v>
          </cell>
          <cell r="S1091" t="str">
            <v>Alaa Yehia</v>
          </cell>
          <cell r="T1091">
            <v>45972</v>
          </cell>
          <cell r="U1091" t="str">
            <v>Rhettsmey Meak</v>
          </cell>
          <cell r="V1091">
            <v>45978</v>
          </cell>
          <cell r="W1091">
            <v>46104</v>
          </cell>
          <cell r="Y1091">
            <v>45971</v>
          </cell>
          <cell r="AC1091">
            <v>46097</v>
          </cell>
        </row>
        <row r="1092">
          <cell r="I1092" t="str">
            <v>EDI</v>
          </cell>
          <cell r="L1092">
            <v>4443</v>
          </cell>
          <cell r="N1092" t="str">
            <v>Production</v>
          </cell>
          <cell r="O1092" t="str">
            <v>No</v>
          </cell>
          <cell r="Q1092" t="str">
            <v>Live</v>
          </cell>
          <cell r="R1092">
            <v>45965.652997685182</v>
          </cell>
          <cell r="S1092" t="str">
            <v>Aya Fathy</v>
          </cell>
          <cell r="T1092">
            <v>46047</v>
          </cell>
          <cell r="U1092" t="str">
            <v>Melissa Beck</v>
          </cell>
          <cell r="V1092">
            <v>46069</v>
          </cell>
          <cell r="W1092">
            <v>46098</v>
          </cell>
          <cell r="Y1092">
            <v>46043</v>
          </cell>
          <cell r="AC1092">
            <v>46092</v>
          </cell>
        </row>
        <row r="1093">
          <cell r="I1093" t="str">
            <v>EDI</v>
          </cell>
          <cell r="N1093" t="str">
            <v>Pending Start</v>
          </cell>
          <cell r="O1093" t="str">
            <v>No</v>
          </cell>
          <cell r="Q1093" t="str">
            <v>Cancelled</v>
          </cell>
          <cell r="R1093">
            <v>45965.644108796303</v>
          </cell>
          <cell r="U1093" t="str">
            <v>Melissa Beck</v>
          </cell>
        </row>
        <row r="1094">
          <cell r="I1094" t="str">
            <v>EDI</v>
          </cell>
          <cell r="L1094">
            <v>4292</v>
          </cell>
          <cell r="N1094" t="str">
            <v>Production</v>
          </cell>
          <cell r="O1094" t="str">
            <v>No</v>
          </cell>
          <cell r="Q1094" t="str">
            <v>Live</v>
          </cell>
          <cell r="R1094">
            <v>45965.642546296287</v>
          </cell>
          <cell r="S1094" t="str">
            <v>Reem Radwan</v>
          </cell>
          <cell r="T1094">
            <v>46006</v>
          </cell>
          <cell r="U1094" t="str">
            <v>Gregory Dubec</v>
          </cell>
          <cell r="V1094">
            <v>46033</v>
          </cell>
          <cell r="W1094">
            <v>46163</v>
          </cell>
          <cell r="Y1094">
            <v>46005</v>
          </cell>
          <cell r="AC1094">
            <v>46163</v>
          </cell>
        </row>
        <row r="1095">
          <cell r="I1095" t="str">
            <v>EDI</v>
          </cell>
          <cell r="L1095">
            <v>4291</v>
          </cell>
          <cell r="N1095" t="str">
            <v>Production</v>
          </cell>
          <cell r="O1095" t="str">
            <v>No</v>
          </cell>
          <cell r="Q1095" t="str">
            <v>Live</v>
          </cell>
          <cell r="R1095">
            <v>45965.642534722218</v>
          </cell>
          <cell r="S1095" t="str">
            <v>Reem Radwan</v>
          </cell>
          <cell r="T1095">
            <v>46006</v>
          </cell>
          <cell r="U1095" t="str">
            <v>Gregory Dubec</v>
          </cell>
          <cell r="V1095">
            <v>46033</v>
          </cell>
          <cell r="W1095">
            <v>46163</v>
          </cell>
          <cell r="Y1095">
            <v>46005</v>
          </cell>
          <cell r="AC1095">
            <v>46163</v>
          </cell>
        </row>
        <row r="1096">
          <cell r="I1096" t="str">
            <v>EDI</v>
          </cell>
          <cell r="L1096">
            <v>4381</v>
          </cell>
          <cell r="N1096" t="str">
            <v>Production</v>
          </cell>
          <cell r="O1096" t="str">
            <v>No</v>
          </cell>
          <cell r="Q1096" t="str">
            <v>Live</v>
          </cell>
          <cell r="R1096">
            <v>45964.703321759262</v>
          </cell>
          <cell r="S1096" t="str">
            <v>Mark Albert</v>
          </cell>
          <cell r="T1096">
            <v>46034</v>
          </cell>
          <cell r="U1096" t="str">
            <v>Peter Abdelmalek</v>
          </cell>
          <cell r="W1096">
            <v>46118</v>
          </cell>
          <cell r="Y1096">
            <v>46033</v>
          </cell>
          <cell r="AC1096">
            <v>46114</v>
          </cell>
        </row>
        <row r="1097">
          <cell r="I1097" t="str">
            <v>EDI</v>
          </cell>
          <cell r="L1097">
            <v>4228</v>
          </cell>
          <cell r="N1097" t="str">
            <v>Testing</v>
          </cell>
          <cell r="O1097" t="str">
            <v>No</v>
          </cell>
          <cell r="Q1097" t="str">
            <v>In Progress</v>
          </cell>
          <cell r="R1097">
            <v>45961.900625000002</v>
          </cell>
          <cell r="S1097" t="str">
            <v>Marwan Tawfik</v>
          </cell>
          <cell r="T1097">
            <v>45972</v>
          </cell>
          <cell r="U1097" t="str">
            <v>Gregory Dubec</v>
          </cell>
          <cell r="V1097">
            <v>46035</v>
          </cell>
          <cell r="Y1097">
            <v>45971</v>
          </cell>
        </row>
        <row r="1098">
          <cell r="I1098" t="str">
            <v>EDI</v>
          </cell>
          <cell r="L1098">
            <v>4238</v>
          </cell>
          <cell r="N1098" t="str">
            <v>Production</v>
          </cell>
          <cell r="O1098" t="str">
            <v>No</v>
          </cell>
          <cell r="Q1098" t="str">
            <v>Live</v>
          </cell>
          <cell r="R1098">
            <v>45961.900625000002</v>
          </cell>
          <cell r="S1098" t="str">
            <v>Omnia Abdelaziz</v>
          </cell>
          <cell r="T1098">
            <v>45981</v>
          </cell>
          <cell r="U1098" t="str">
            <v>Gregory Dubec</v>
          </cell>
          <cell r="V1098">
            <v>45986</v>
          </cell>
          <cell r="W1098">
            <v>46037</v>
          </cell>
          <cell r="Y1098">
            <v>45981</v>
          </cell>
          <cell r="AC1098">
            <v>46033</v>
          </cell>
        </row>
        <row r="1099">
          <cell r="I1099" t="str">
            <v>EDI</v>
          </cell>
          <cell r="L1099">
            <v>4204</v>
          </cell>
          <cell r="N1099" t="str">
            <v>Production</v>
          </cell>
          <cell r="O1099" t="str">
            <v>No</v>
          </cell>
          <cell r="Q1099" t="str">
            <v>Live</v>
          </cell>
          <cell r="R1099">
            <v>45961.797523148147</v>
          </cell>
          <cell r="S1099" t="str">
            <v>Karen Ramy</v>
          </cell>
          <cell r="T1099">
            <v>45965</v>
          </cell>
          <cell r="U1099" t="str">
            <v>Trish Kalinczok</v>
          </cell>
          <cell r="V1099">
            <v>45973</v>
          </cell>
          <cell r="W1099">
            <v>46036</v>
          </cell>
          <cell r="Y1099">
            <v>45965</v>
          </cell>
          <cell r="AC1099">
            <v>46011</v>
          </cell>
        </row>
        <row r="1100">
          <cell r="I1100" t="str">
            <v>EDI</v>
          </cell>
          <cell r="L1100">
            <v>4209</v>
          </cell>
          <cell r="N1100" t="str">
            <v>Production</v>
          </cell>
          <cell r="O1100" t="str">
            <v>No</v>
          </cell>
          <cell r="Q1100" t="str">
            <v>Live</v>
          </cell>
          <cell r="R1100">
            <v>45960.861898148149</v>
          </cell>
          <cell r="S1100" t="str">
            <v>Karen Ramy</v>
          </cell>
          <cell r="T1100">
            <v>45967</v>
          </cell>
          <cell r="U1100" t="str">
            <v>Gregory Dubec</v>
          </cell>
          <cell r="V1100">
            <v>45992</v>
          </cell>
          <cell r="W1100">
            <v>25569</v>
          </cell>
          <cell r="Y1100">
            <v>45965</v>
          </cell>
          <cell r="AC1100">
            <v>46055</v>
          </cell>
        </row>
        <row r="1101">
          <cell r="I1101" t="str">
            <v>EDI</v>
          </cell>
          <cell r="L1101">
            <v>4243</v>
          </cell>
          <cell r="N1101" t="str">
            <v>Production</v>
          </cell>
          <cell r="O1101" t="str">
            <v>No</v>
          </cell>
          <cell r="Q1101" t="str">
            <v>Live</v>
          </cell>
          <cell r="R1101">
            <v>45960.805497685193</v>
          </cell>
          <cell r="S1101" t="str">
            <v>Reem Radwan</v>
          </cell>
          <cell r="T1101">
            <v>45985</v>
          </cell>
          <cell r="U1101" t="str">
            <v>Gregory Dubec</v>
          </cell>
          <cell r="V1101">
            <v>25569</v>
          </cell>
          <cell r="W1101">
            <v>25569</v>
          </cell>
          <cell r="Y1101">
            <v>45984</v>
          </cell>
          <cell r="AC1101">
            <v>46050</v>
          </cell>
        </row>
        <row r="1102">
          <cell r="I1102" t="str">
            <v>EDI</v>
          </cell>
          <cell r="L1102">
            <v>4225</v>
          </cell>
          <cell r="N1102" t="str">
            <v>Production</v>
          </cell>
          <cell r="O1102" t="str">
            <v>No</v>
          </cell>
          <cell r="Q1102" t="str">
            <v>Live</v>
          </cell>
          <cell r="R1102">
            <v>45960.805486111109</v>
          </cell>
          <cell r="S1102" t="str">
            <v>Andrew Ramy</v>
          </cell>
          <cell r="T1102">
            <v>45971</v>
          </cell>
          <cell r="U1102" t="str">
            <v>Gregory Dubec</v>
          </cell>
          <cell r="V1102">
            <v>45999</v>
          </cell>
          <cell r="W1102">
            <v>46017</v>
          </cell>
          <cell r="Y1102">
            <v>45966</v>
          </cell>
          <cell r="AC1102">
            <v>46013</v>
          </cell>
        </row>
        <row r="1103">
          <cell r="I1103" t="str">
            <v>EDI</v>
          </cell>
          <cell r="L1103">
            <v>4205</v>
          </cell>
          <cell r="N1103" t="str">
            <v>Production</v>
          </cell>
          <cell r="O1103" t="str">
            <v>No</v>
          </cell>
          <cell r="Q1103" t="str">
            <v>Live</v>
          </cell>
          <cell r="R1103">
            <v>45960.805486111109</v>
          </cell>
          <cell r="S1103" t="str">
            <v>Karen Ramy</v>
          </cell>
          <cell r="T1103">
            <v>46049</v>
          </cell>
          <cell r="U1103" t="str">
            <v>Gregory Dubec</v>
          </cell>
          <cell r="V1103">
            <v>46097</v>
          </cell>
          <cell r="W1103">
            <v>46163</v>
          </cell>
          <cell r="Y1103">
            <v>45964</v>
          </cell>
          <cell r="AC1103">
            <v>46156</v>
          </cell>
        </row>
        <row r="1104">
          <cell r="I1104" t="str">
            <v>EDI</v>
          </cell>
          <cell r="L1104">
            <v>4195</v>
          </cell>
          <cell r="N1104" t="str">
            <v>Production</v>
          </cell>
          <cell r="O1104" t="str">
            <v>No</v>
          </cell>
          <cell r="Q1104" t="str">
            <v>Live</v>
          </cell>
          <cell r="R1104">
            <v>45960.506481481483</v>
          </cell>
          <cell r="S1104" t="str">
            <v>Zeyad Khaled</v>
          </cell>
          <cell r="T1104">
            <v>45960</v>
          </cell>
          <cell r="U1104" t="str">
            <v>Rhettsmey Meak</v>
          </cell>
          <cell r="W1104">
            <v>45964</v>
          </cell>
          <cell r="AC1104">
            <v>45960</v>
          </cell>
        </row>
        <row r="1105">
          <cell r="I1105" t="str">
            <v>EDI</v>
          </cell>
          <cell r="L1105">
            <v>4233</v>
          </cell>
          <cell r="N1105" t="str">
            <v>Production</v>
          </cell>
          <cell r="O1105" t="str">
            <v>No</v>
          </cell>
          <cell r="Q1105" t="str">
            <v>Live</v>
          </cell>
          <cell r="R1105">
            <v>45959.657453703701</v>
          </cell>
          <cell r="S1105" t="str">
            <v>Mark Albert</v>
          </cell>
          <cell r="T1105">
            <v>45979</v>
          </cell>
          <cell r="U1105" t="str">
            <v>Tammy Davies</v>
          </cell>
          <cell r="V1105">
            <v>46064</v>
          </cell>
          <cell r="W1105">
            <v>46106</v>
          </cell>
          <cell r="Y1105">
            <v>45978</v>
          </cell>
          <cell r="AC1105">
            <v>46105</v>
          </cell>
        </row>
        <row r="1106">
          <cell r="I1106" t="str">
            <v>EDI</v>
          </cell>
          <cell r="L1106">
            <v>4275</v>
          </cell>
          <cell r="N1106" t="str">
            <v>Production</v>
          </cell>
          <cell r="O1106" t="str">
            <v>No</v>
          </cell>
          <cell r="Q1106" t="str">
            <v>Live</v>
          </cell>
          <cell r="R1106">
            <v>45959.643391203703</v>
          </cell>
          <cell r="S1106" t="str">
            <v>Zeyad Khaled</v>
          </cell>
          <cell r="T1106">
            <v>45994</v>
          </cell>
          <cell r="U1106" t="str">
            <v>Gregory Dubec</v>
          </cell>
          <cell r="V1106">
            <v>25569</v>
          </cell>
          <cell r="W1106">
            <v>46051</v>
          </cell>
          <cell r="Y1106">
            <v>45993</v>
          </cell>
          <cell r="AC1106">
            <v>46044</v>
          </cell>
        </row>
        <row r="1107">
          <cell r="I1107" t="str">
            <v>EDI</v>
          </cell>
          <cell r="L1107">
            <v>4206</v>
          </cell>
          <cell r="N1107" t="str">
            <v>Production</v>
          </cell>
          <cell r="O1107" t="str">
            <v>No</v>
          </cell>
          <cell r="Q1107" t="str">
            <v>Live</v>
          </cell>
          <cell r="R1107">
            <v>45959.634085648147</v>
          </cell>
          <cell r="S1107" t="str">
            <v>Noha Moustafa</v>
          </cell>
          <cell r="T1107">
            <v>45965</v>
          </cell>
          <cell r="U1107" t="str">
            <v>Gregory Dubec</v>
          </cell>
          <cell r="V1107">
            <v>45981</v>
          </cell>
          <cell r="W1107">
            <v>46073</v>
          </cell>
          <cell r="Y1107">
            <v>45965</v>
          </cell>
          <cell r="AC1107">
            <v>46070</v>
          </cell>
        </row>
        <row r="1108">
          <cell r="I1108" t="str">
            <v>EDI</v>
          </cell>
          <cell r="L1108">
            <v>4214</v>
          </cell>
          <cell r="N1108" t="str">
            <v>Production</v>
          </cell>
          <cell r="O1108" t="str">
            <v>No</v>
          </cell>
          <cell r="Q1108" t="str">
            <v>Live</v>
          </cell>
          <cell r="R1108">
            <v>45959.60633101852</v>
          </cell>
          <cell r="S1108" t="str">
            <v>Mirna Azmy</v>
          </cell>
          <cell r="T1108">
            <v>46139</v>
          </cell>
          <cell r="U1108" t="str">
            <v>Gregory Dubec</v>
          </cell>
          <cell r="V1108">
            <v>46028</v>
          </cell>
          <cell r="W1108">
            <v>46163</v>
          </cell>
          <cell r="Y1108">
            <v>45970</v>
          </cell>
          <cell r="AC1108">
            <v>46161</v>
          </cell>
        </row>
        <row r="1109">
          <cell r="I1109" t="str">
            <v>EDI</v>
          </cell>
          <cell r="L1109">
            <v>4197</v>
          </cell>
          <cell r="N1109" t="str">
            <v>Production</v>
          </cell>
          <cell r="O1109" t="str">
            <v>No</v>
          </cell>
          <cell r="Q1109" t="str">
            <v>Live</v>
          </cell>
          <cell r="R1109">
            <v>45958.685856481483</v>
          </cell>
          <cell r="S1109" t="str">
            <v>Peter Abdelmalek</v>
          </cell>
          <cell r="T1109">
            <v>45959</v>
          </cell>
          <cell r="U1109" t="str">
            <v>Peter Abdelmalek</v>
          </cell>
          <cell r="V1109">
            <v>45963</v>
          </cell>
          <cell r="W1109">
            <v>45971</v>
          </cell>
          <cell r="AC1109">
            <v>45965</v>
          </cell>
        </row>
        <row r="1110">
          <cell r="I1110" t="str">
            <v>EDI</v>
          </cell>
          <cell r="L1110">
            <v>4207</v>
          </cell>
          <cell r="N1110" t="str">
            <v>Production</v>
          </cell>
          <cell r="O1110" t="str">
            <v>eBenefits Network</v>
          </cell>
          <cell r="P1110" t="str">
            <v>Migration Testing</v>
          </cell>
          <cell r="Q1110" t="str">
            <v>Live</v>
          </cell>
          <cell r="R1110">
            <v>45958.621932870366</v>
          </cell>
          <cell r="S1110" t="str">
            <v>Josephine Ossama</v>
          </cell>
          <cell r="T1110">
            <v>45964</v>
          </cell>
          <cell r="U1110" t="str">
            <v>Trish Kalinczok</v>
          </cell>
          <cell r="V1110">
            <v>45971</v>
          </cell>
          <cell r="W1110">
            <v>46055</v>
          </cell>
          <cell r="Y1110">
            <v>45964</v>
          </cell>
          <cell r="AC1110">
            <v>46048</v>
          </cell>
        </row>
        <row r="1111">
          <cell r="I1111" t="str">
            <v>EDI</v>
          </cell>
          <cell r="L1111">
            <v>4202</v>
          </cell>
          <cell r="N1111" t="str">
            <v>Production</v>
          </cell>
          <cell r="O1111" t="str">
            <v>eBenefits Network</v>
          </cell>
          <cell r="P1111" t="str">
            <v>Production</v>
          </cell>
          <cell r="Q1111" t="str">
            <v>Live</v>
          </cell>
          <cell r="R1111">
            <v>45958.621921296297</v>
          </cell>
          <cell r="S1111" t="str">
            <v>Mark Albert</v>
          </cell>
          <cell r="T1111">
            <v>45964</v>
          </cell>
          <cell r="U1111" t="str">
            <v>Trish Kalinczok</v>
          </cell>
          <cell r="V1111">
            <v>46002</v>
          </cell>
          <cell r="W1111">
            <v>46069</v>
          </cell>
          <cell r="Y1111">
            <v>45964</v>
          </cell>
          <cell r="AC1111">
            <v>46064</v>
          </cell>
        </row>
        <row r="1112">
          <cell r="I1112" t="str">
            <v>EDI</v>
          </cell>
          <cell r="L1112">
            <v>4208</v>
          </cell>
          <cell r="N1112" t="str">
            <v>Production</v>
          </cell>
          <cell r="O1112" t="str">
            <v>No</v>
          </cell>
          <cell r="Q1112" t="str">
            <v>Live</v>
          </cell>
          <cell r="R1112">
            <v>45957.857222222221</v>
          </cell>
          <cell r="S1112" t="str">
            <v>Andrew Ramy</v>
          </cell>
          <cell r="T1112">
            <v>45964</v>
          </cell>
          <cell r="U1112" t="str">
            <v>Robbie Schappell</v>
          </cell>
          <cell r="V1112">
            <v>45977</v>
          </cell>
          <cell r="W1112">
            <v>46106</v>
          </cell>
          <cell r="Y1112">
            <v>45963</v>
          </cell>
          <cell r="AC1112">
            <v>46097</v>
          </cell>
        </row>
        <row r="1113">
          <cell r="I1113" t="str">
            <v>EDI</v>
          </cell>
          <cell r="L1113">
            <v>4203</v>
          </cell>
          <cell r="N1113" t="str">
            <v>Production</v>
          </cell>
          <cell r="O1113" t="str">
            <v>No</v>
          </cell>
          <cell r="Q1113" t="str">
            <v>Live</v>
          </cell>
          <cell r="R1113">
            <v>45957.857210648152</v>
          </cell>
          <cell r="S1113" t="str">
            <v>Noha Moustafa</v>
          </cell>
          <cell r="T1113">
            <v>45960</v>
          </cell>
          <cell r="U1113" t="str">
            <v>Hans De Grouw</v>
          </cell>
          <cell r="V1113">
            <v>46016</v>
          </cell>
          <cell r="W1113">
            <v>46030</v>
          </cell>
          <cell r="Y1113">
            <v>45959</v>
          </cell>
          <cell r="AC1113">
            <v>46028</v>
          </cell>
        </row>
        <row r="1114">
          <cell r="I1114" t="str">
            <v>EDI</v>
          </cell>
          <cell r="L1114">
            <v>4198</v>
          </cell>
          <cell r="N1114" t="str">
            <v>Production</v>
          </cell>
          <cell r="O1114" t="str">
            <v>No</v>
          </cell>
          <cell r="Q1114" t="str">
            <v>Live</v>
          </cell>
          <cell r="R1114">
            <v>45957.857199074067</v>
          </cell>
          <cell r="S1114" t="str">
            <v>Mina Kamil</v>
          </cell>
          <cell r="T1114">
            <v>45964</v>
          </cell>
          <cell r="U1114" t="str">
            <v>Hans De Grouw</v>
          </cell>
          <cell r="W1114">
            <v>46047</v>
          </cell>
          <cell r="Y1114">
            <v>45960</v>
          </cell>
          <cell r="AC1114">
            <v>46043</v>
          </cell>
        </row>
        <row r="1115">
          <cell r="I1115" t="str">
            <v>EDI</v>
          </cell>
          <cell r="L1115">
            <v>4213</v>
          </cell>
          <cell r="N1115" t="str">
            <v>Production</v>
          </cell>
          <cell r="O1115" t="str">
            <v>No</v>
          </cell>
          <cell r="Q1115" t="str">
            <v>Cancelled</v>
          </cell>
          <cell r="R1115">
            <v>45954.609965277778</v>
          </cell>
          <cell r="S1115" t="str">
            <v>Omnia Abdelaziz</v>
          </cell>
          <cell r="T1115">
            <v>45971</v>
          </cell>
          <cell r="U1115" t="str">
            <v>Trish Kalinczok</v>
          </cell>
          <cell r="V1115">
            <v>45986</v>
          </cell>
          <cell r="W1115">
            <v>46118</v>
          </cell>
          <cell r="Y1115">
            <v>45971</v>
          </cell>
          <cell r="AC1115">
            <v>46111</v>
          </cell>
        </row>
        <row r="1116">
          <cell r="I1116" t="str">
            <v>EDI</v>
          </cell>
          <cell r="L1116">
            <v>4196</v>
          </cell>
          <cell r="N1116" t="str">
            <v>Production</v>
          </cell>
          <cell r="O1116" t="str">
            <v>No</v>
          </cell>
          <cell r="Q1116" t="str">
            <v>Live</v>
          </cell>
          <cell r="R1116">
            <v>45953.600844907407</v>
          </cell>
          <cell r="S1116" t="str">
            <v>Andrew Ramy</v>
          </cell>
          <cell r="T1116">
            <v>46019</v>
          </cell>
          <cell r="U1116" t="str">
            <v>Trish Kalinczok</v>
          </cell>
          <cell r="V1116">
            <v>45972</v>
          </cell>
          <cell r="W1116">
            <v>46083</v>
          </cell>
          <cell r="Y1116">
            <v>45959</v>
          </cell>
          <cell r="AC1116">
            <v>46077</v>
          </cell>
        </row>
        <row r="1117">
          <cell r="I1117" t="str">
            <v>EDI</v>
          </cell>
          <cell r="L1117">
            <v>4338</v>
          </cell>
          <cell r="N1117" t="str">
            <v>Production</v>
          </cell>
          <cell r="O1117" t="str">
            <v>No</v>
          </cell>
          <cell r="Q1117" t="str">
            <v>Live</v>
          </cell>
          <cell r="R1117">
            <v>45953.600115740737</v>
          </cell>
          <cell r="S1117" t="str">
            <v>Zeyad Khaled</v>
          </cell>
          <cell r="T1117">
            <v>46014</v>
          </cell>
          <cell r="U1117" t="str">
            <v>Tracey Hicks</v>
          </cell>
          <cell r="V1117">
            <v>46037</v>
          </cell>
          <cell r="W1117">
            <v>46069</v>
          </cell>
          <cell r="Y1117">
            <v>46013</v>
          </cell>
          <cell r="AC1117">
            <v>46065</v>
          </cell>
        </row>
        <row r="1118">
          <cell r="I1118" t="str">
            <v>EDI</v>
          </cell>
          <cell r="L1118">
            <v>4248</v>
          </cell>
          <cell r="N1118" t="str">
            <v>Production</v>
          </cell>
          <cell r="O1118" t="str">
            <v>No</v>
          </cell>
          <cell r="Q1118" t="str">
            <v>Live</v>
          </cell>
          <cell r="R1118">
            <v>45953.600115740737</v>
          </cell>
          <cell r="S1118" t="str">
            <v>Mark Albert</v>
          </cell>
          <cell r="T1118">
            <v>45986</v>
          </cell>
          <cell r="U1118" t="str">
            <v>Tracey Hicks</v>
          </cell>
          <cell r="W1118">
            <v>46154</v>
          </cell>
          <cell r="Y1118">
            <v>45985</v>
          </cell>
          <cell r="AC1118">
            <v>46139</v>
          </cell>
        </row>
        <row r="1119">
          <cell r="I1119" t="str">
            <v>EDI</v>
          </cell>
          <cell r="L1119">
            <v>4188</v>
          </cell>
          <cell r="N1119" t="str">
            <v>Production</v>
          </cell>
          <cell r="O1119" t="str">
            <v>eBenefits Network</v>
          </cell>
          <cell r="P1119" t="str">
            <v>Production</v>
          </cell>
          <cell r="Q1119" t="str">
            <v>Live</v>
          </cell>
          <cell r="R1119">
            <v>45952.872488425928</v>
          </cell>
          <cell r="S1119" t="str">
            <v>Mark Albert</v>
          </cell>
          <cell r="T1119">
            <v>46049</v>
          </cell>
          <cell r="U1119" t="str">
            <v>Peter Abdelmalek</v>
          </cell>
          <cell r="V1119">
            <v>46119</v>
          </cell>
          <cell r="W1119">
            <v>46153</v>
          </cell>
          <cell r="Y1119">
            <v>45953</v>
          </cell>
          <cell r="AC1119">
            <v>46152</v>
          </cell>
        </row>
        <row r="1120">
          <cell r="I1120" t="str">
            <v>EDI</v>
          </cell>
          <cell r="L1120">
            <v>4187</v>
          </cell>
          <cell r="N1120" t="str">
            <v>Production</v>
          </cell>
          <cell r="O1120" t="str">
            <v>eBenefits Network</v>
          </cell>
          <cell r="P1120" t="str">
            <v>Production</v>
          </cell>
          <cell r="Q1120" t="str">
            <v>Live</v>
          </cell>
          <cell r="R1120">
            <v>45952.872488425928</v>
          </cell>
          <cell r="S1120" t="str">
            <v>Josephine Ossama</v>
          </cell>
          <cell r="T1120">
            <v>46049</v>
          </cell>
          <cell r="U1120" t="str">
            <v>Peter Abdelmalek</v>
          </cell>
          <cell r="V1120">
            <v>46056</v>
          </cell>
          <cell r="W1120">
            <v>46111</v>
          </cell>
          <cell r="Y1120">
            <v>45953</v>
          </cell>
          <cell r="AC1120">
            <v>46105</v>
          </cell>
        </row>
        <row r="1121">
          <cell r="I1121" t="str">
            <v>EDI</v>
          </cell>
          <cell r="L1121">
            <v>4192</v>
          </cell>
          <cell r="N1121" t="str">
            <v>Production</v>
          </cell>
          <cell r="O1121" t="str">
            <v>eBenefits Network</v>
          </cell>
          <cell r="P1121" t="str">
            <v>Production</v>
          </cell>
          <cell r="Q1121" t="str">
            <v>Live</v>
          </cell>
          <cell r="R1121">
            <v>45952.855624999997</v>
          </cell>
          <cell r="S1121" t="str">
            <v>Alaa Yehia</v>
          </cell>
          <cell r="T1121">
            <v>45957</v>
          </cell>
          <cell r="U1121" t="str">
            <v>Peter Abdelmalek</v>
          </cell>
          <cell r="V1121">
            <v>45963</v>
          </cell>
          <cell r="W1121">
            <v>46007</v>
          </cell>
          <cell r="Y1121">
            <v>45953</v>
          </cell>
          <cell r="AC1121">
            <v>46001</v>
          </cell>
        </row>
        <row r="1122">
          <cell r="I1122" t="str">
            <v>EDI</v>
          </cell>
          <cell r="L1122">
            <v>4185</v>
          </cell>
          <cell r="N1122" t="str">
            <v>Production</v>
          </cell>
          <cell r="O1122" t="str">
            <v>eBenefits Network</v>
          </cell>
          <cell r="P1122" t="str">
            <v>Production</v>
          </cell>
          <cell r="Q1122" t="str">
            <v>Live</v>
          </cell>
          <cell r="R1122">
            <v>45952.855590277781</v>
          </cell>
          <cell r="S1122" t="str">
            <v>Mark Albert</v>
          </cell>
          <cell r="T1122">
            <v>45957</v>
          </cell>
          <cell r="U1122" t="str">
            <v>Peter Abdelmalek</v>
          </cell>
          <cell r="V1122">
            <v>45966</v>
          </cell>
          <cell r="W1122">
            <v>46070</v>
          </cell>
          <cell r="Y1122">
            <v>45953</v>
          </cell>
          <cell r="AC1122">
            <v>46068</v>
          </cell>
        </row>
        <row r="1123">
          <cell r="I1123" t="str">
            <v>EDI</v>
          </cell>
          <cell r="L1123">
            <v>4193</v>
          </cell>
          <cell r="N1123" t="str">
            <v>Production</v>
          </cell>
          <cell r="O1123" t="str">
            <v>eBenefits Network</v>
          </cell>
          <cell r="P1123" t="str">
            <v>Production</v>
          </cell>
          <cell r="Q1123" t="str">
            <v>Live</v>
          </cell>
          <cell r="R1123">
            <v>45952.855590277781</v>
          </cell>
          <cell r="S1123" t="str">
            <v>Mirna Azmy</v>
          </cell>
          <cell r="T1123">
            <v>46128</v>
          </cell>
          <cell r="U1123" t="str">
            <v>Peter Abdelmalek</v>
          </cell>
          <cell r="V1123">
            <v>46141</v>
          </cell>
          <cell r="W1123">
            <v>46161</v>
          </cell>
          <cell r="Y1123">
            <v>45953</v>
          </cell>
          <cell r="AC1123">
            <v>46154</v>
          </cell>
        </row>
        <row r="1124">
          <cell r="I1124" t="str">
            <v>EDI</v>
          </cell>
          <cell r="L1124">
            <v>4184</v>
          </cell>
          <cell r="N1124" t="str">
            <v>Production</v>
          </cell>
          <cell r="O1124" t="str">
            <v>No</v>
          </cell>
          <cell r="Q1124" t="str">
            <v>Live</v>
          </cell>
          <cell r="R1124">
            <v>45952.637604166674</v>
          </cell>
          <cell r="S1124" t="str">
            <v>Karen Ramy</v>
          </cell>
          <cell r="T1124">
            <v>45953</v>
          </cell>
          <cell r="U1124" t="str">
            <v>Trish Kalinczok</v>
          </cell>
          <cell r="V1124">
            <v>45960</v>
          </cell>
          <cell r="W1124">
            <v>46002</v>
          </cell>
          <cell r="AC1124">
            <v>45992</v>
          </cell>
        </row>
        <row r="1125">
          <cell r="I1125" t="str">
            <v>EDI</v>
          </cell>
          <cell r="L1125">
            <v>4178</v>
          </cell>
          <cell r="N1125" t="str">
            <v>Production</v>
          </cell>
          <cell r="O1125" t="str">
            <v>No</v>
          </cell>
          <cell r="Q1125" t="str">
            <v>Live</v>
          </cell>
          <cell r="R1125">
            <v>45951.866435185177</v>
          </cell>
          <cell r="S1125" t="str">
            <v>Karim Tarek</v>
          </cell>
          <cell r="T1125">
            <v>45952</v>
          </cell>
          <cell r="U1125" t="str">
            <v>Trish Kalinczok</v>
          </cell>
          <cell r="V1125">
            <v>45965</v>
          </cell>
          <cell r="W1125">
            <v>46006</v>
          </cell>
          <cell r="AC1125">
            <v>46001</v>
          </cell>
        </row>
        <row r="1126">
          <cell r="I1126" t="str">
            <v>EDI</v>
          </cell>
          <cell r="L1126">
            <v>4186</v>
          </cell>
          <cell r="N1126" t="str">
            <v>Testing</v>
          </cell>
          <cell r="O1126" t="str">
            <v>eBenefits Network</v>
          </cell>
          <cell r="P1126" t="str">
            <v>Migration Testing</v>
          </cell>
          <cell r="Q1126" t="str">
            <v>Cancelled</v>
          </cell>
          <cell r="R1126">
            <v>45951.748912037037</v>
          </cell>
          <cell r="S1126" t="str">
            <v>Mirna Azmy</v>
          </cell>
          <cell r="T1126">
            <v>45957</v>
          </cell>
          <cell r="U1126" t="str">
            <v>Peter Abdelmalek</v>
          </cell>
          <cell r="V1126">
            <v>45972</v>
          </cell>
          <cell r="Y1126">
            <v>45953</v>
          </cell>
        </row>
        <row r="1127">
          <cell r="I1127" t="str">
            <v>EDI</v>
          </cell>
          <cell r="L1127">
            <v>4181</v>
          </cell>
          <cell r="N1127" t="str">
            <v>Production</v>
          </cell>
          <cell r="O1127" t="str">
            <v>eBenefits Network</v>
          </cell>
          <cell r="P1127" t="str">
            <v>Production</v>
          </cell>
          <cell r="Q1127" t="str">
            <v>Live</v>
          </cell>
          <cell r="R1127">
            <v>45951.748912037037</v>
          </cell>
          <cell r="S1127" t="str">
            <v>Josephine Ossama</v>
          </cell>
          <cell r="T1127">
            <v>45953</v>
          </cell>
          <cell r="U1127" t="str">
            <v>Peter Abdelmalek</v>
          </cell>
          <cell r="V1127">
            <v>45958</v>
          </cell>
          <cell r="W1127">
            <v>46006</v>
          </cell>
          <cell r="Y1127">
            <v>45952</v>
          </cell>
          <cell r="AC1127">
            <v>46001</v>
          </cell>
        </row>
        <row r="1128">
          <cell r="I1128" t="str">
            <v>EDI</v>
          </cell>
          <cell r="L1128">
            <v>4194</v>
          </cell>
          <cell r="N1128" t="str">
            <v>Production</v>
          </cell>
          <cell r="O1128" t="str">
            <v>No</v>
          </cell>
          <cell r="Q1128" t="str">
            <v>Live</v>
          </cell>
          <cell r="R1128">
            <v>45951.674375000002</v>
          </cell>
          <cell r="S1128" t="str">
            <v>Reem Radwan</v>
          </cell>
          <cell r="T1128">
            <v>45960</v>
          </cell>
          <cell r="U1128" t="str">
            <v>Jay Lang</v>
          </cell>
          <cell r="V1128">
            <v>45967</v>
          </cell>
          <cell r="W1128">
            <v>46069</v>
          </cell>
          <cell r="Y1128">
            <v>45959</v>
          </cell>
          <cell r="AC1128">
            <v>46068</v>
          </cell>
        </row>
        <row r="1129">
          <cell r="I1129" t="str">
            <v>EDI</v>
          </cell>
          <cell r="L1129">
            <v>4189</v>
          </cell>
          <cell r="N1129" t="str">
            <v>Production</v>
          </cell>
          <cell r="O1129" t="str">
            <v>Everything Benefits</v>
          </cell>
          <cell r="P1129" t="str">
            <v>Production</v>
          </cell>
          <cell r="Q1129" t="str">
            <v>Live</v>
          </cell>
          <cell r="R1129">
            <v>45951.627893518518</v>
          </cell>
          <cell r="S1129" t="str">
            <v>Mina Kamil</v>
          </cell>
          <cell r="T1129">
            <v>45958</v>
          </cell>
          <cell r="U1129" t="str">
            <v>Joel Costanzo</v>
          </cell>
          <cell r="W1129">
            <v>46034</v>
          </cell>
          <cell r="Y1129">
            <v>45958</v>
          </cell>
          <cell r="AC1129">
            <v>46030</v>
          </cell>
        </row>
        <row r="1130">
          <cell r="I1130" t="str">
            <v>EDI</v>
          </cell>
          <cell r="L1130">
            <v>4247</v>
          </cell>
          <cell r="N1130" t="str">
            <v>Production</v>
          </cell>
          <cell r="O1130" t="str">
            <v>No</v>
          </cell>
          <cell r="Q1130" t="str">
            <v>Live</v>
          </cell>
          <cell r="R1130">
            <v>45947.786030092589</v>
          </cell>
          <cell r="S1130" t="str">
            <v>Alaa Yehia</v>
          </cell>
          <cell r="T1130">
            <v>46019</v>
          </cell>
          <cell r="U1130" t="str">
            <v>Trish Kalinczok</v>
          </cell>
          <cell r="V1130">
            <v>46029</v>
          </cell>
          <cell r="W1130">
            <v>46069</v>
          </cell>
          <cell r="Y1130">
            <v>45985</v>
          </cell>
          <cell r="AC1130">
            <v>46068</v>
          </cell>
        </row>
        <row r="1131">
          <cell r="I1131" t="str">
            <v>EDI</v>
          </cell>
          <cell r="L1131">
            <v>2626</v>
          </cell>
          <cell r="N1131" t="str">
            <v>Production</v>
          </cell>
          <cell r="O1131" t="str">
            <v>No</v>
          </cell>
          <cell r="Q1131" t="str">
            <v>Live</v>
          </cell>
          <cell r="R1131">
            <v>45945.960486111107</v>
          </cell>
          <cell r="S1131" t="str">
            <v>Dina Medhat</v>
          </cell>
          <cell r="T1131">
            <v>45946</v>
          </cell>
          <cell r="U1131" t="str">
            <v>Melodie Coles</v>
          </cell>
          <cell r="W1131">
            <v>25569</v>
          </cell>
          <cell r="AC1131">
            <v>45946</v>
          </cell>
        </row>
        <row r="1132">
          <cell r="I1132" t="str">
            <v>EDI</v>
          </cell>
          <cell r="L1132">
            <v>4201</v>
          </cell>
          <cell r="N1132" t="str">
            <v>Production</v>
          </cell>
          <cell r="O1132" t="str">
            <v>Everything Benefits</v>
          </cell>
          <cell r="P1132" t="str">
            <v>Production</v>
          </cell>
          <cell r="Q1132" t="str">
            <v>Live</v>
          </cell>
          <cell r="R1132">
            <v>45945.654166666667</v>
          </cell>
          <cell r="S1132" t="str">
            <v>Alaa Yehia</v>
          </cell>
          <cell r="T1132">
            <v>45960</v>
          </cell>
          <cell r="U1132" t="str">
            <v>Trish Kalinczok</v>
          </cell>
          <cell r="V1132">
            <v>45974</v>
          </cell>
          <cell r="W1132">
            <v>46005</v>
          </cell>
          <cell r="Y1132">
            <v>45959</v>
          </cell>
          <cell r="AC1132">
            <v>45999</v>
          </cell>
        </row>
        <row r="1133">
          <cell r="I1133" t="str">
            <v>EDI</v>
          </cell>
          <cell r="L1133">
            <v>4174</v>
          </cell>
          <cell r="N1133" t="str">
            <v>Production</v>
          </cell>
          <cell r="O1133" t="str">
            <v>eBenefits Network</v>
          </cell>
          <cell r="P1133" t="str">
            <v>Production</v>
          </cell>
          <cell r="Q1133" t="str">
            <v>Live</v>
          </cell>
          <cell r="R1133">
            <v>45944.80636574074</v>
          </cell>
          <cell r="S1133" t="str">
            <v>Omnia Abdelaziz</v>
          </cell>
          <cell r="T1133">
            <v>45950</v>
          </cell>
          <cell r="U1133" t="str">
            <v>Trish Kalinczok</v>
          </cell>
          <cell r="V1133">
            <v>45960</v>
          </cell>
          <cell r="W1133">
            <v>46153</v>
          </cell>
          <cell r="Y1133">
            <v>45946</v>
          </cell>
          <cell r="AC1133">
            <v>46147</v>
          </cell>
        </row>
        <row r="1134">
          <cell r="I1134" t="str">
            <v>EDI</v>
          </cell>
          <cell r="L1134">
            <v>4172</v>
          </cell>
          <cell r="N1134" t="str">
            <v>Mapping</v>
          </cell>
          <cell r="O1134" t="str">
            <v>eBenefits Network</v>
          </cell>
          <cell r="P1134" t="str">
            <v>Phase 3</v>
          </cell>
          <cell r="Q1134" t="str">
            <v>Cancelled</v>
          </cell>
          <cell r="R1134">
            <v>45944.80636574074</v>
          </cell>
          <cell r="S1134" t="str">
            <v>Reem Radwan</v>
          </cell>
          <cell r="T1134">
            <v>45946</v>
          </cell>
          <cell r="U1134" t="str">
            <v>Trish Kalinczok</v>
          </cell>
        </row>
        <row r="1135">
          <cell r="I1135" t="str">
            <v>EDI</v>
          </cell>
          <cell r="L1135">
            <v>4218</v>
          </cell>
          <cell r="N1135" t="str">
            <v>Production</v>
          </cell>
          <cell r="O1135" t="str">
            <v>No</v>
          </cell>
          <cell r="Q1135" t="str">
            <v>Live</v>
          </cell>
          <cell r="R1135">
            <v>45940.559583333343</v>
          </cell>
          <cell r="S1135" t="str">
            <v>Zeyad Khaled</v>
          </cell>
          <cell r="T1135">
            <v>45965</v>
          </cell>
          <cell r="U1135" t="str">
            <v>Trish Kalinczok</v>
          </cell>
          <cell r="V1135">
            <v>25569</v>
          </cell>
          <cell r="W1135">
            <v>46104</v>
          </cell>
          <cell r="Y1135">
            <v>45965</v>
          </cell>
          <cell r="AC1135">
            <v>46098</v>
          </cell>
        </row>
        <row r="1136">
          <cell r="I1136" t="str">
            <v>EDI</v>
          </cell>
          <cell r="L1136">
            <v>4212</v>
          </cell>
          <cell r="N1136" t="str">
            <v>Production</v>
          </cell>
          <cell r="O1136" t="str">
            <v>No</v>
          </cell>
          <cell r="Q1136" t="str">
            <v>Live</v>
          </cell>
          <cell r="R1136">
            <v>45940.559583333343</v>
          </cell>
          <cell r="S1136" t="str">
            <v>Omnia Abdelaziz</v>
          </cell>
          <cell r="T1136">
            <v>45971</v>
          </cell>
          <cell r="U1136" t="str">
            <v>Trish Kalinczok</v>
          </cell>
          <cell r="V1136">
            <v>45981</v>
          </cell>
          <cell r="W1136">
            <v>45992</v>
          </cell>
          <cell r="Y1136">
            <v>45970</v>
          </cell>
          <cell r="AC1136">
            <v>45988</v>
          </cell>
        </row>
        <row r="1137">
          <cell r="I1137" t="str">
            <v>EDI</v>
          </cell>
          <cell r="L1137">
            <v>4200</v>
          </cell>
          <cell r="N1137" t="str">
            <v>Production</v>
          </cell>
          <cell r="O1137" t="str">
            <v>No</v>
          </cell>
          <cell r="Q1137" t="str">
            <v>Live</v>
          </cell>
          <cell r="R1137">
            <v>45940.559583333343</v>
          </cell>
          <cell r="S1137" t="str">
            <v>Ahmed Ali</v>
          </cell>
          <cell r="T1137">
            <v>45964</v>
          </cell>
          <cell r="U1137" t="str">
            <v>Trish Kalinczok</v>
          </cell>
          <cell r="V1137">
            <v>45979</v>
          </cell>
          <cell r="W1137">
            <v>46070</v>
          </cell>
          <cell r="Y1137">
            <v>45963</v>
          </cell>
          <cell r="AC1137">
            <v>46065</v>
          </cell>
        </row>
        <row r="1138">
          <cell r="I1138" t="str">
            <v>EDI</v>
          </cell>
          <cell r="L1138">
            <v>4182</v>
          </cell>
          <cell r="N1138" t="str">
            <v>Production</v>
          </cell>
          <cell r="O1138" t="str">
            <v>No</v>
          </cell>
          <cell r="Q1138" t="str">
            <v>Live</v>
          </cell>
          <cell r="R1138">
            <v>45940.559571759259</v>
          </cell>
          <cell r="S1138" t="str">
            <v>Andrew Ramy</v>
          </cell>
          <cell r="T1138">
            <v>45952</v>
          </cell>
          <cell r="U1138" t="str">
            <v>Trish Kalinczok</v>
          </cell>
          <cell r="V1138">
            <v>45960</v>
          </cell>
          <cell r="W1138">
            <v>45998</v>
          </cell>
          <cell r="Y1138">
            <v>45951</v>
          </cell>
          <cell r="AC1138">
            <v>45994</v>
          </cell>
        </row>
        <row r="1139">
          <cell r="I1139" t="str">
            <v>EDI</v>
          </cell>
          <cell r="L1139">
            <v>4180</v>
          </cell>
          <cell r="N1139" t="str">
            <v>Production</v>
          </cell>
          <cell r="O1139" t="str">
            <v>No</v>
          </cell>
          <cell r="Q1139" t="str">
            <v>Live</v>
          </cell>
          <cell r="R1139">
            <v>45940.559571759259</v>
          </cell>
          <cell r="S1139" t="str">
            <v>Andrew Ramy</v>
          </cell>
          <cell r="T1139">
            <v>45952</v>
          </cell>
          <cell r="U1139" t="str">
            <v>Trish Kalinczok</v>
          </cell>
          <cell r="V1139">
            <v>45960</v>
          </cell>
          <cell r="W1139">
            <v>45960</v>
          </cell>
          <cell r="Y1139">
            <v>45951</v>
          </cell>
          <cell r="AC1139">
            <v>45960</v>
          </cell>
        </row>
        <row r="1140">
          <cell r="I1140" t="str">
            <v>EDI</v>
          </cell>
          <cell r="L1140">
            <v>4173</v>
          </cell>
          <cell r="N1140" t="str">
            <v>Production</v>
          </cell>
          <cell r="O1140" t="str">
            <v>No</v>
          </cell>
          <cell r="Q1140" t="str">
            <v>Live</v>
          </cell>
          <cell r="R1140">
            <v>45938.62427083333</v>
          </cell>
          <cell r="S1140" t="str">
            <v>Alaa Yehia</v>
          </cell>
          <cell r="T1140">
            <v>45946</v>
          </cell>
          <cell r="U1140" t="str">
            <v>Randi Frame</v>
          </cell>
          <cell r="V1140">
            <v>45971</v>
          </cell>
          <cell r="W1140">
            <v>46000</v>
          </cell>
          <cell r="Y1140">
            <v>45945</v>
          </cell>
          <cell r="AC1140">
            <v>46000</v>
          </cell>
        </row>
        <row r="1141">
          <cell r="I1141" t="str">
            <v>EDI</v>
          </cell>
          <cell r="L1141">
            <v>4175</v>
          </cell>
          <cell r="N1141" t="str">
            <v>Testing</v>
          </cell>
          <cell r="O1141" t="str">
            <v>No</v>
          </cell>
          <cell r="Q1141" t="str">
            <v>In Progress</v>
          </cell>
          <cell r="R1141">
            <v>45938.624247685177</v>
          </cell>
          <cell r="S1141" t="str">
            <v>Ahmed Ali</v>
          </cell>
          <cell r="T1141">
            <v>45951</v>
          </cell>
          <cell r="U1141" t="str">
            <v>KJ Ampy</v>
          </cell>
          <cell r="V1141">
            <v>45979</v>
          </cell>
          <cell r="Y1141">
            <v>45951</v>
          </cell>
        </row>
        <row r="1142">
          <cell r="I1142" t="str">
            <v>EDI</v>
          </cell>
          <cell r="L1142">
            <v>4253</v>
          </cell>
          <cell r="N1142" t="str">
            <v>Testing</v>
          </cell>
          <cell r="O1142" t="str">
            <v>No</v>
          </cell>
          <cell r="Q1142" t="str">
            <v>In Progress</v>
          </cell>
          <cell r="R1142">
            <v>45938.624236111107</v>
          </cell>
          <cell r="S1142" t="str">
            <v>Andrew Ramy</v>
          </cell>
          <cell r="T1142">
            <v>46128</v>
          </cell>
          <cell r="U1142" t="str">
            <v>Randi Frame</v>
          </cell>
          <cell r="V1142">
            <v>46111</v>
          </cell>
          <cell r="Y1142">
            <v>45985</v>
          </cell>
        </row>
        <row r="1143">
          <cell r="I1143" t="str">
            <v>EDI</v>
          </cell>
          <cell r="L1143">
            <v>4638</v>
          </cell>
          <cell r="N1143" t="str">
            <v>Production</v>
          </cell>
          <cell r="O1143" t="str">
            <v>No</v>
          </cell>
          <cell r="Q1143" t="str">
            <v>Live</v>
          </cell>
          <cell r="R1143">
            <v>45936.619143518517</v>
          </cell>
          <cell r="S1143" t="str">
            <v>Karen Ramy</v>
          </cell>
          <cell r="T1143">
            <v>46090</v>
          </cell>
          <cell r="U1143" t="str">
            <v>Gregory Dubec</v>
          </cell>
          <cell r="V1143">
            <v>46097</v>
          </cell>
          <cell r="W1143">
            <v>46184</v>
          </cell>
          <cell r="Y1143">
            <v>46090</v>
          </cell>
          <cell r="AC1143">
            <v>46184</v>
          </cell>
        </row>
        <row r="1144">
          <cell r="I1144" t="str">
            <v>EDI</v>
          </cell>
          <cell r="L1144">
            <v>4176</v>
          </cell>
          <cell r="N1144" t="str">
            <v>Production</v>
          </cell>
          <cell r="O1144" t="str">
            <v>No</v>
          </cell>
          <cell r="Q1144" t="str">
            <v>Live</v>
          </cell>
          <cell r="R1144">
            <v>45936.617129629631</v>
          </cell>
          <cell r="S1144" t="str">
            <v>Mirna Azmy</v>
          </cell>
          <cell r="T1144">
            <v>45951</v>
          </cell>
          <cell r="U1144" t="str">
            <v>Gregory Dubec</v>
          </cell>
          <cell r="V1144">
            <v>45952</v>
          </cell>
          <cell r="W1144">
            <v>45974</v>
          </cell>
          <cell r="Y1144">
            <v>45951</v>
          </cell>
          <cell r="AC1144">
            <v>45972</v>
          </cell>
        </row>
        <row r="1145">
          <cell r="I1145" t="str">
            <v>EDI</v>
          </cell>
          <cell r="L1145">
            <v>4342</v>
          </cell>
          <cell r="N1145" t="str">
            <v>Production</v>
          </cell>
          <cell r="O1145" t="str">
            <v>No</v>
          </cell>
          <cell r="Q1145" t="str">
            <v>Live</v>
          </cell>
          <cell r="R1145">
            <v>45936.617129629631</v>
          </cell>
          <cell r="S1145" t="str">
            <v>Karen Ramy</v>
          </cell>
          <cell r="T1145">
            <v>46020</v>
          </cell>
          <cell r="U1145" t="str">
            <v>Gregory Dubec</v>
          </cell>
          <cell r="V1145">
            <v>46079</v>
          </cell>
          <cell r="W1145">
            <v>46149</v>
          </cell>
          <cell r="Y1145">
            <v>46019</v>
          </cell>
          <cell r="AC1145">
            <v>46146</v>
          </cell>
        </row>
        <row r="1146">
          <cell r="I1146" t="str">
            <v>EDI</v>
          </cell>
          <cell r="L1146">
            <v>4343</v>
          </cell>
          <cell r="N1146" t="str">
            <v>Production</v>
          </cell>
          <cell r="O1146" t="str">
            <v>No</v>
          </cell>
          <cell r="Q1146" t="str">
            <v>Live</v>
          </cell>
          <cell r="R1146">
            <v>45936.617129629631</v>
          </cell>
          <cell r="S1146" t="str">
            <v>Karen Ramy</v>
          </cell>
          <cell r="T1146">
            <v>46020</v>
          </cell>
          <cell r="U1146" t="str">
            <v>Gregory Dubec</v>
          </cell>
          <cell r="V1146">
            <v>46079</v>
          </cell>
          <cell r="W1146">
            <v>46155</v>
          </cell>
          <cell r="Y1146">
            <v>46019</v>
          </cell>
          <cell r="AC1146">
            <v>46146</v>
          </cell>
        </row>
        <row r="1147">
          <cell r="I1147" t="str">
            <v>EDI</v>
          </cell>
          <cell r="L1147">
            <v>4179</v>
          </cell>
          <cell r="N1147" t="str">
            <v>Production</v>
          </cell>
          <cell r="O1147" t="str">
            <v>No</v>
          </cell>
          <cell r="Q1147" t="str">
            <v>Live</v>
          </cell>
          <cell r="R1147">
            <v>45936.617118055547</v>
          </cell>
          <cell r="S1147" t="str">
            <v>Karen Ramy</v>
          </cell>
          <cell r="T1147">
            <v>45952</v>
          </cell>
          <cell r="U1147" t="str">
            <v>Gregory Dubec</v>
          </cell>
          <cell r="V1147">
            <v>45965</v>
          </cell>
          <cell r="W1147">
            <v>46086</v>
          </cell>
          <cell r="Y1147">
            <v>45951</v>
          </cell>
          <cell r="AC1147">
            <v>46080</v>
          </cell>
        </row>
        <row r="1148">
          <cell r="I1148" t="str">
            <v>EDI</v>
          </cell>
          <cell r="L1148">
            <v>4165</v>
          </cell>
          <cell r="N1148" t="str">
            <v>Production</v>
          </cell>
          <cell r="O1148" t="str">
            <v>No</v>
          </cell>
          <cell r="Q1148" t="str">
            <v>Live</v>
          </cell>
          <cell r="R1148">
            <v>45932.885196759264</v>
          </cell>
          <cell r="S1148" t="str">
            <v>Ahmed Ali</v>
          </cell>
          <cell r="T1148">
            <v>45943</v>
          </cell>
          <cell r="U1148" t="str">
            <v>Trish Kalinczok</v>
          </cell>
          <cell r="V1148">
            <v>45951</v>
          </cell>
          <cell r="W1148">
            <v>45964</v>
          </cell>
          <cell r="Y1148">
            <v>45942</v>
          </cell>
          <cell r="AC1148">
            <v>45960</v>
          </cell>
        </row>
        <row r="1149">
          <cell r="I1149" t="str">
            <v>EDI</v>
          </cell>
          <cell r="L1149">
            <v>4157</v>
          </cell>
          <cell r="N1149" t="str">
            <v>Mapping</v>
          </cell>
          <cell r="O1149" t="str">
            <v>No</v>
          </cell>
          <cell r="Q1149" t="str">
            <v>In Progress</v>
          </cell>
          <cell r="R1149">
            <v>45932.708969907413</v>
          </cell>
          <cell r="S1149" t="str">
            <v>Reem Radwan</v>
          </cell>
          <cell r="T1149">
            <v>45936</v>
          </cell>
          <cell r="U1149" t="str">
            <v>Rosalie Whitty</v>
          </cell>
          <cell r="V1149">
            <v>25569</v>
          </cell>
          <cell r="Y1149">
            <v>45935</v>
          </cell>
        </row>
        <row r="1150">
          <cell r="I1150" t="str">
            <v>EDI</v>
          </cell>
          <cell r="L1150">
            <v>4163</v>
          </cell>
          <cell r="N1150" t="str">
            <v>Production</v>
          </cell>
          <cell r="O1150" t="str">
            <v>No</v>
          </cell>
          <cell r="Q1150" t="str">
            <v>Cancelled</v>
          </cell>
          <cell r="R1150">
            <v>45932.708969907413</v>
          </cell>
          <cell r="S1150" t="str">
            <v>Reem Radwan</v>
          </cell>
          <cell r="T1150">
            <v>45938</v>
          </cell>
          <cell r="U1150" t="str">
            <v>Rosalie Whitty</v>
          </cell>
          <cell r="V1150">
            <v>45964</v>
          </cell>
          <cell r="W1150">
            <v>45978</v>
          </cell>
          <cell r="Y1150">
            <v>45938</v>
          </cell>
          <cell r="AC1150">
            <v>45977</v>
          </cell>
        </row>
        <row r="1151">
          <cell r="I1151" t="str">
            <v>EDI</v>
          </cell>
          <cell r="L1151">
            <v>4168</v>
          </cell>
          <cell r="N1151" t="str">
            <v>Production</v>
          </cell>
          <cell r="O1151" t="str">
            <v>No</v>
          </cell>
          <cell r="Q1151" t="str">
            <v>Cancelled</v>
          </cell>
          <cell r="R1151">
            <v>45932.708958333344</v>
          </cell>
          <cell r="S1151" t="str">
            <v>Mirna Azmy</v>
          </cell>
          <cell r="T1151">
            <v>45943</v>
          </cell>
          <cell r="U1151" t="str">
            <v>Rosalie Whitty</v>
          </cell>
          <cell r="W1151">
            <v>45953</v>
          </cell>
          <cell r="Y1151">
            <v>45938</v>
          </cell>
          <cell r="AC1151">
            <v>45952</v>
          </cell>
        </row>
        <row r="1152">
          <cell r="I1152" t="str">
            <v>EDI</v>
          </cell>
          <cell r="L1152">
            <v>4159</v>
          </cell>
          <cell r="N1152" t="str">
            <v>Production</v>
          </cell>
          <cell r="O1152" t="str">
            <v>No</v>
          </cell>
          <cell r="Q1152" t="str">
            <v>Cancelled</v>
          </cell>
          <cell r="R1152">
            <v>45932.70894675926</v>
          </cell>
          <cell r="S1152" t="str">
            <v>Mina Kamil</v>
          </cell>
          <cell r="T1152">
            <v>45938</v>
          </cell>
          <cell r="U1152" t="str">
            <v>Rosalie Whitty</v>
          </cell>
          <cell r="W1152">
            <v>45957</v>
          </cell>
          <cell r="Y1152">
            <v>45938</v>
          </cell>
          <cell r="AC1152">
            <v>45956</v>
          </cell>
        </row>
        <row r="1153">
          <cell r="I1153" t="str">
            <v>EDI</v>
          </cell>
          <cell r="L1153">
            <v>4166</v>
          </cell>
          <cell r="N1153" t="str">
            <v>Production</v>
          </cell>
          <cell r="O1153" t="str">
            <v>No</v>
          </cell>
          <cell r="Q1153" t="str">
            <v>Live</v>
          </cell>
          <cell r="R1153">
            <v>45932.616620370369</v>
          </cell>
          <cell r="S1153" t="str">
            <v>Zeyad Khaled</v>
          </cell>
          <cell r="T1153">
            <v>45943</v>
          </cell>
          <cell r="U1153" t="str">
            <v>Rhettsmey Meak</v>
          </cell>
          <cell r="V1153">
            <v>45985</v>
          </cell>
          <cell r="W1153">
            <v>46009</v>
          </cell>
          <cell r="Y1153">
            <v>45941</v>
          </cell>
          <cell r="AC1153">
            <v>46007</v>
          </cell>
        </row>
        <row r="1154">
          <cell r="I1154" t="str">
            <v>EDI</v>
          </cell>
          <cell r="L1154">
            <v>4183</v>
          </cell>
          <cell r="N1154" t="str">
            <v>Production</v>
          </cell>
          <cell r="O1154" t="str">
            <v>No</v>
          </cell>
          <cell r="Q1154" t="str">
            <v>Live</v>
          </cell>
          <cell r="R1154">
            <v>45932.614710648151</v>
          </cell>
          <cell r="S1154" t="str">
            <v>Mina Kamil</v>
          </cell>
          <cell r="T1154">
            <v>45951</v>
          </cell>
          <cell r="U1154" t="str">
            <v>Rhettsmey Meak</v>
          </cell>
          <cell r="W1154">
            <v>45981</v>
          </cell>
          <cell r="Y1154">
            <v>45946</v>
          </cell>
          <cell r="AC1154">
            <v>45978</v>
          </cell>
        </row>
        <row r="1155">
          <cell r="I1155" t="str">
            <v>EDI</v>
          </cell>
          <cell r="L1155">
            <v>4258</v>
          </cell>
          <cell r="N1155" t="str">
            <v>Production</v>
          </cell>
          <cell r="O1155" t="str">
            <v>No</v>
          </cell>
          <cell r="Q1155" t="str">
            <v>Live</v>
          </cell>
          <cell r="R1155">
            <v>45932.610960648148</v>
          </cell>
          <cell r="S1155" t="str">
            <v>Zeyad Khaled</v>
          </cell>
          <cell r="T1155">
            <v>45987</v>
          </cell>
          <cell r="U1155" t="str">
            <v>Rhettsmey Meak</v>
          </cell>
          <cell r="V1155">
            <v>46009</v>
          </cell>
          <cell r="W1155">
            <v>46048</v>
          </cell>
          <cell r="Y1155">
            <v>45986</v>
          </cell>
          <cell r="AC1155">
            <v>46048</v>
          </cell>
        </row>
        <row r="1156">
          <cell r="I1156" t="str">
            <v>EDI</v>
          </cell>
          <cell r="L1156">
            <v>4481</v>
          </cell>
          <cell r="N1156" t="str">
            <v>Production</v>
          </cell>
          <cell r="O1156" t="str">
            <v>No</v>
          </cell>
          <cell r="Q1156" t="str">
            <v>Live</v>
          </cell>
          <cell r="R1156">
            <v>45931.860763888893</v>
          </cell>
          <cell r="S1156" t="str">
            <v>Omnia Abdelaziz</v>
          </cell>
          <cell r="T1156">
            <v>46057</v>
          </cell>
          <cell r="U1156" t="str">
            <v>Jay Lang</v>
          </cell>
          <cell r="V1156">
            <v>46072</v>
          </cell>
          <cell r="W1156">
            <v>46167</v>
          </cell>
          <cell r="Y1156">
            <v>46056</v>
          </cell>
          <cell r="AC1156">
            <v>46161</v>
          </cell>
        </row>
        <row r="1157">
          <cell r="I1157" t="str">
            <v>EDI</v>
          </cell>
          <cell r="L1157">
            <v>4199</v>
          </cell>
          <cell r="N1157" t="str">
            <v>Production</v>
          </cell>
          <cell r="O1157" t="str">
            <v>No</v>
          </cell>
          <cell r="Q1157" t="str">
            <v>Live</v>
          </cell>
          <cell r="R1157">
            <v>45930.595347222217</v>
          </cell>
          <cell r="S1157" t="str">
            <v>Zeyad Khaled</v>
          </cell>
          <cell r="T1157">
            <v>45957</v>
          </cell>
          <cell r="U1157" t="str">
            <v>Rhettsmey Meak</v>
          </cell>
          <cell r="V1157">
            <v>25569</v>
          </cell>
          <cell r="W1157">
            <v>45981</v>
          </cell>
          <cell r="Y1157">
            <v>45956</v>
          </cell>
          <cell r="AC1157">
            <v>45979</v>
          </cell>
        </row>
        <row r="1158">
          <cell r="I1158" t="str">
            <v>EDI</v>
          </cell>
          <cell r="N1158" t="str">
            <v>Requirements Gathering</v>
          </cell>
          <cell r="O1158" t="str">
            <v>No</v>
          </cell>
          <cell r="Q1158" t="str">
            <v>Cancelled</v>
          </cell>
          <cell r="R1158">
            <v>45930.591249999998</v>
          </cell>
          <cell r="S1158" t="str">
            <v>Lourina Edmon</v>
          </cell>
          <cell r="T1158">
            <v>45931</v>
          </cell>
          <cell r="U1158" t="str">
            <v>Rhettsmey Meak</v>
          </cell>
        </row>
        <row r="1159">
          <cell r="I1159" t="str">
            <v>EDI</v>
          </cell>
          <cell r="N1159" t="str">
            <v>Requirements Gathering</v>
          </cell>
          <cell r="O1159" t="str">
            <v>No</v>
          </cell>
          <cell r="Q1159" t="str">
            <v>Cancelled</v>
          </cell>
          <cell r="R1159">
            <v>45930.589965277781</v>
          </cell>
          <cell r="S1159" t="str">
            <v>Lourina Edmon</v>
          </cell>
          <cell r="T1159">
            <v>45931</v>
          </cell>
          <cell r="U1159" t="str">
            <v>Rhettsmey Meak</v>
          </cell>
        </row>
        <row r="1160">
          <cell r="I1160" t="str">
            <v>EDI</v>
          </cell>
          <cell r="N1160" t="str">
            <v>Requirements Gathering</v>
          </cell>
          <cell r="O1160" t="str">
            <v>No</v>
          </cell>
          <cell r="Q1160" t="str">
            <v>Cancelled</v>
          </cell>
          <cell r="R1160">
            <v>45930.587152777778</v>
          </cell>
          <cell r="S1160" t="str">
            <v>Karim Tarek</v>
          </cell>
          <cell r="T1160">
            <v>46048</v>
          </cell>
          <cell r="U1160" t="str">
            <v>Rhettsmey Meak</v>
          </cell>
        </row>
        <row r="1161">
          <cell r="I1161" t="str">
            <v>EDI</v>
          </cell>
          <cell r="L1161">
            <v>4418</v>
          </cell>
          <cell r="N1161" t="str">
            <v>Production</v>
          </cell>
          <cell r="O1161" t="str">
            <v>No</v>
          </cell>
          <cell r="Q1161" t="str">
            <v>Live</v>
          </cell>
          <cell r="R1161">
            <v>45930.585405092592</v>
          </cell>
          <cell r="S1161" t="str">
            <v>Aya Fathy</v>
          </cell>
          <cell r="T1161">
            <v>46110</v>
          </cell>
          <cell r="U1161" t="str">
            <v>Rhettsmey Meak</v>
          </cell>
          <cell r="V1161">
            <v>46113</v>
          </cell>
          <cell r="W1161">
            <v>46122</v>
          </cell>
          <cell r="Y1161">
            <v>46108</v>
          </cell>
          <cell r="AC1161">
            <v>46121</v>
          </cell>
        </row>
        <row r="1162">
          <cell r="I1162" t="str">
            <v>EDI</v>
          </cell>
          <cell r="L1162">
            <v>4148</v>
          </cell>
          <cell r="N1162" t="str">
            <v>Production</v>
          </cell>
          <cell r="O1162" t="str">
            <v>No</v>
          </cell>
          <cell r="Q1162" t="str">
            <v>Live</v>
          </cell>
          <cell r="R1162">
            <v>45930.575543981482</v>
          </cell>
          <cell r="S1162" t="str">
            <v>Mirna Azmy</v>
          </cell>
          <cell r="T1162">
            <v>45931</v>
          </cell>
          <cell r="U1162" t="str">
            <v>Trish Kalinczok</v>
          </cell>
          <cell r="AC1162">
            <v>45932</v>
          </cell>
        </row>
        <row r="1163">
          <cell r="I1163" t="str">
            <v>EDI</v>
          </cell>
          <cell r="L1163">
            <v>4177</v>
          </cell>
          <cell r="N1163" t="str">
            <v>Production</v>
          </cell>
          <cell r="O1163" t="str">
            <v>No</v>
          </cell>
          <cell r="Q1163" t="str">
            <v>Live</v>
          </cell>
          <cell r="R1163">
            <v>45930.527407407397</v>
          </cell>
          <cell r="S1163" t="str">
            <v>Noha Moustafa</v>
          </cell>
          <cell r="T1163">
            <v>45951</v>
          </cell>
          <cell r="U1163" t="str">
            <v>Gregory Dubec</v>
          </cell>
          <cell r="V1163">
            <v>45966</v>
          </cell>
          <cell r="W1163">
            <v>45974</v>
          </cell>
          <cell r="Y1163">
            <v>45951</v>
          </cell>
          <cell r="AC1163">
            <v>45974</v>
          </cell>
        </row>
        <row r="1164">
          <cell r="I1164" t="str">
            <v>EDI</v>
          </cell>
          <cell r="L1164">
            <v>4155</v>
          </cell>
          <cell r="N1164" t="str">
            <v>Production</v>
          </cell>
          <cell r="O1164" t="str">
            <v>Everything Benefits</v>
          </cell>
          <cell r="P1164" t="str">
            <v>Migration Testing</v>
          </cell>
          <cell r="Q1164" t="str">
            <v>Live</v>
          </cell>
          <cell r="R1164">
            <v>45929.910439814812</v>
          </cell>
          <cell r="S1164" t="str">
            <v>Mina Kamil</v>
          </cell>
          <cell r="T1164">
            <v>45932</v>
          </cell>
          <cell r="U1164" t="str">
            <v>Shelly Knox</v>
          </cell>
          <cell r="W1164">
            <v>46064</v>
          </cell>
          <cell r="Y1164">
            <v>45932</v>
          </cell>
          <cell r="AC1164">
            <v>46048</v>
          </cell>
        </row>
        <row r="1165">
          <cell r="I1165" t="str">
            <v>EDI</v>
          </cell>
          <cell r="L1165">
            <v>4158</v>
          </cell>
          <cell r="N1165" t="str">
            <v>Testing</v>
          </cell>
          <cell r="O1165" t="str">
            <v>No</v>
          </cell>
          <cell r="Q1165" t="str">
            <v>Cancelled</v>
          </cell>
          <cell r="R1165">
            <v>45929.755335648151</v>
          </cell>
          <cell r="S1165" t="str">
            <v>Mirna Azmy</v>
          </cell>
          <cell r="T1165">
            <v>45936</v>
          </cell>
          <cell r="U1165" t="str">
            <v>Rhettsmey Meak</v>
          </cell>
          <cell r="V1165">
            <v>45952</v>
          </cell>
          <cell r="Y1165">
            <v>45935</v>
          </cell>
        </row>
        <row r="1166">
          <cell r="I1166" t="str">
            <v>EDI</v>
          </cell>
          <cell r="L1166">
            <v>4147</v>
          </cell>
          <cell r="N1166" t="str">
            <v>Production</v>
          </cell>
          <cell r="O1166" t="str">
            <v>No</v>
          </cell>
          <cell r="Q1166" t="str">
            <v>Live</v>
          </cell>
          <cell r="R1166">
            <v>45929.624826388892</v>
          </cell>
          <cell r="S1166" t="str">
            <v>Omnia Abdelaziz</v>
          </cell>
          <cell r="T1166">
            <v>45931</v>
          </cell>
          <cell r="U1166" t="str">
            <v>Trish Kalinczok</v>
          </cell>
          <cell r="V1166">
            <v>45946</v>
          </cell>
          <cell r="W1166">
            <v>45964</v>
          </cell>
          <cell r="Y1166">
            <v>45931</v>
          </cell>
          <cell r="AC1166">
            <v>45961</v>
          </cell>
        </row>
        <row r="1167">
          <cell r="I1167" t="str">
            <v>EDI</v>
          </cell>
          <cell r="L1167">
            <v>4164</v>
          </cell>
          <cell r="N1167" t="str">
            <v>Production</v>
          </cell>
          <cell r="O1167" t="str">
            <v>No</v>
          </cell>
          <cell r="Q1167" t="str">
            <v>Live</v>
          </cell>
          <cell r="R1167">
            <v>45929.557314814818</v>
          </cell>
          <cell r="S1167" t="str">
            <v>Andrew Ramy</v>
          </cell>
          <cell r="T1167">
            <v>45943</v>
          </cell>
          <cell r="U1167" t="str">
            <v>Hans De Grouw</v>
          </cell>
          <cell r="V1167">
            <v>45984</v>
          </cell>
          <cell r="W1167">
            <v>46003</v>
          </cell>
          <cell r="Y1167">
            <v>45941</v>
          </cell>
          <cell r="AC1167">
            <v>45992</v>
          </cell>
        </row>
        <row r="1168">
          <cell r="I1168" t="str">
            <v>EDI</v>
          </cell>
          <cell r="L1168">
            <v>4145</v>
          </cell>
          <cell r="N1168" t="str">
            <v>Production</v>
          </cell>
          <cell r="O1168" t="str">
            <v>No</v>
          </cell>
          <cell r="Q1168" t="str">
            <v>Live</v>
          </cell>
          <cell r="R1168">
            <v>45926.610381944447</v>
          </cell>
          <cell r="S1168" t="str">
            <v>Mirna Azmy</v>
          </cell>
          <cell r="T1168">
            <v>45929</v>
          </cell>
          <cell r="U1168" t="str">
            <v>Trish Kalinczok</v>
          </cell>
          <cell r="V1168">
            <v>45945</v>
          </cell>
          <cell r="W1168">
            <v>46022</v>
          </cell>
          <cell r="Y1168">
            <v>45928</v>
          </cell>
          <cell r="AC1168">
            <v>46020</v>
          </cell>
        </row>
        <row r="1169">
          <cell r="I1169" t="str">
            <v>EDI</v>
          </cell>
          <cell r="L1169">
            <v>4138</v>
          </cell>
          <cell r="N1169" t="str">
            <v>Testing</v>
          </cell>
          <cell r="O1169" t="str">
            <v>No</v>
          </cell>
          <cell r="Q1169" t="str">
            <v>Cancelled</v>
          </cell>
          <cell r="R1169">
            <v>45926.562835648147</v>
          </cell>
          <cell r="S1169" t="str">
            <v>Mark Albert</v>
          </cell>
          <cell r="T1169">
            <v>45929</v>
          </cell>
          <cell r="U1169" t="str">
            <v>Gregory Dubec</v>
          </cell>
          <cell r="V1169">
            <v>45949</v>
          </cell>
          <cell r="Y1169">
            <v>45928</v>
          </cell>
        </row>
        <row r="1170">
          <cell r="I1170" t="str">
            <v>EDI</v>
          </cell>
          <cell r="L1170">
            <v>4234</v>
          </cell>
          <cell r="N1170" t="str">
            <v>Production</v>
          </cell>
          <cell r="O1170" t="str">
            <v>No</v>
          </cell>
          <cell r="Q1170" t="str">
            <v>Cancelled</v>
          </cell>
          <cell r="R1170">
            <v>45924.800868055558</v>
          </cell>
          <cell r="S1170" t="str">
            <v>Karen Ramy</v>
          </cell>
          <cell r="T1170">
            <v>46019</v>
          </cell>
          <cell r="U1170" t="str">
            <v>Tyler  Raposa</v>
          </cell>
          <cell r="V1170">
            <v>46034</v>
          </cell>
          <cell r="W1170">
            <v>46111</v>
          </cell>
          <cell r="Y1170">
            <v>45979</v>
          </cell>
          <cell r="AC1170">
            <v>46106</v>
          </cell>
        </row>
        <row r="1171">
          <cell r="I1171" t="str">
            <v>EDI</v>
          </cell>
          <cell r="N1171" t="str">
            <v>Requirements Gathering</v>
          </cell>
          <cell r="O1171" t="str">
            <v>No</v>
          </cell>
          <cell r="Q1171" t="str">
            <v>Cancelled</v>
          </cell>
          <cell r="R1171">
            <v>45924.800868055558</v>
          </cell>
          <cell r="S1171" t="str">
            <v>Abdulrahman Tarek</v>
          </cell>
          <cell r="T1171">
            <v>45925</v>
          </cell>
          <cell r="U1171" t="str">
            <v>Tyler  Raposa</v>
          </cell>
        </row>
        <row r="1172">
          <cell r="I1172" t="str">
            <v>EDI</v>
          </cell>
          <cell r="L1172">
            <v>4170</v>
          </cell>
          <cell r="N1172" t="str">
            <v>Production</v>
          </cell>
          <cell r="O1172" t="str">
            <v>No</v>
          </cell>
          <cell r="Q1172" t="str">
            <v>Live</v>
          </cell>
          <cell r="R1172">
            <v>45924.567604166667</v>
          </cell>
          <cell r="S1172" t="str">
            <v>Marwan Tawfik</v>
          </cell>
          <cell r="T1172">
            <v>45945</v>
          </cell>
          <cell r="U1172" t="str">
            <v>Trish Kalinczok</v>
          </cell>
          <cell r="V1172">
            <v>45974</v>
          </cell>
          <cell r="W1172">
            <v>46085</v>
          </cell>
          <cell r="Y1172">
            <v>45944</v>
          </cell>
          <cell r="AC1172">
            <v>46083</v>
          </cell>
        </row>
        <row r="1173">
          <cell r="I1173" t="str">
            <v>EDI</v>
          </cell>
          <cell r="L1173">
            <v>4152</v>
          </cell>
          <cell r="N1173" t="str">
            <v>Production</v>
          </cell>
          <cell r="O1173" t="str">
            <v>No</v>
          </cell>
          <cell r="Q1173" t="str">
            <v>Live</v>
          </cell>
          <cell r="R1173">
            <v>45924.539930555547</v>
          </cell>
          <cell r="S1173" t="str">
            <v>Marwan Tawfik</v>
          </cell>
          <cell r="T1173">
            <v>45928</v>
          </cell>
          <cell r="U1173" t="str">
            <v>Rhettsmey Meak</v>
          </cell>
          <cell r="V1173">
            <v>45974</v>
          </cell>
          <cell r="W1173">
            <v>45995</v>
          </cell>
          <cell r="Y1173">
            <v>45925</v>
          </cell>
          <cell r="AC1173">
            <v>45993</v>
          </cell>
        </row>
        <row r="1174">
          <cell r="I1174" t="str">
            <v>EDI</v>
          </cell>
          <cell r="L1174">
            <v>4144</v>
          </cell>
          <cell r="N1174" t="str">
            <v>Production</v>
          </cell>
          <cell r="O1174" t="str">
            <v>No</v>
          </cell>
          <cell r="Q1174" t="str">
            <v>Live</v>
          </cell>
          <cell r="R1174">
            <v>45924.534907407397</v>
          </cell>
          <cell r="S1174" t="str">
            <v>Karen Ramy</v>
          </cell>
          <cell r="T1174">
            <v>45929</v>
          </cell>
          <cell r="U1174" t="str">
            <v>Rhettsmey Meak</v>
          </cell>
          <cell r="V1174">
            <v>45965</v>
          </cell>
          <cell r="W1174">
            <v>45981</v>
          </cell>
          <cell r="Y1174">
            <v>45928</v>
          </cell>
          <cell r="AC1174">
            <v>45978</v>
          </cell>
        </row>
        <row r="1175">
          <cell r="I1175" t="str">
            <v>EDI</v>
          </cell>
          <cell r="L1175">
            <v>4146</v>
          </cell>
          <cell r="N1175" t="str">
            <v>Production</v>
          </cell>
          <cell r="O1175" t="str">
            <v>No</v>
          </cell>
          <cell r="Q1175" t="str">
            <v>Live</v>
          </cell>
          <cell r="R1175">
            <v>45924.533842592587</v>
          </cell>
          <cell r="S1175" t="str">
            <v>Andrew Ramy</v>
          </cell>
          <cell r="T1175">
            <v>45929</v>
          </cell>
          <cell r="U1175" t="str">
            <v>Rhettsmey Meak</v>
          </cell>
          <cell r="V1175">
            <v>45993</v>
          </cell>
          <cell r="W1175">
            <v>46010</v>
          </cell>
          <cell r="Y1175">
            <v>45928</v>
          </cell>
          <cell r="AC1175">
            <v>46009</v>
          </cell>
        </row>
        <row r="1176">
          <cell r="I1176" t="str">
            <v>EDI</v>
          </cell>
          <cell r="L1176">
            <v>4210</v>
          </cell>
          <cell r="N1176" t="str">
            <v>Production</v>
          </cell>
          <cell r="O1176" t="str">
            <v>No</v>
          </cell>
          <cell r="Q1176" t="str">
            <v>Live</v>
          </cell>
          <cell r="R1176">
            <v>45924.51326388889</v>
          </cell>
          <cell r="S1176" t="str">
            <v>Alaa Yehia</v>
          </cell>
          <cell r="T1176">
            <v>45965</v>
          </cell>
          <cell r="U1176" t="str">
            <v>Rhettsmey Meak</v>
          </cell>
          <cell r="V1176">
            <v>45972</v>
          </cell>
          <cell r="W1176">
            <v>46030</v>
          </cell>
          <cell r="Y1176">
            <v>45964</v>
          </cell>
          <cell r="AC1176">
            <v>46028</v>
          </cell>
        </row>
        <row r="1177">
          <cell r="I1177" t="str">
            <v>EDI</v>
          </cell>
          <cell r="L1177">
            <v>4160</v>
          </cell>
          <cell r="N1177" t="str">
            <v>Production</v>
          </cell>
          <cell r="O1177" t="str">
            <v>No</v>
          </cell>
          <cell r="Q1177" t="str">
            <v>Live</v>
          </cell>
          <cell r="R1177">
            <v>45924.511099537027</v>
          </cell>
          <cell r="S1177" t="str">
            <v>Josephine Ossama</v>
          </cell>
          <cell r="T1177">
            <v>45938</v>
          </cell>
          <cell r="U1177" t="str">
            <v>Rhettsmey Meak</v>
          </cell>
          <cell r="V1177">
            <v>45945</v>
          </cell>
          <cell r="W1177">
            <v>46155</v>
          </cell>
          <cell r="Y1177">
            <v>45938</v>
          </cell>
          <cell r="AC1177">
            <v>46153</v>
          </cell>
        </row>
        <row r="1178">
          <cell r="I1178" t="str">
            <v>EDI</v>
          </cell>
          <cell r="N1178" t="str">
            <v>Requirements Gathering</v>
          </cell>
          <cell r="O1178" t="str">
            <v>No</v>
          </cell>
          <cell r="Q1178" t="str">
            <v>Cancelled</v>
          </cell>
          <cell r="R1178">
            <v>45923.668009259258</v>
          </cell>
          <cell r="S1178" t="str">
            <v>Sandra Adel</v>
          </cell>
          <cell r="T1178">
            <v>45994</v>
          </cell>
          <cell r="U1178" t="str">
            <v>Trish Kalinczok</v>
          </cell>
        </row>
        <row r="1179">
          <cell r="I1179" t="str">
            <v>EDI</v>
          </cell>
          <cell r="L1179">
            <v>4169</v>
          </cell>
          <cell r="N1179" t="str">
            <v>Production</v>
          </cell>
          <cell r="O1179" t="str">
            <v>No</v>
          </cell>
          <cell r="Q1179" t="str">
            <v>Live</v>
          </cell>
          <cell r="R1179">
            <v>45923.558958333328</v>
          </cell>
          <cell r="S1179" t="str">
            <v>Alaa Yehia</v>
          </cell>
          <cell r="T1179">
            <v>45944</v>
          </cell>
          <cell r="U1179" t="str">
            <v>Rhettsmey Meak</v>
          </cell>
          <cell r="V1179">
            <v>45968</v>
          </cell>
          <cell r="W1179">
            <v>45994</v>
          </cell>
          <cell r="Y1179">
            <v>45943</v>
          </cell>
          <cell r="AC1179">
            <v>45993</v>
          </cell>
        </row>
        <row r="1180">
          <cell r="I1180" t="str">
            <v>EDI</v>
          </cell>
          <cell r="L1180">
            <v>4136</v>
          </cell>
          <cell r="N1180" t="str">
            <v>Production</v>
          </cell>
          <cell r="O1180" t="str">
            <v>No</v>
          </cell>
          <cell r="Q1180" t="str">
            <v>Live</v>
          </cell>
          <cell r="R1180">
            <v>45923.554664351846</v>
          </cell>
          <cell r="S1180" t="str">
            <v>Ahmed Ali</v>
          </cell>
          <cell r="T1180">
            <v>45928</v>
          </cell>
          <cell r="U1180" t="str">
            <v>Trish Kalinczok</v>
          </cell>
          <cell r="V1180">
            <v>45943</v>
          </cell>
          <cell r="W1180">
            <v>45951</v>
          </cell>
          <cell r="Y1180">
            <v>45925</v>
          </cell>
          <cell r="AC1180">
            <v>45949</v>
          </cell>
        </row>
        <row r="1181">
          <cell r="I1181" t="str">
            <v>EDI</v>
          </cell>
          <cell r="L1181">
            <v>4132</v>
          </cell>
          <cell r="N1181" t="str">
            <v>Production</v>
          </cell>
          <cell r="O1181" t="str">
            <v>No</v>
          </cell>
          <cell r="Q1181" t="str">
            <v>Live</v>
          </cell>
          <cell r="R1181">
            <v>45919.572835648149</v>
          </cell>
          <cell r="S1181" t="str">
            <v>Zeyad Khaled</v>
          </cell>
          <cell r="T1181">
            <v>45923</v>
          </cell>
          <cell r="U1181" t="str">
            <v>Sara Johnson</v>
          </cell>
          <cell r="V1181">
            <v>45932</v>
          </cell>
          <cell r="W1181">
            <v>45991</v>
          </cell>
          <cell r="Y1181">
            <v>45922</v>
          </cell>
          <cell r="AC1181">
            <v>45991</v>
          </cell>
        </row>
        <row r="1182">
          <cell r="I1182" t="str">
            <v>EDI</v>
          </cell>
          <cell r="L1182">
            <v>4167</v>
          </cell>
          <cell r="N1182" t="str">
            <v>Production</v>
          </cell>
          <cell r="O1182" t="str">
            <v>No</v>
          </cell>
          <cell r="Q1182" t="str">
            <v>Live</v>
          </cell>
          <cell r="R1182">
            <v>45919.550439814811</v>
          </cell>
          <cell r="S1182" t="str">
            <v>Josephine Ossama</v>
          </cell>
          <cell r="T1182">
            <v>45944</v>
          </cell>
          <cell r="U1182" t="str">
            <v>Trish Kalinczok</v>
          </cell>
          <cell r="V1182">
            <v>45949</v>
          </cell>
          <cell r="W1182">
            <v>46013</v>
          </cell>
          <cell r="Y1182">
            <v>45944</v>
          </cell>
          <cell r="AC1182">
            <v>46008</v>
          </cell>
        </row>
        <row r="1183">
          <cell r="I1183" t="str">
            <v>EDI</v>
          </cell>
          <cell r="L1183">
            <v>4135</v>
          </cell>
          <cell r="N1183" t="str">
            <v>Production</v>
          </cell>
          <cell r="O1183" t="str">
            <v>No</v>
          </cell>
          <cell r="Q1183" t="str">
            <v>Cancelled</v>
          </cell>
          <cell r="R1183">
            <v>45918.953113425923</v>
          </cell>
          <cell r="S1183" t="str">
            <v>Mirna Azmy</v>
          </cell>
          <cell r="T1183">
            <v>45925</v>
          </cell>
          <cell r="U1183" t="str">
            <v>Matt Howell</v>
          </cell>
          <cell r="V1183">
            <v>45957</v>
          </cell>
          <cell r="W1183">
            <v>45994</v>
          </cell>
          <cell r="Y1183">
            <v>45924</v>
          </cell>
          <cell r="AC1183">
            <v>45994</v>
          </cell>
        </row>
        <row r="1184">
          <cell r="I1184" t="str">
            <v>EDI</v>
          </cell>
          <cell r="L1184">
            <v>4137</v>
          </cell>
          <cell r="N1184" t="str">
            <v>Production</v>
          </cell>
          <cell r="O1184" t="str">
            <v>No</v>
          </cell>
          <cell r="Q1184" t="str">
            <v>Live</v>
          </cell>
          <cell r="R1184">
            <v>45918.758657407408</v>
          </cell>
          <cell r="S1184" t="str">
            <v>Alaa Yehia</v>
          </cell>
          <cell r="T1184">
            <v>45925</v>
          </cell>
          <cell r="U1184" t="str">
            <v>Joel Costanzo</v>
          </cell>
          <cell r="V1184">
            <v>45932</v>
          </cell>
          <cell r="W1184">
            <v>46027</v>
          </cell>
          <cell r="Y1184">
            <v>45924</v>
          </cell>
          <cell r="AC1184">
            <v>46027</v>
          </cell>
        </row>
        <row r="1185">
          <cell r="I1185" t="str">
            <v>EDI</v>
          </cell>
          <cell r="N1185" t="str">
            <v>Requirements Gathering</v>
          </cell>
          <cell r="O1185" t="str">
            <v>No</v>
          </cell>
          <cell r="Q1185" t="str">
            <v>Cancelled</v>
          </cell>
          <cell r="R1185">
            <v>45918.637997685182</v>
          </cell>
          <cell r="S1185" t="str">
            <v>Sandra Adel</v>
          </cell>
          <cell r="T1185">
            <v>45921</v>
          </cell>
          <cell r="U1185" t="str">
            <v>Rhettsmey Meak</v>
          </cell>
        </row>
        <row r="1186">
          <cell r="I1186" t="str">
            <v>EDI</v>
          </cell>
          <cell r="L1186">
            <v>4151</v>
          </cell>
          <cell r="N1186" t="str">
            <v>Production</v>
          </cell>
          <cell r="O1186" t="str">
            <v>No</v>
          </cell>
          <cell r="Q1186" t="str">
            <v>Cancelled</v>
          </cell>
          <cell r="R1186">
            <v>45918.636307870373</v>
          </cell>
          <cell r="S1186" t="str">
            <v>Mark Albert</v>
          </cell>
          <cell r="T1186">
            <v>45932</v>
          </cell>
          <cell r="U1186" t="str">
            <v>Rhettsmey Meak</v>
          </cell>
          <cell r="V1186">
            <v>45987</v>
          </cell>
          <cell r="W1186">
            <v>45995</v>
          </cell>
          <cell r="Y1186">
            <v>45932</v>
          </cell>
          <cell r="AC1186">
            <v>45993</v>
          </cell>
        </row>
        <row r="1187">
          <cell r="I1187" t="str">
            <v>EDI</v>
          </cell>
          <cell r="L1187">
            <v>4236</v>
          </cell>
          <cell r="N1187" t="str">
            <v>Production</v>
          </cell>
          <cell r="O1187" t="str">
            <v>No</v>
          </cell>
          <cell r="Q1187" t="str">
            <v>Live</v>
          </cell>
          <cell r="R1187">
            <v>45918.634560185194</v>
          </cell>
          <cell r="S1187" t="str">
            <v>Karim Tarek</v>
          </cell>
          <cell r="T1187">
            <v>46034</v>
          </cell>
          <cell r="U1187" t="str">
            <v>Rhettsmey Meak</v>
          </cell>
          <cell r="V1187">
            <v>46021</v>
          </cell>
          <cell r="W1187">
            <v>46048</v>
          </cell>
          <cell r="Y1187">
            <v>45974</v>
          </cell>
          <cell r="AC1187">
            <v>46042</v>
          </cell>
        </row>
        <row r="1188">
          <cell r="I1188" t="str">
            <v>EDI</v>
          </cell>
          <cell r="L1188">
            <v>4252</v>
          </cell>
          <cell r="N1188" t="str">
            <v>Testing</v>
          </cell>
          <cell r="O1188" t="str">
            <v>No</v>
          </cell>
          <cell r="Q1188" t="str">
            <v>Cancelled</v>
          </cell>
          <cell r="R1188">
            <v>45918.624386574083</v>
          </cell>
          <cell r="S1188" t="str">
            <v>Reem Radwan</v>
          </cell>
          <cell r="T1188">
            <v>45988</v>
          </cell>
          <cell r="U1188" t="str">
            <v>Carolina Tanoue</v>
          </cell>
          <cell r="V1188">
            <v>46034</v>
          </cell>
          <cell r="Y1188">
            <v>45987</v>
          </cell>
        </row>
        <row r="1189">
          <cell r="I1189" t="str">
            <v>EDI</v>
          </cell>
          <cell r="L1189">
            <v>4264</v>
          </cell>
          <cell r="N1189" t="str">
            <v>Testing</v>
          </cell>
          <cell r="O1189" t="str">
            <v>No</v>
          </cell>
          <cell r="Q1189" t="str">
            <v>Cancelled</v>
          </cell>
          <cell r="R1189">
            <v>45918.624351851853</v>
          </cell>
          <cell r="S1189" t="str">
            <v>Josephine Ossama</v>
          </cell>
          <cell r="T1189">
            <v>45995</v>
          </cell>
          <cell r="U1189" t="str">
            <v>Carolina Tanoue</v>
          </cell>
          <cell r="V1189">
            <v>46076</v>
          </cell>
          <cell r="Y1189">
            <v>45994</v>
          </cell>
        </row>
        <row r="1190">
          <cell r="I1190" t="str">
            <v>EDI</v>
          </cell>
          <cell r="L1190">
            <v>4124</v>
          </cell>
          <cell r="N1190" t="str">
            <v>Production</v>
          </cell>
          <cell r="O1190" t="str">
            <v>No</v>
          </cell>
          <cell r="Q1190" t="str">
            <v>Live</v>
          </cell>
          <cell r="R1190">
            <v>45917.79954861111</v>
          </cell>
          <cell r="S1190" t="str">
            <v>Josephine Ossama</v>
          </cell>
          <cell r="T1190">
            <v>45924</v>
          </cell>
          <cell r="U1190" t="str">
            <v>Trish Kalinczok</v>
          </cell>
          <cell r="V1190">
            <v>45932</v>
          </cell>
          <cell r="W1190">
            <v>25569</v>
          </cell>
          <cell r="Y1190">
            <v>45922</v>
          </cell>
          <cell r="AC1190">
            <v>46015</v>
          </cell>
        </row>
        <row r="1191">
          <cell r="I1191" t="str">
            <v>EDI</v>
          </cell>
          <cell r="L1191">
            <v>4142</v>
          </cell>
          <cell r="N1191" t="str">
            <v>Production</v>
          </cell>
          <cell r="O1191" t="str">
            <v>No</v>
          </cell>
          <cell r="Q1191" t="str">
            <v>Live</v>
          </cell>
          <cell r="R1191">
            <v>45917.540451388893</v>
          </cell>
          <cell r="S1191" t="str">
            <v>Alaa Yehia</v>
          </cell>
          <cell r="T1191">
            <v>45928</v>
          </cell>
          <cell r="U1191" t="str">
            <v>Rhettsmey Meak</v>
          </cell>
          <cell r="V1191">
            <v>45933</v>
          </cell>
          <cell r="W1191">
            <v>45960</v>
          </cell>
          <cell r="Y1191">
            <v>45925</v>
          </cell>
          <cell r="AC1191">
            <v>45949</v>
          </cell>
        </row>
        <row r="1192">
          <cell r="I1192" t="str">
            <v>EDI</v>
          </cell>
          <cell r="N1192" t="str">
            <v>Requirements Gathering</v>
          </cell>
          <cell r="O1192" t="str">
            <v>No</v>
          </cell>
          <cell r="Q1192" t="str">
            <v>Cancelled</v>
          </cell>
          <cell r="R1192">
            <v>45916.723449074067</v>
          </cell>
          <cell r="S1192" t="str">
            <v>Lourina Edmon</v>
          </cell>
          <cell r="T1192">
            <v>45916</v>
          </cell>
          <cell r="U1192" t="str">
            <v>Peter Abdelmalek</v>
          </cell>
        </row>
        <row r="1193">
          <cell r="I1193" t="str">
            <v>EDI</v>
          </cell>
          <cell r="L1193">
            <v>4133</v>
          </cell>
          <cell r="N1193" t="str">
            <v>Mapping</v>
          </cell>
          <cell r="O1193" t="str">
            <v>No</v>
          </cell>
          <cell r="Q1193" t="str">
            <v>Cancelled</v>
          </cell>
          <cell r="R1193">
            <v>45916.723437499997</v>
          </cell>
          <cell r="S1193" t="str">
            <v>Andrew Ramy</v>
          </cell>
          <cell r="T1193">
            <v>45925</v>
          </cell>
          <cell r="U1193" t="str">
            <v>Peter Abdelmalek</v>
          </cell>
          <cell r="Y1193">
            <v>45924</v>
          </cell>
        </row>
        <row r="1194">
          <cell r="I1194" t="str">
            <v>EDI</v>
          </cell>
          <cell r="L1194">
            <v>3494</v>
          </cell>
          <cell r="N1194" t="str">
            <v>Production</v>
          </cell>
          <cell r="O1194" t="str">
            <v>No</v>
          </cell>
          <cell r="Q1194" t="str">
            <v>Live</v>
          </cell>
          <cell r="R1194">
            <v>45916.624236111107</v>
          </cell>
          <cell r="S1194" t="str">
            <v>Dina Medhat</v>
          </cell>
          <cell r="T1194">
            <v>45916</v>
          </cell>
          <cell r="U1194" t="str">
            <v>Hans De Grouw</v>
          </cell>
          <cell r="V1194">
            <v>45732</v>
          </cell>
          <cell r="W1194">
            <v>45799</v>
          </cell>
          <cell r="AC1194">
            <v>45922</v>
          </cell>
        </row>
        <row r="1195">
          <cell r="I1195" t="str">
            <v>EDI</v>
          </cell>
          <cell r="L1195">
            <v>3749</v>
          </cell>
          <cell r="N1195" t="str">
            <v>Production</v>
          </cell>
          <cell r="O1195" t="str">
            <v>No</v>
          </cell>
          <cell r="Q1195" t="str">
            <v>Cancelled</v>
          </cell>
          <cell r="R1195">
            <v>45916.624224537038</v>
          </cell>
          <cell r="S1195" t="str">
            <v>Dina Medhat</v>
          </cell>
          <cell r="T1195">
            <v>45916</v>
          </cell>
          <cell r="U1195" t="str">
            <v>Hans De Grouw</v>
          </cell>
          <cell r="V1195">
            <v>45743</v>
          </cell>
          <cell r="W1195">
            <v>45953</v>
          </cell>
          <cell r="AC1195">
            <v>45949</v>
          </cell>
        </row>
        <row r="1196">
          <cell r="I1196" t="str">
            <v>EDI</v>
          </cell>
          <cell r="L1196">
            <v>3535</v>
          </cell>
          <cell r="N1196" t="str">
            <v>Production</v>
          </cell>
          <cell r="O1196" t="str">
            <v>No</v>
          </cell>
          <cell r="Q1196" t="str">
            <v>Cancelled</v>
          </cell>
          <cell r="R1196">
            <v>45916.624224537038</v>
          </cell>
          <cell r="S1196" t="str">
            <v>Dina Medhat</v>
          </cell>
          <cell r="T1196">
            <v>45916</v>
          </cell>
          <cell r="U1196" t="str">
            <v>Hans De Grouw</v>
          </cell>
          <cell r="V1196">
            <v>45692</v>
          </cell>
          <cell r="W1196">
            <v>45834</v>
          </cell>
          <cell r="AC1196">
            <v>45919</v>
          </cell>
        </row>
        <row r="1197">
          <cell r="I1197" t="str">
            <v>EDI</v>
          </cell>
          <cell r="L1197">
            <v>3509</v>
          </cell>
          <cell r="N1197" t="str">
            <v>Production</v>
          </cell>
          <cell r="O1197" t="str">
            <v>No</v>
          </cell>
          <cell r="Q1197" t="str">
            <v>Live</v>
          </cell>
          <cell r="R1197">
            <v>45916.624224537038</v>
          </cell>
          <cell r="S1197" t="str">
            <v>Dina Medhat</v>
          </cell>
          <cell r="T1197">
            <v>45916</v>
          </cell>
          <cell r="U1197" t="str">
            <v>Hans De Grouw</v>
          </cell>
          <cell r="V1197">
            <v>45747</v>
          </cell>
          <cell r="W1197">
            <v>45841</v>
          </cell>
          <cell r="AC1197">
            <v>45922</v>
          </cell>
        </row>
        <row r="1198">
          <cell r="I1198" t="str">
            <v>EDI</v>
          </cell>
          <cell r="L1198">
            <v>3703</v>
          </cell>
          <cell r="N1198" t="str">
            <v>Production</v>
          </cell>
          <cell r="O1198" t="str">
            <v>No</v>
          </cell>
          <cell r="Q1198" t="str">
            <v>Cancelled</v>
          </cell>
          <cell r="R1198">
            <v>45916.624224537038</v>
          </cell>
          <cell r="S1198" t="str">
            <v>Dina Medhat</v>
          </cell>
          <cell r="T1198">
            <v>45916</v>
          </cell>
          <cell r="U1198" t="str">
            <v>Hans De Grouw</v>
          </cell>
          <cell r="V1198">
            <v>45722</v>
          </cell>
          <cell r="W1198">
            <v>45736</v>
          </cell>
          <cell r="AC1198">
            <v>45919</v>
          </cell>
        </row>
        <row r="1199">
          <cell r="I1199" t="str">
            <v>EDI</v>
          </cell>
          <cell r="L1199">
            <v>3842</v>
          </cell>
          <cell r="N1199" t="str">
            <v>Production</v>
          </cell>
          <cell r="O1199" t="str">
            <v>No</v>
          </cell>
          <cell r="Q1199" t="str">
            <v>Live</v>
          </cell>
          <cell r="R1199">
            <v>45916.624212962961</v>
          </cell>
          <cell r="S1199" t="str">
            <v>Dina Medhat</v>
          </cell>
          <cell r="T1199">
            <v>45916</v>
          </cell>
          <cell r="U1199" t="str">
            <v>Hans De Grouw</v>
          </cell>
          <cell r="V1199">
            <v>45888</v>
          </cell>
          <cell r="W1199">
            <v>46002</v>
          </cell>
          <cell r="AC1199">
            <v>46002</v>
          </cell>
        </row>
        <row r="1200">
          <cell r="I1200" t="str">
            <v>EDI</v>
          </cell>
          <cell r="L1200">
            <v>4134</v>
          </cell>
          <cell r="N1200" t="str">
            <v>Production</v>
          </cell>
          <cell r="O1200" t="str">
            <v>No</v>
          </cell>
          <cell r="Q1200" t="str">
            <v>Live</v>
          </cell>
          <cell r="R1200">
            <v>45916.554965277777</v>
          </cell>
          <cell r="S1200" t="str">
            <v>Mark Albert</v>
          </cell>
          <cell r="T1200">
            <v>46014</v>
          </cell>
          <cell r="U1200" t="str">
            <v>Rhettsmey Meak</v>
          </cell>
          <cell r="V1200">
            <v>25569</v>
          </cell>
          <cell r="W1200">
            <v>46024</v>
          </cell>
          <cell r="Y1200">
            <v>45925</v>
          </cell>
          <cell r="AC1200">
            <v>46026</v>
          </cell>
        </row>
        <row r="1201">
          <cell r="I1201" t="str">
            <v>EDI</v>
          </cell>
          <cell r="L1201">
            <v>4130</v>
          </cell>
          <cell r="N1201" t="str">
            <v>Production</v>
          </cell>
          <cell r="O1201" t="str">
            <v>No</v>
          </cell>
          <cell r="Q1201" t="str">
            <v>Live</v>
          </cell>
          <cell r="R1201">
            <v>45915.803472222222</v>
          </cell>
          <cell r="S1201" t="str">
            <v>Mark Albert</v>
          </cell>
          <cell r="T1201">
            <v>45925</v>
          </cell>
          <cell r="U1201" t="str">
            <v>Peter Abdelmalek</v>
          </cell>
          <cell r="V1201">
            <v>45932</v>
          </cell>
          <cell r="W1201">
            <v>45951</v>
          </cell>
          <cell r="Y1201">
            <v>45925</v>
          </cell>
          <cell r="AC1201">
            <v>45946</v>
          </cell>
        </row>
        <row r="1202">
          <cell r="I1202" t="str">
            <v>EDI</v>
          </cell>
          <cell r="L1202">
            <v>4128</v>
          </cell>
          <cell r="N1202" t="str">
            <v>Production</v>
          </cell>
          <cell r="O1202" t="str">
            <v>No</v>
          </cell>
          <cell r="Q1202" t="str">
            <v>Live</v>
          </cell>
          <cell r="R1202">
            <v>45915.803460648152</v>
          </cell>
          <cell r="S1202" t="str">
            <v>Noha Moustafa</v>
          </cell>
          <cell r="T1202">
            <v>45925</v>
          </cell>
          <cell r="U1202" t="str">
            <v>Peter Abdelmalek</v>
          </cell>
          <cell r="V1202">
            <v>25569</v>
          </cell>
          <cell r="W1202">
            <v>45965</v>
          </cell>
          <cell r="Y1202">
            <v>45924</v>
          </cell>
          <cell r="AC1202">
            <v>45964</v>
          </cell>
        </row>
        <row r="1203">
          <cell r="I1203" t="str">
            <v>EDI</v>
          </cell>
          <cell r="L1203">
            <v>4141</v>
          </cell>
          <cell r="N1203" t="str">
            <v>Production</v>
          </cell>
          <cell r="O1203" t="str">
            <v>No</v>
          </cell>
          <cell r="Q1203" t="str">
            <v>Live</v>
          </cell>
          <cell r="R1203">
            <v>45912.831192129634</v>
          </cell>
          <cell r="S1203" t="str">
            <v>Mina Kamil</v>
          </cell>
          <cell r="T1203">
            <v>45928</v>
          </cell>
          <cell r="U1203" t="str">
            <v>Peter Abdelmalek</v>
          </cell>
          <cell r="V1203">
            <v>46015</v>
          </cell>
          <cell r="W1203">
            <v>45964</v>
          </cell>
          <cell r="Y1203">
            <v>45925</v>
          </cell>
          <cell r="AC1203">
            <v>45963</v>
          </cell>
        </row>
        <row r="1204">
          <cell r="I1204" t="str">
            <v>EDI</v>
          </cell>
          <cell r="L1204">
            <v>4116</v>
          </cell>
          <cell r="N1204" t="str">
            <v>Production</v>
          </cell>
          <cell r="O1204" t="str">
            <v>No</v>
          </cell>
          <cell r="Q1204" t="str">
            <v>Live</v>
          </cell>
          <cell r="R1204">
            <v>45912.820891203701</v>
          </cell>
          <cell r="S1204" t="str">
            <v>Ahmed Ali</v>
          </cell>
          <cell r="T1204">
            <v>45917</v>
          </cell>
          <cell r="U1204" t="str">
            <v>Tammy Davies</v>
          </cell>
          <cell r="V1204">
            <v>45995</v>
          </cell>
          <cell r="W1204">
            <v>46013</v>
          </cell>
          <cell r="Y1204">
            <v>45916</v>
          </cell>
          <cell r="AC1204">
            <v>46012</v>
          </cell>
        </row>
        <row r="1205">
          <cell r="I1205" t="str">
            <v>EDI</v>
          </cell>
          <cell r="L1205">
            <v>4153</v>
          </cell>
          <cell r="N1205" t="str">
            <v>Production</v>
          </cell>
          <cell r="O1205" t="str">
            <v>No</v>
          </cell>
          <cell r="Q1205" t="str">
            <v>Live</v>
          </cell>
          <cell r="R1205">
            <v>45912.79</v>
          </cell>
          <cell r="S1205" t="str">
            <v>Josephine Ossama</v>
          </cell>
          <cell r="T1205">
            <v>45932</v>
          </cell>
          <cell r="U1205" t="str">
            <v>Peter Abdelmalek</v>
          </cell>
          <cell r="V1205">
            <v>45972</v>
          </cell>
          <cell r="W1205">
            <v>46003</v>
          </cell>
          <cell r="Y1205">
            <v>45931</v>
          </cell>
          <cell r="AC1205">
            <v>45992</v>
          </cell>
        </row>
        <row r="1206">
          <cell r="I1206" t="str">
            <v>EDI</v>
          </cell>
          <cell r="L1206">
            <v>4121</v>
          </cell>
          <cell r="N1206" t="str">
            <v>Production</v>
          </cell>
          <cell r="O1206" t="str">
            <v>No</v>
          </cell>
          <cell r="Q1206" t="str">
            <v>Live</v>
          </cell>
          <cell r="R1206">
            <v>45912.744502314818</v>
          </cell>
          <cell r="S1206" t="str">
            <v>Mina Kamil</v>
          </cell>
          <cell r="T1206">
            <v>45921</v>
          </cell>
          <cell r="U1206" t="str">
            <v>Peter Abdelmalek</v>
          </cell>
          <cell r="W1206">
            <v>45958</v>
          </cell>
          <cell r="Y1206">
            <v>45921</v>
          </cell>
          <cell r="AC1206">
            <v>45956</v>
          </cell>
        </row>
        <row r="1207">
          <cell r="I1207" t="str">
            <v>EDI</v>
          </cell>
          <cell r="L1207">
            <v>4131</v>
          </cell>
          <cell r="N1207" t="str">
            <v>Production</v>
          </cell>
          <cell r="O1207" t="str">
            <v>No</v>
          </cell>
          <cell r="Q1207" t="str">
            <v>Live</v>
          </cell>
          <cell r="R1207">
            <v>45911.770729166667</v>
          </cell>
          <cell r="S1207" t="str">
            <v>Alaa Yehia</v>
          </cell>
          <cell r="T1207">
            <v>45925</v>
          </cell>
          <cell r="U1207" t="str">
            <v>Lexy Hudson</v>
          </cell>
          <cell r="V1207">
            <v>45973</v>
          </cell>
          <cell r="W1207">
            <v>45996</v>
          </cell>
          <cell r="Y1207">
            <v>45924</v>
          </cell>
          <cell r="AC1207">
            <v>45995</v>
          </cell>
        </row>
        <row r="1208">
          <cell r="I1208" t="str">
            <v>EDI</v>
          </cell>
          <cell r="L1208">
            <v>4123</v>
          </cell>
          <cell r="N1208" t="str">
            <v>Production</v>
          </cell>
          <cell r="O1208" t="str">
            <v>No</v>
          </cell>
          <cell r="Q1208" t="str">
            <v>Live</v>
          </cell>
          <cell r="R1208">
            <v>45911.763553240737</v>
          </cell>
          <cell r="S1208" t="str">
            <v>Nada Ashraf</v>
          </cell>
          <cell r="T1208">
            <v>45923</v>
          </cell>
          <cell r="U1208" t="str">
            <v>Lexy Hudson</v>
          </cell>
          <cell r="V1208">
            <v>45936</v>
          </cell>
          <cell r="W1208">
            <v>45961</v>
          </cell>
          <cell r="Y1208">
            <v>45922</v>
          </cell>
          <cell r="AC1208">
            <v>45959</v>
          </cell>
        </row>
        <row r="1209">
          <cell r="I1209" t="str">
            <v>EDI</v>
          </cell>
          <cell r="L1209">
            <v>4149</v>
          </cell>
          <cell r="N1209" t="str">
            <v>Production</v>
          </cell>
          <cell r="O1209" t="str">
            <v>No</v>
          </cell>
          <cell r="Q1209" t="str">
            <v>Live</v>
          </cell>
          <cell r="R1209">
            <v>45911.762164351851</v>
          </cell>
          <cell r="S1209" t="str">
            <v>Josephine Ossama</v>
          </cell>
          <cell r="T1209">
            <v>46019</v>
          </cell>
          <cell r="U1209" t="str">
            <v>Lexy Hudson</v>
          </cell>
          <cell r="V1209">
            <v>45946</v>
          </cell>
          <cell r="W1209">
            <v>46139</v>
          </cell>
          <cell r="Y1209">
            <v>45925</v>
          </cell>
          <cell r="AC1209">
            <v>46133</v>
          </cell>
        </row>
        <row r="1210">
          <cell r="I1210" t="str">
            <v>EDI</v>
          </cell>
          <cell r="L1210">
            <v>4117</v>
          </cell>
          <cell r="N1210" t="str">
            <v>Production</v>
          </cell>
          <cell r="O1210" t="str">
            <v>No</v>
          </cell>
          <cell r="Q1210" t="str">
            <v>Live</v>
          </cell>
          <cell r="R1210">
            <v>45910.910729166673</v>
          </cell>
          <cell r="S1210" t="str">
            <v>Ahmed Ali</v>
          </cell>
          <cell r="T1210">
            <v>45918</v>
          </cell>
          <cell r="U1210" t="str">
            <v>Trish Kalinczok</v>
          </cell>
          <cell r="V1210">
            <v>45938</v>
          </cell>
          <cell r="W1210">
            <v>46048</v>
          </cell>
          <cell r="Y1210">
            <v>45917</v>
          </cell>
          <cell r="AC1210">
            <v>46043</v>
          </cell>
        </row>
        <row r="1211">
          <cell r="I1211" t="str">
            <v>EDI</v>
          </cell>
          <cell r="L1211">
            <v>4096</v>
          </cell>
          <cell r="N1211" t="str">
            <v>Production</v>
          </cell>
          <cell r="O1211" t="str">
            <v>No</v>
          </cell>
          <cell r="Q1211" t="str">
            <v>Live</v>
          </cell>
          <cell r="R1211">
            <v>45904.803923611107</v>
          </cell>
          <cell r="S1211" t="str">
            <v>Marwan Tawfik</v>
          </cell>
          <cell r="T1211">
            <v>45909</v>
          </cell>
          <cell r="U1211" t="str">
            <v>Trish Kalinczok</v>
          </cell>
          <cell r="V1211">
            <v>45931</v>
          </cell>
          <cell r="W1211">
            <v>45986</v>
          </cell>
          <cell r="Y1211">
            <v>45908</v>
          </cell>
          <cell r="AC1211">
            <v>45985</v>
          </cell>
        </row>
        <row r="1212">
          <cell r="I1212" t="str">
            <v>EDI</v>
          </cell>
          <cell r="L1212">
            <v>4119</v>
          </cell>
          <cell r="N1212" t="str">
            <v>Production</v>
          </cell>
          <cell r="O1212" t="str">
            <v>No</v>
          </cell>
          <cell r="Q1212" t="str">
            <v>Live</v>
          </cell>
          <cell r="R1212">
            <v>45904.768310185187</v>
          </cell>
          <cell r="S1212" t="str">
            <v>Mirna Azmy</v>
          </cell>
          <cell r="T1212">
            <v>45922</v>
          </cell>
          <cell r="U1212" t="str">
            <v>Trish Kalinczok</v>
          </cell>
          <cell r="V1212">
            <v>45942</v>
          </cell>
          <cell r="W1212">
            <v>45965</v>
          </cell>
          <cell r="Y1212">
            <v>45922</v>
          </cell>
          <cell r="AC1212">
            <v>45960</v>
          </cell>
        </row>
        <row r="1213">
          <cell r="I1213" t="str">
            <v>EDI</v>
          </cell>
          <cell r="L1213">
            <v>4118</v>
          </cell>
          <cell r="N1213" t="str">
            <v>Production</v>
          </cell>
          <cell r="O1213" t="str">
            <v>No</v>
          </cell>
          <cell r="Q1213" t="str">
            <v>Live</v>
          </cell>
          <cell r="R1213">
            <v>45904.725844907407</v>
          </cell>
          <cell r="S1213" t="str">
            <v>Reem Radwan</v>
          </cell>
          <cell r="T1213">
            <v>45918</v>
          </cell>
          <cell r="U1213" t="str">
            <v>Hans De Grouw</v>
          </cell>
          <cell r="V1213">
            <v>45958</v>
          </cell>
          <cell r="W1213">
            <v>46023</v>
          </cell>
          <cell r="Y1213">
            <v>45918</v>
          </cell>
          <cell r="AC1213">
            <v>46022</v>
          </cell>
        </row>
        <row r="1214">
          <cell r="I1214" t="str">
            <v>EDI</v>
          </cell>
          <cell r="L1214">
            <v>4125</v>
          </cell>
          <cell r="N1214" t="str">
            <v>Production</v>
          </cell>
          <cell r="O1214" t="str">
            <v>No</v>
          </cell>
          <cell r="Q1214" t="str">
            <v>Live</v>
          </cell>
          <cell r="R1214">
            <v>45904.71943287037</v>
          </cell>
          <cell r="S1214" t="str">
            <v>Mark Albert</v>
          </cell>
          <cell r="T1214">
            <v>46014</v>
          </cell>
          <cell r="U1214" t="str">
            <v>Lexy Hudson</v>
          </cell>
          <cell r="V1214">
            <v>45930</v>
          </cell>
          <cell r="W1214">
            <v>46034</v>
          </cell>
          <cell r="Y1214">
            <v>45922</v>
          </cell>
          <cell r="AC1214">
            <v>46030</v>
          </cell>
        </row>
        <row r="1215">
          <cell r="I1215" t="str">
            <v>EDI</v>
          </cell>
          <cell r="L1215">
            <v>4156</v>
          </cell>
          <cell r="N1215" t="str">
            <v>Production</v>
          </cell>
          <cell r="O1215" t="str">
            <v>Everything Benefits</v>
          </cell>
          <cell r="P1215" t="str">
            <v>Migration Testing</v>
          </cell>
          <cell r="Q1215" t="str">
            <v>Live</v>
          </cell>
          <cell r="R1215">
            <v>45904.688379629632</v>
          </cell>
          <cell r="S1215" t="str">
            <v>Mina Kamil</v>
          </cell>
          <cell r="T1215">
            <v>45932</v>
          </cell>
          <cell r="U1215" t="str">
            <v>Shelly Knox</v>
          </cell>
          <cell r="W1215">
            <v>46064</v>
          </cell>
          <cell r="Y1215">
            <v>45932</v>
          </cell>
          <cell r="AC1215">
            <v>46048</v>
          </cell>
        </row>
        <row r="1216">
          <cell r="I1216" t="str">
            <v>EDI</v>
          </cell>
          <cell r="L1216">
            <v>4099</v>
          </cell>
          <cell r="N1216" t="str">
            <v>Production</v>
          </cell>
          <cell r="O1216" t="str">
            <v>eBenefits Network</v>
          </cell>
          <cell r="P1216" t="str">
            <v>Production</v>
          </cell>
          <cell r="Q1216" t="str">
            <v>Live</v>
          </cell>
          <cell r="R1216">
            <v>45904.685231481482</v>
          </cell>
          <cell r="S1216" t="str">
            <v>Mina Kamil</v>
          </cell>
          <cell r="T1216">
            <v>45909</v>
          </cell>
          <cell r="U1216" t="str">
            <v>Shelly Knox</v>
          </cell>
          <cell r="W1216">
            <v>45953</v>
          </cell>
          <cell r="Y1216">
            <v>45909</v>
          </cell>
          <cell r="AC1216">
            <v>45953</v>
          </cell>
        </row>
        <row r="1217">
          <cell r="I1217" t="str">
            <v>EDI</v>
          </cell>
          <cell r="L1217">
            <v>4091</v>
          </cell>
          <cell r="N1217" t="str">
            <v>Production</v>
          </cell>
          <cell r="O1217" t="str">
            <v>eBenefits Network</v>
          </cell>
          <cell r="P1217" t="str">
            <v>Production</v>
          </cell>
          <cell r="Q1217" t="str">
            <v>Live</v>
          </cell>
          <cell r="R1217">
            <v>45904.685231481482</v>
          </cell>
          <cell r="S1217" t="str">
            <v>Alaa Yehia</v>
          </cell>
          <cell r="T1217">
            <v>45909</v>
          </cell>
          <cell r="U1217" t="str">
            <v>Shelly Knox</v>
          </cell>
          <cell r="V1217">
            <v>45911</v>
          </cell>
          <cell r="W1217">
            <v>45946</v>
          </cell>
          <cell r="Y1217">
            <v>45909</v>
          </cell>
          <cell r="AC1217">
            <v>45939</v>
          </cell>
        </row>
        <row r="1218">
          <cell r="I1218" t="str">
            <v>EDI</v>
          </cell>
          <cell r="L1218">
            <v>4112</v>
          </cell>
          <cell r="N1218" t="str">
            <v>Production</v>
          </cell>
          <cell r="O1218" t="str">
            <v>No</v>
          </cell>
          <cell r="Q1218" t="str">
            <v>Cancelled</v>
          </cell>
          <cell r="R1218">
            <v>45904.639907407407</v>
          </cell>
          <cell r="S1218" t="str">
            <v>Alaa Yehia</v>
          </cell>
          <cell r="T1218">
            <v>45915</v>
          </cell>
          <cell r="U1218" t="str">
            <v>Hans De Grouw</v>
          </cell>
          <cell r="V1218">
            <v>45921</v>
          </cell>
          <cell r="W1218">
            <v>45938</v>
          </cell>
          <cell r="Y1218">
            <v>45915</v>
          </cell>
          <cell r="AC1218">
            <v>45931</v>
          </cell>
        </row>
        <row r="1219">
          <cell r="I1219" t="str">
            <v>EDI</v>
          </cell>
          <cell r="L1219">
            <v>4161</v>
          </cell>
          <cell r="N1219" t="str">
            <v>Production</v>
          </cell>
          <cell r="O1219" t="str">
            <v>No</v>
          </cell>
          <cell r="Q1219" t="str">
            <v>Live</v>
          </cell>
          <cell r="R1219">
            <v>45904.563391203701</v>
          </cell>
          <cell r="S1219" t="str">
            <v>Ahmed Ali</v>
          </cell>
          <cell r="T1219">
            <v>45937</v>
          </cell>
          <cell r="U1219" t="str">
            <v>Gregory Dubec</v>
          </cell>
          <cell r="V1219">
            <v>46027</v>
          </cell>
          <cell r="W1219">
            <v>46121</v>
          </cell>
          <cell r="Y1219">
            <v>45936</v>
          </cell>
          <cell r="AC1219">
            <v>46121</v>
          </cell>
        </row>
        <row r="1220">
          <cell r="I1220" t="str">
            <v>EDI</v>
          </cell>
          <cell r="L1220">
            <v>4143</v>
          </cell>
          <cell r="N1220" t="str">
            <v>Production</v>
          </cell>
          <cell r="O1220" t="str">
            <v>No</v>
          </cell>
          <cell r="Q1220" t="str">
            <v>Live</v>
          </cell>
          <cell r="R1220">
            <v>45904.563391203701</v>
          </cell>
          <cell r="S1220" t="str">
            <v>Karen Ramy</v>
          </cell>
          <cell r="T1220">
            <v>45925</v>
          </cell>
          <cell r="U1220" t="str">
            <v>Gregory Dubec</v>
          </cell>
          <cell r="V1220">
            <v>45946</v>
          </cell>
          <cell r="W1220">
            <v>46028</v>
          </cell>
          <cell r="Y1220">
            <v>45924</v>
          </cell>
          <cell r="AC1220">
            <v>46017</v>
          </cell>
        </row>
        <row r="1221">
          <cell r="I1221" t="str">
            <v>EDI</v>
          </cell>
          <cell r="L1221">
            <v>4109</v>
          </cell>
          <cell r="N1221" t="str">
            <v>Production</v>
          </cell>
          <cell r="O1221" t="str">
            <v>No</v>
          </cell>
          <cell r="Q1221" t="str">
            <v>Live</v>
          </cell>
          <cell r="R1221">
            <v>45904.563379629632</v>
          </cell>
          <cell r="S1221" t="str">
            <v>Mark Albert</v>
          </cell>
          <cell r="T1221">
            <v>45915</v>
          </cell>
          <cell r="U1221" t="str">
            <v>Gregory Dubec</v>
          </cell>
          <cell r="V1221">
            <v>45946</v>
          </cell>
          <cell r="W1221">
            <v>45995</v>
          </cell>
          <cell r="Y1221">
            <v>45914</v>
          </cell>
          <cell r="AC1221">
            <v>45970</v>
          </cell>
        </row>
        <row r="1222">
          <cell r="I1222" t="str">
            <v>EDI</v>
          </cell>
          <cell r="L1222">
            <v>4104</v>
          </cell>
          <cell r="N1222" t="str">
            <v>Production</v>
          </cell>
          <cell r="O1222" t="str">
            <v>Everything Benefits</v>
          </cell>
          <cell r="P1222" t="str">
            <v>Production</v>
          </cell>
          <cell r="Q1222" t="str">
            <v>Cancelled</v>
          </cell>
          <cell r="R1222">
            <v>45903.668090277781</v>
          </cell>
          <cell r="S1222" t="str">
            <v>Alaa Yehia</v>
          </cell>
          <cell r="T1222">
            <v>45911</v>
          </cell>
          <cell r="U1222" t="str">
            <v>Joel Costanzo</v>
          </cell>
          <cell r="V1222">
            <v>45915</v>
          </cell>
          <cell r="W1222">
            <v>45943</v>
          </cell>
          <cell r="Y1222">
            <v>45910</v>
          </cell>
          <cell r="AC1222">
            <v>45937</v>
          </cell>
        </row>
        <row r="1223">
          <cell r="I1223" t="str">
            <v>EDI</v>
          </cell>
          <cell r="L1223">
            <v>4127</v>
          </cell>
          <cell r="N1223" t="str">
            <v>Production</v>
          </cell>
          <cell r="O1223" t="str">
            <v>No</v>
          </cell>
          <cell r="Q1223" t="str">
            <v>Cancelled</v>
          </cell>
          <cell r="R1223">
            <v>45903.635046296287</v>
          </cell>
          <cell r="S1223" t="str">
            <v>Josephine Ossama</v>
          </cell>
          <cell r="T1223">
            <v>45925</v>
          </cell>
          <cell r="U1223" t="str">
            <v>Joel Costanzo</v>
          </cell>
          <cell r="V1223">
            <v>45943</v>
          </cell>
          <cell r="W1223">
            <v>45950</v>
          </cell>
          <cell r="Y1223">
            <v>45924</v>
          </cell>
          <cell r="AC1223">
            <v>45944</v>
          </cell>
        </row>
        <row r="1224">
          <cell r="I1224" t="str">
            <v>EDI</v>
          </cell>
          <cell r="L1224">
            <v>4110</v>
          </cell>
          <cell r="N1224" t="str">
            <v>Production</v>
          </cell>
          <cell r="O1224" t="str">
            <v>No</v>
          </cell>
          <cell r="Q1224" t="str">
            <v>Live</v>
          </cell>
          <cell r="R1224">
            <v>45903.511562500003</v>
          </cell>
          <cell r="S1224" t="str">
            <v>Karen Ramy</v>
          </cell>
          <cell r="T1224">
            <v>45915</v>
          </cell>
          <cell r="U1224" t="str">
            <v>Rhettsmey Meak</v>
          </cell>
          <cell r="V1224">
            <v>45930</v>
          </cell>
          <cell r="W1224">
            <v>45982</v>
          </cell>
          <cell r="Y1224">
            <v>45915</v>
          </cell>
          <cell r="AC1224">
            <v>45981</v>
          </cell>
        </row>
        <row r="1225">
          <cell r="I1225" t="str">
            <v>EDI</v>
          </cell>
          <cell r="L1225">
            <v>4097</v>
          </cell>
          <cell r="N1225" t="str">
            <v>Mapping</v>
          </cell>
          <cell r="O1225" t="str">
            <v>No</v>
          </cell>
          <cell r="Q1225" t="str">
            <v>Cancelled</v>
          </cell>
          <cell r="R1225">
            <v>45902.757708333331</v>
          </cell>
          <cell r="S1225" t="str">
            <v>Aya Fathy</v>
          </cell>
          <cell r="T1225">
            <v>45909</v>
          </cell>
          <cell r="U1225" t="str">
            <v>Patrick Dillon</v>
          </cell>
          <cell r="Y1225">
            <v>45908</v>
          </cell>
        </row>
        <row r="1226">
          <cell r="I1226" t="str">
            <v>EDI</v>
          </cell>
          <cell r="L1226">
            <v>4120</v>
          </cell>
          <cell r="N1226" t="str">
            <v>Testing</v>
          </cell>
          <cell r="O1226" t="str">
            <v>No</v>
          </cell>
          <cell r="Q1226" t="str">
            <v>Cancelled</v>
          </cell>
          <cell r="R1226">
            <v>45902.735949074071</v>
          </cell>
          <cell r="S1226" t="str">
            <v>Andrew Ramy</v>
          </cell>
          <cell r="T1226">
            <v>45918</v>
          </cell>
          <cell r="U1226" t="str">
            <v>Patrick Dillon</v>
          </cell>
          <cell r="V1226">
            <v>45945</v>
          </cell>
          <cell r="Y1226">
            <v>45917</v>
          </cell>
        </row>
        <row r="1227">
          <cell r="I1227" t="str">
            <v>EDI</v>
          </cell>
          <cell r="L1227">
            <v>4101</v>
          </cell>
          <cell r="N1227" t="str">
            <v>Production</v>
          </cell>
          <cell r="O1227" t="str">
            <v>No</v>
          </cell>
          <cell r="Q1227" t="str">
            <v>Live</v>
          </cell>
          <cell r="R1227">
            <v>45902.703460648147</v>
          </cell>
          <cell r="S1227" t="str">
            <v>Mina Kamil</v>
          </cell>
          <cell r="T1227">
            <v>45911</v>
          </cell>
          <cell r="U1227" t="str">
            <v>Peter Abdelmalek</v>
          </cell>
          <cell r="W1227">
            <v>45943</v>
          </cell>
          <cell r="Y1227">
            <v>45910</v>
          </cell>
          <cell r="AC1227">
            <v>45943</v>
          </cell>
        </row>
        <row r="1228">
          <cell r="I1228" t="str">
            <v>EDI</v>
          </cell>
          <cell r="L1228">
            <v>4107</v>
          </cell>
          <cell r="N1228" t="str">
            <v>Production</v>
          </cell>
          <cell r="O1228" t="str">
            <v>No</v>
          </cell>
          <cell r="Q1228" t="str">
            <v>Live</v>
          </cell>
          <cell r="R1228">
            <v>45902.671932870369</v>
          </cell>
          <cell r="S1228" t="str">
            <v>Omnia Abdelaziz</v>
          </cell>
          <cell r="T1228">
            <v>45915</v>
          </cell>
          <cell r="U1228" t="str">
            <v>Trish Kalinczok</v>
          </cell>
          <cell r="V1228">
            <v>45923</v>
          </cell>
          <cell r="W1228">
            <v>45943</v>
          </cell>
          <cell r="Y1228">
            <v>45915</v>
          </cell>
          <cell r="AC1228">
            <v>45937</v>
          </cell>
        </row>
        <row r="1229">
          <cell r="I1229" t="str">
            <v>EDI</v>
          </cell>
          <cell r="L1229">
            <v>4093</v>
          </cell>
          <cell r="N1229" t="str">
            <v>Production</v>
          </cell>
          <cell r="O1229" t="str">
            <v>No</v>
          </cell>
          <cell r="Q1229" t="str">
            <v>Live</v>
          </cell>
          <cell r="R1229">
            <v>45902.585844907408</v>
          </cell>
          <cell r="S1229" t="str">
            <v>Mark Albert</v>
          </cell>
          <cell r="T1229">
            <v>45909</v>
          </cell>
          <cell r="U1229" t="str">
            <v>Rhettsmey Meak</v>
          </cell>
          <cell r="V1229">
            <v>45917</v>
          </cell>
          <cell r="W1229">
            <v>45928</v>
          </cell>
          <cell r="Y1229">
            <v>45908</v>
          </cell>
          <cell r="AC1229">
            <v>45925</v>
          </cell>
        </row>
        <row r="1230">
          <cell r="I1230" t="str">
            <v>EDI</v>
          </cell>
          <cell r="L1230">
            <v>4108</v>
          </cell>
          <cell r="N1230" t="str">
            <v>Production</v>
          </cell>
          <cell r="O1230" t="str">
            <v>No</v>
          </cell>
          <cell r="Q1230" t="str">
            <v>Live</v>
          </cell>
          <cell r="R1230">
            <v>45902.538414351853</v>
          </cell>
          <cell r="S1230" t="str">
            <v>Mirna Azmy</v>
          </cell>
          <cell r="T1230">
            <v>45915</v>
          </cell>
          <cell r="U1230" t="str">
            <v>Rhettsmey Meak</v>
          </cell>
          <cell r="V1230">
            <v>25569</v>
          </cell>
          <cell r="W1230">
            <v>45954</v>
          </cell>
          <cell r="Y1230">
            <v>45914</v>
          </cell>
          <cell r="AC1230">
            <v>45952</v>
          </cell>
        </row>
        <row r="1231">
          <cell r="I1231" t="str">
            <v>EDI</v>
          </cell>
          <cell r="L1231">
            <v>4891</v>
          </cell>
          <cell r="N1231" t="str">
            <v>Testing</v>
          </cell>
          <cell r="O1231" t="str">
            <v>No</v>
          </cell>
          <cell r="Q1231" t="str">
            <v>In Progress</v>
          </cell>
          <cell r="R1231">
            <v>45902.537592592591</v>
          </cell>
          <cell r="S1231" t="str">
            <v>Josephine Ossama</v>
          </cell>
          <cell r="T1231">
            <v>46147</v>
          </cell>
          <cell r="U1231" t="str">
            <v>Rhettsmey Meak</v>
          </cell>
          <cell r="V1231">
            <v>46188</v>
          </cell>
          <cell r="Y1231">
            <v>46147</v>
          </cell>
        </row>
        <row r="1232">
          <cell r="I1232" t="str">
            <v>EDI</v>
          </cell>
          <cell r="L1232">
            <v>4226</v>
          </cell>
          <cell r="N1232" t="str">
            <v>Production</v>
          </cell>
          <cell r="O1232" t="str">
            <v>No</v>
          </cell>
          <cell r="Q1232" t="str">
            <v>Live</v>
          </cell>
          <cell r="R1232">
            <v>45902.536678240736</v>
          </cell>
          <cell r="S1232" t="str">
            <v>Zeyad Khaled</v>
          </cell>
          <cell r="T1232">
            <v>45974</v>
          </cell>
          <cell r="U1232" t="str">
            <v>Rhettsmey Meak</v>
          </cell>
          <cell r="V1232">
            <v>45993</v>
          </cell>
          <cell r="W1232">
            <v>46196</v>
          </cell>
          <cell r="Y1232">
            <v>45973</v>
          </cell>
          <cell r="AC1232">
            <v>46196</v>
          </cell>
        </row>
        <row r="1233">
          <cell r="I1233" t="str">
            <v>EDI</v>
          </cell>
          <cell r="L1233">
            <v>4527</v>
          </cell>
          <cell r="N1233" t="str">
            <v>Production</v>
          </cell>
          <cell r="O1233" t="str">
            <v>No</v>
          </cell>
          <cell r="Q1233" t="str">
            <v>Live</v>
          </cell>
          <cell r="R1233">
            <v>45902.535590277781</v>
          </cell>
          <cell r="S1233" t="str">
            <v>Mirna Azmy</v>
          </cell>
          <cell r="T1233">
            <v>46068</v>
          </cell>
          <cell r="U1233" t="str">
            <v>Rhettsmey Meak</v>
          </cell>
          <cell r="V1233">
            <v>46069</v>
          </cell>
          <cell r="W1233">
            <v>46087</v>
          </cell>
          <cell r="AC1233">
            <v>46085</v>
          </cell>
        </row>
        <row r="1234">
          <cell r="I1234" t="str">
            <v>EDI</v>
          </cell>
          <cell r="L1234">
            <v>4115</v>
          </cell>
          <cell r="N1234" t="str">
            <v>Dataset Validation</v>
          </cell>
          <cell r="O1234" t="str">
            <v>No</v>
          </cell>
          <cell r="Q1234" t="str">
            <v>Cancelled</v>
          </cell>
          <cell r="R1234">
            <v>45898.929513888892</v>
          </cell>
          <cell r="S1234" t="str">
            <v>Peter Abdelmalek</v>
          </cell>
          <cell r="T1234">
            <v>45917</v>
          </cell>
          <cell r="U1234" t="str">
            <v>Peter Abdelmalek</v>
          </cell>
          <cell r="V1234">
            <v>45919</v>
          </cell>
        </row>
        <row r="1235">
          <cell r="I1235" t="str">
            <v>EDI</v>
          </cell>
          <cell r="L1235">
            <v>4087</v>
          </cell>
          <cell r="N1235" t="str">
            <v>Production</v>
          </cell>
          <cell r="O1235" t="str">
            <v>No</v>
          </cell>
          <cell r="Q1235" t="str">
            <v>Live</v>
          </cell>
          <cell r="R1235">
            <v>45898.879236111112</v>
          </cell>
          <cell r="S1235" t="str">
            <v>Dina Medhat</v>
          </cell>
          <cell r="T1235">
            <v>45900</v>
          </cell>
          <cell r="U1235" t="str">
            <v>Trish Kalinczok</v>
          </cell>
          <cell r="V1235">
            <v>25569</v>
          </cell>
          <cell r="W1235">
            <v>45929</v>
          </cell>
          <cell r="AC1235">
            <v>45928</v>
          </cell>
        </row>
        <row r="1236">
          <cell r="I1236" t="str">
            <v>EDI</v>
          </cell>
          <cell r="L1236">
            <v>4087</v>
          </cell>
          <cell r="N1236" t="str">
            <v>Production</v>
          </cell>
          <cell r="O1236" t="str">
            <v>No</v>
          </cell>
          <cell r="Q1236" t="str">
            <v>Live</v>
          </cell>
          <cell r="R1236">
            <v>45898.87604166667</v>
          </cell>
          <cell r="S1236" t="str">
            <v>Mirna Azmy</v>
          </cell>
          <cell r="T1236">
            <v>45908</v>
          </cell>
          <cell r="U1236" t="str">
            <v>Trish Kalinczok</v>
          </cell>
          <cell r="V1236">
            <v>25569</v>
          </cell>
          <cell r="W1236">
            <v>45929</v>
          </cell>
          <cell r="Y1236">
            <v>45906</v>
          </cell>
          <cell r="AC1236">
            <v>45928</v>
          </cell>
        </row>
        <row r="1237">
          <cell r="I1237" t="str">
            <v>EDI</v>
          </cell>
          <cell r="L1237">
            <v>4084</v>
          </cell>
          <cell r="N1237" t="str">
            <v>Production</v>
          </cell>
          <cell r="O1237" t="str">
            <v>No</v>
          </cell>
          <cell r="Q1237" t="str">
            <v>Live</v>
          </cell>
          <cell r="R1237">
            <v>45898.861250000002</v>
          </cell>
          <cell r="S1237" t="str">
            <v>Zeyad Khaled</v>
          </cell>
          <cell r="T1237">
            <v>45901</v>
          </cell>
          <cell r="U1237" t="str">
            <v>Trish Kalinczok</v>
          </cell>
          <cell r="V1237">
            <v>45918</v>
          </cell>
          <cell r="W1237">
            <v>45936</v>
          </cell>
          <cell r="Y1237">
            <v>45900</v>
          </cell>
          <cell r="AC1237">
            <v>45931</v>
          </cell>
        </row>
        <row r="1238">
          <cell r="I1238" t="str">
            <v>EDI</v>
          </cell>
          <cell r="L1238">
            <v>4277</v>
          </cell>
          <cell r="N1238" t="str">
            <v>Testing</v>
          </cell>
          <cell r="O1238" t="str">
            <v>No</v>
          </cell>
          <cell r="Q1238" t="str">
            <v>In Progress</v>
          </cell>
          <cell r="R1238">
            <v>45898.825462962966</v>
          </cell>
          <cell r="S1238" t="str">
            <v>Alaa Yehia</v>
          </cell>
          <cell r="T1238">
            <v>46000</v>
          </cell>
          <cell r="U1238" t="str">
            <v>Gregory Dubec</v>
          </cell>
          <cell r="V1238">
            <v>46056</v>
          </cell>
          <cell r="Y1238">
            <v>45999</v>
          </cell>
        </row>
        <row r="1239">
          <cell r="I1239" t="str">
            <v>EDI</v>
          </cell>
          <cell r="L1239">
            <v>4105</v>
          </cell>
          <cell r="N1239" t="str">
            <v>Production</v>
          </cell>
          <cell r="O1239" t="str">
            <v>No</v>
          </cell>
          <cell r="Q1239" t="str">
            <v>Live</v>
          </cell>
          <cell r="R1239">
            <v>45898.722002314818</v>
          </cell>
          <cell r="S1239" t="str">
            <v>Mirna Azmy</v>
          </cell>
          <cell r="T1239">
            <v>45914</v>
          </cell>
          <cell r="U1239" t="str">
            <v>Peter Abdelmalek</v>
          </cell>
          <cell r="V1239">
            <v>45915</v>
          </cell>
          <cell r="W1239">
            <v>45936</v>
          </cell>
          <cell r="Y1239">
            <v>45911</v>
          </cell>
          <cell r="AC1239">
            <v>45931</v>
          </cell>
        </row>
        <row r="1240">
          <cell r="I1240" t="str">
            <v>EDI</v>
          </cell>
          <cell r="L1240">
            <v>4760</v>
          </cell>
          <cell r="N1240" t="str">
            <v>Production</v>
          </cell>
          <cell r="O1240" t="str">
            <v>No</v>
          </cell>
          <cell r="Q1240" t="str">
            <v>Live</v>
          </cell>
          <cell r="R1240">
            <v>45898.722002314818</v>
          </cell>
          <cell r="S1240" t="str">
            <v>Omnia Abdelaziz</v>
          </cell>
          <cell r="T1240">
            <v>46126</v>
          </cell>
          <cell r="U1240" t="str">
            <v>Peter Abdelmalek</v>
          </cell>
          <cell r="V1240">
            <v>46139</v>
          </cell>
          <cell r="W1240">
            <v>46167</v>
          </cell>
          <cell r="Y1240">
            <v>46122</v>
          </cell>
          <cell r="AC1240">
            <v>46161</v>
          </cell>
        </row>
        <row r="1241">
          <cell r="I1241" t="str">
            <v>EDI</v>
          </cell>
          <cell r="L1241">
            <v>4079</v>
          </cell>
          <cell r="N1241" t="str">
            <v>Production</v>
          </cell>
          <cell r="O1241" t="str">
            <v>No</v>
          </cell>
          <cell r="Q1241" t="str">
            <v>Live</v>
          </cell>
          <cell r="R1241">
            <v>45898.597326388888</v>
          </cell>
          <cell r="S1241" t="str">
            <v>Noha Moustafa</v>
          </cell>
          <cell r="T1241">
            <v>45901</v>
          </cell>
          <cell r="U1241" t="str">
            <v>Trish Kalinczok</v>
          </cell>
          <cell r="V1241">
            <v>45909</v>
          </cell>
          <cell r="W1241">
            <v>46111</v>
          </cell>
          <cell r="Y1241">
            <v>45900</v>
          </cell>
          <cell r="AC1241">
            <v>46105</v>
          </cell>
        </row>
        <row r="1242">
          <cell r="I1242" t="str">
            <v>EDI</v>
          </cell>
          <cell r="L1242">
            <v>4102</v>
          </cell>
          <cell r="N1242" t="str">
            <v>Production</v>
          </cell>
          <cell r="O1242" t="str">
            <v>No</v>
          </cell>
          <cell r="Q1242" t="str">
            <v>Live</v>
          </cell>
          <cell r="R1242">
            <v>45897.757604166669</v>
          </cell>
          <cell r="S1242" t="str">
            <v>Karim Tarek</v>
          </cell>
          <cell r="T1242">
            <v>45911</v>
          </cell>
          <cell r="U1242" t="str">
            <v>Lonnie Celestin</v>
          </cell>
          <cell r="V1242">
            <v>45918</v>
          </cell>
          <cell r="W1242">
            <v>45947</v>
          </cell>
          <cell r="Y1242">
            <v>45910</v>
          </cell>
          <cell r="AC1242">
            <v>45945</v>
          </cell>
        </row>
        <row r="1243">
          <cell r="I1243" t="str">
            <v>EDI</v>
          </cell>
          <cell r="L1243">
            <v>4140</v>
          </cell>
          <cell r="N1243" t="str">
            <v>Production</v>
          </cell>
          <cell r="O1243" t="str">
            <v>No</v>
          </cell>
          <cell r="Q1243" t="str">
            <v>Live</v>
          </cell>
          <cell r="R1243">
            <v>45897.757604166669</v>
          </cell>
          <cell r="S1243" t="str">
            <v>Mina Kamil</v>
          </cell>
          <cell r="T1243">
            <v>45925</v>
          </cell>
          <cell r="U1243" t="str">
            <v>Lonnie Celestin</v>
          </cell>
          <cell r="W1243">
            <v>45954</v>
          </cell>
          <cell r="Y1243">
            <v>45924</v>
          </cell>
          <cell r="AC1243">
            <v>45953</v>
          </cell>
        </row>
        <row r="1244">
          <cell r="I1244" t="str">
            <v>EDI</v>
          </cell>
          <cell r="N1244" t="str">
            <v>Requirements Gathering</v>
          </cell>
          <cell r="O1244" t="str">
            <v>No</v>
          </cell>
          <cell r="Q1244" t="str">
            <v>Cancelled</v>
          </cell>
          <cell r="R1244">
            <v>45897.757604166669</v>
          </cell>
          <cell r="S1244" t="str">
            <v>Sandra Adel</v>
          </cell>
          <cell r="T1244">
            <v>45908</v>
          </cell>
          <cell r="U1244" t="str">
            <v>Lonnie Celestin</v>
          </cell>
        </row>
        <row r="1245">
          <cell r="I1245" t="str">
            <v>EDI</v>
          </cell>
          <cell r="L1245">
            <v>4103</v>
          </cell>
          <cell r="N1245" t="str">
            <v>Production</v>
          </cell>
          <cell r="O1245" t="str">
            <v>No</v>
          </cell>
          <cell r="Q1245" t="str">
            <v>Live</v>
          </cell>
          <cell r="R1245">
            <v>45897.757592592592</v>
          </cell>
          <cell r="S1245" t="str">
            <v>Josephine Ossama</v>
          </cell>
          <cell r="T1245">
            <v>45911</v>
          </cell>
          <cell r="U1245" t="str">
            <v>Lonnie Celestin</v>
          </cell>
          <cell r="V1245">
            <v>45942</v>
          </cell>
          <cell r="W1245">
            <v>45961</v>
          </cell>
          <cell r="Y1245">
            <v>45910</v>
          </cell>
          <cell r="AC1245">
            <v>45959</v>
          </cell>
        </row>
        <row r="1246">
          <cell r="I1246" t="str">
            <v>EDI</v>
          </cell>
          <cell r="L1246">
            <v>4122</v>
          </cell>
          <cell r="N1246" t="str">
            <v>Production</v>
          </cell>
          <cell r="O1246" t="str">
            <v>No</v>
          </cell>
          <cell r="Q1246" t="str">
            <v>Live</v>
          </cell>
          <cell r="R1246">
            <v>45897.757592592592</v>
          </cell>
          <cell r="S1246" t="str">
            <v>Zeyad Khaled</v>
          </cell>
          <cell r="T1246">
            <v>45918</v>
          </cell>
          <cell r="U1246" t="str">
            <v>Lonnie Celestin</v>
          </cell>
          <cell r="V1246">
            <v>45944</v>
          </cell>
          <cell r="W1246">
            <v>46045</v>
          </cell>
          <cell r="Y1246">
            <v>45917</v>
          </cell>
          <cell r="AC1246">
            <v>46042</v>
          </cell>
        </row>
        <row r="1247">
          <cell r="I1247" t="str">
            <v>EDI</v>
          </cell>
          <cell r="L1247">
            <v>4100</v>
          </cell>
          <cell r="N1247" t="str">
            <v>Production</v>
          </cell>
          <cell r="O1247" t="str">
            <v>No</v>
          </cell>
          <cell r="Q1247" t="str">
            <v>Live</v>
          </cell>
          <cell r="R1247">
            <v>45897.737685185188</v>
          </cell>
          <cell r="S1247" t="str">
            <v>Noha Moustafa</v>
          </cell>
          <cell r="T1247">
            <v>45911</v>
          </cell>
          <cell r="U1247" t="str">
            <v>Peter Abdelmalek</v>
          </cell>
          <cell r="V1247">
            <v>45923</v>
          </cell>
          <cell r="W1247">
            <v>45953</v>
          </cell>
          <cell r="Y1247">
            <v>45910</v>
          </cell>
          <cell r="AC1247">
            <v>45952</v>
          </cell>
        </row>
        <row r="1248">
          <cell r="I1248" t="str">
            <v>EDI</v>
          </cell>
          <cell r="L1248">
            <v>4092</v>
          </cell>
          <cell r="N1248" t="str">
            <v>Production</v>
          </cell>
          <cell r="O1248" t="str">
            <v>No</v>
          </cell>
          <cell r="Q1248" t="str">
            <v>Live</v>
          </cell>
          <cell r="R1248">
            <v>45897.737685185188</v>
          </cell>
          <cell r="S1248" t="str">
            <v>Karen Ramy</v>
          </cell>
          <cell r="T1248">
            <v>45909</v>
          </cell>
          <cell r="U1248" t="str">
            <v>Peter Abdelmalek</v>
          </cell>
          <cell r="V1248">
            <v>45924</v>
          </cell>
          <cell r="W1248">
            <v>45939</v>
          </cell>
          <cell r="Y1248">
            <v>45908</v>
          </cell>
          <cell r="AC1248">
            <v>45934</v>
          </cell>
        </row>
        <row r="1249">
          <cell r="I1249" t="str">
            <v>EDI</v>
          </cell>
          <cell r="L1249">
            <v>4098</v>
          </cell>
          <cell r="N1249" t="str">
            <v>Production</v>
          </cell>
          <cell r="O1249" t="str">
            <v>No</v>
          </cell>
          <cell r="Q1249" t="str">
            <v>Live</v>
          </cell>
          <cell r="R1249">
            <v>45896.606898148151</v>
          </cell>
          <cell r="S1249" t="str">
            <v>Andrew Ramy</v>
          </cell>
          <cell r="T1249">
            <v>45909</v>
          </cell>
          <cell r="U1249" t="str">
            <v>Jay Lang</v>
          </cell>
          <cell r="V1249">
            <v>45937</v>
          </cell>
          <cell r="W1249">
            <v>46000</v>
          </cell>
          <cell r="Y1249">
            <v>45909</v>
          </cell>
          <cell r="AC1249">
            <v>45995</v>
          </cell>
        </row>
        <row r="1250">
          <cell r="I1250" t="str">
            <v>EDI</v>
          </cell>
          <cell r="L1250">
            <v>4088</v>
          </cell>
          <cell r="N1250" t="str">
            <v>Production</v>
          </cell>
          <cell r="O1250" t="str">
            <v>No</v>
          </cell>
          <cell r="Q1250" t="str">
            <v>Live</v>
          </cell>
          <cell r="R1250">
            <v>45894.637280092589</v>
          </cell>
          <cell r="S1250" t="str">
            <v>Marwan Tawfik</v>
          </cell>
          <cell r="T1250">
            <v>45908</v>
          </cell>
          <cell r="U1250" t="str">
            <v>Trish Kalinczok</v>
          </cell>
          <cell r="V1250">
            <v>45957</v>
          </cell>
          <cell r="W1250">
            <v>45978</v>
          </cell>
          <cell r="Y1250">
            <v>45906</v>
          </cell>
          <cell r="AC1250">
            <v>45978</v>
          </cell>
        </row>
        <row r="1251">
          <cell r="I1251" t="str">
            <v>EDI</v>
          </cell>
          <cell r="L1251">
            <v>4080</v>
          </cell>
          <cell r="N1251" t="str">
            <v>Production</v>
          </cell>
          <cell r="O1251" t="str">
            <v>No</v>
          </cell>
          <cell r="Q1251" t="str">
            <v>Live</v>
          </cell>
          <cell r="R1251">
            <v>45891.615034722221</v>
          </cell>
          <cell r="S1251" t="str">
            <v>Dina Medhat</v>
          </cell>
          <cell r="T1251">
            <v>45893</v>
          </cell>
          <cell r="U1251" t="str">
            <v>Trish Kalinczok</v>
          </cell>
          <cell r="V1251">
            <v>45908</v>
          </cell>
          <cell r="W1251">
            <v>45971</v>
          </cell>
          <cell r="AC1251">
            <v>45972</v>
          </cell>
        </row>
        <row r="1252">
          <cell r="I1252" t="str">
            <v>EDI</v>
          </cell>
          <cell r="L1252">
            <v>4080</v>
          </cell>
          <cell r="N1252" t="str">
            <v>Production</v>
          </cell>
          <cell r="O1252" t="str">
            <v>No</v>
          </cell>
          <cell r="Q1252" t="str">
            <v>Live</v>
          </cell>
          <cell r="R1252">
            <v>45891.614224537043</v>
          </cell>
          <cell r="S1252" t="str">
            <v>Alaa Yehia</v>
          </cell>
          <cell r="T1252">
            <v>45901</v>
          </cell>
          <cell r="U1252" t="str">
            <v>Trish Kalinczok</v>
          </cell>
          <cell r="V1252">
            <v>45908</v>
          </cell>
          <cell r="W1252">
            <v>45971</v>
          </cell>
          <cell r="Y1252">
            <v>45900</v>
          </cell>
          <cell r="AC1252">
            <v>45965</v>
          </cell>
        </row>
        <row r="1253">
          <cell r="I1253" t="str">
            <v>EDI</v>
          </cell>
          <cell r="L1253">
            <v>4077</v>
          </cell>
          <cell r="N1253" t="str">
            <v>Production</v>
          </cell>
          <cell r="O1253" t="str">
            <v>No</v>
          </cell>
          <cell r="Q1253" t="str">
            <v>Cancelled</v>
          </cell>
          <cell r="R1253">
            <v>45889.721493055556</v>
          </cell>
          <cell r="S1253" t="str">
            <v>Josephine Ossama</v>
          </cell>
          <cell r="T1253">
            <v>45901</v>
          </cell>
          <cell r="U1253" t="str">
            <v>Joel Costanzo</v>
          </cell>
          <cell r="V1253">
            <v>45914</v>
          </cell>
          <cell r="W1253">
            <v>45929</v>
          </cell>
          <cell r="Y1253">
            <v>45900</v>
          </cell>
          <cell r="AC1253">
            <v>45924</v>
          </cell>
        </row>
        <row r="1254">
          <cell r="I1254" t="str">
            <v>EDI</v>
          </cell>
          <cell r="L1254">
            <v>4113</v>
          </cell>
          <cell r="N1254" t="str">
            <v>Production</v>
          </cell>
          <cell r="O1254" t="str">
            <v>No</v>
          </cell>
          <cell r="Q1254" t="str">
            <v>Live</v>
          </cell>
          <cell r="R1254">
            <v>45888.82953703704</v>
          </cell>
          <cell r="S1254" t="str">
            <v>Omnia Abdelaziz</v>
          </cell>
          <cell r="T1254">
            <v>45917</v>
          </cell>
          <cell r="U1254" t="str">
            <v>Alex Stathopoulos</v>
          </cell>
          <cell r="V1254">
            <v>45945</v>
          </cell>
          <cell r="W1254">
            <v>45959</v>
          </cell>
          <cell r="Y1254">
            <v>45916</v>
          </cell>
          <cell r="AC1254">
            <v>45957</v>
          </cell>
        </row>
        <row r="1255">
          <cell r="I1255" t="str">
            <v>EDI</v>
          </cell>
          <cell r="L1255">
            <v>4090</v>
          </cell>
          <cell r="N1255" t="str">
            <v>Production</v>
          </cell>
          <cell r="O1255" t="str">
            <v>No</v>
          </cell>
          <cell r="Q1255" t="str">
            <v>Live</v>
          </cell>
          <cell r="R1255">
            <v>45888.818981481483</v>
          </cell>
          <cell r="S1255" t="str">
            <v>Josephine Ossama</v>
          </cell>
          <cell r="T1255">
            <v>45908</v>
          </cell>
          <cell r="U1255" t="str">
            <v>Alex Stathopoulos</v>
          </cell>
          <cell r="V1255">
            <v>45931</v>
          </cell>
          <cell r="W1255">
            <v>45938</v>
          </cell>
          <cell r="Y1255">
            <v>45906</v>
          </cell>
          <cell r="AC1255">
            <v>45938</v>
          </cell>
        </row>
        <row r="1256">
          <cell r="I1256" t="str">
            <v>EDI</v>
          </cell>
          <cell r="L1256">
            <v>4068</v>
          </cell>
          <cell r="N1256" t="str">
            <v>Production</v>
          </cell>
          <cell r="O1256" t="str">
            <v>No</v>
          </cell>
          <cell r="Q1256" t="str">
            <v>Live</v>
          </cell>
          <cell r="R1256">
            <v>45888.814826388887</v>
          </cell>
          <cell r="S1256" t="str">
            <v>Alaa Yehia</v>
          </cell>
          <cell r="T1256">
            <v>45893</v>
          </cell>
          <cell r="U1256" t="str">
            <v>Trish Kalinczok</v>
          </cell>
          <cell r="V1256">
            <v>45903</v>
          </cell>
          <cell r="W1256">
            <v>46161</v>
          </cell>
          <cell r="Y1256">
            <v>45893</v>
          </cell>
          <cell r="AC1256">
            <v>46158</v>
          </cell>
        </row>
        <row r="1257">
          <cell r="I1257" t="str">
            <v>EDI</v>
          </cell>
          <cell r="L1257">
            <v>4086</v>
          </cell>
          <cell r="N1257" t="str">
            <v>Production</v>
          </cell>
          <cell r="O1257" t="str">
            <v>No</v>
          </cell>
          <cell r="Q1257" t="str">
            <v>Live</v>
          </cell>
          <cell r="R1257">
            <v>45888.778449074067</v>
          </cell>
          <cell r="S1257" t="str">
            <v>Mina Kamil</v>
          </cell>
          <cell r="T1257">
            <v>45896</v>
          </cell>
          <cell r="U1257" t="str">
            <v>Alex Stathopoulos</v>
          </cell>
          <cell r="W1257">
            <v>45924</v>
          </cell>
          <cell r="Y1257">
            <v>45895</v>
          </cell>
          <cell r="AC1257">
            <v>45922</v>
          </cell>
        </row>
        <row r="1258">
          <cell r="I1258" t="str">
            <v>EDI</v>
          </cell>
          <cell r="L1258">
            <v>4162</v>
          </cell>
          <cell r="N1258" t="str">
            <v>Production</v>
          </cell>
          <cell r="O1258" t="str">
            <v>No</v>
          </cell>
          <cell r="Q1258" t="str">
            <v>Live</v>
          </cell>
          <cell r="R1258">
            <v>45887.867731481478</v>
          </cell>
          <cell r="S1258" t="str">
            <v>Zeyad Khaled</v>
          </cell>
          <cell r="T1258">
            <v>45936</v>
          </cell>
          <cell r="U1258" t="str">
            <v>Tammy Davies</v>
          </cell>
          <cell r="V1258">
            <v>45944</v>
          </cell>
          <cell r="W1258">
            <v>45995</v>
          </cell>
          <cell r="Y1258">
            <v>45936</v>
          </cell>
          <cell r="AC1258">
            <v>45986</v>
          </cell>
        </row>
        <row r="1259">
          <cell r="I1259" t="str">
            <v>EDI</v>
          </cell>
          <cell r="L1259">
            <v>4065</v>
          </cell>
          <cell r="N1259" t="str">
            <v>Production</v>
          </cell>
          <cell r="O1259" t="str">
            <v>No</v>
          </cell>
          <cell r="Q1259" t="str">
            <v>Live</v>
          </cell>
          <cell r="R1259">
            <v>45887.867731481478</v>
          </cell>
          <cell r="S1259" t="str">
            <v>Noha Moustafa</v>
          </cell>
          <cell r="T1259">
            <v>45890</v>
          </cell>
          <cell r="U1259" t="str">
            <v>Tammy Davies</v>
          </cell>
          <cell r="V1259">
            <v>45907</v>
          </cell>
          <cell r="W1259">
            <v>45929</v>
          </cell>
          <cell r="Y1259">
            <v>45890</v>
          </cell>
          <cell r="AC1259">
            <v>45923</v>
          </cell>
        </row>
        <row r="1260">
          <cell r="I1260" t="str">
            <v>EDI</v>
          </cell>
          <cell r="L1260">
            <v>4075</v>
          </cell>
          <cell r="N1260" t="str">
            <v>Production</v>
          </cell>
          <cell r="O1260" t="str">
            <v>No</v>
          </cell>
          <cell r="Q1260" t="str">
            <v>Live</v>
          </cell>
          <cell r="R1260">
            <v>45887.867719907408</v>
          </cell>
          <cell r="S1260" t="str">
            <v>Josephine Ossama</v>
          </cell>
          <cell r="T1260">
            <v>45896</v>
          </cell>
          <cell r="U1260" t="str">
            <v>Tammy Davies</v>
          </cell>
          <cell r="V1260">
            <v>45910</v>
          </cell>
          <cell r="W1260">
            <v>45916</v>
          </cell>
          <cell r="Y1260">
            <v>45896</v>
          </cell>
          <cell r="AC1260">
            <v>45914</v>
          </cell>
        </row>
        <row r="1261">
          <cell r="I1261" t="str">
            <v>EDI</v>
          </cell>
          <cell r="L1261">
            <v>4081</v>
          </cell>
          <cell r="N1261" t="str">
            <v>Production</v>
          </cell>
          <cell r="O1261" t="str">
            <v>No</v>
          </cell>
          <cell r="Q1261" t="str">
            <v>Cancelled</v>
          </cell>
          <cell r="R1261">
            <v>45887.867719907408</v>
          </cell>
          <cell r="S1261" t="str">
            <v>Mirna Azmy</v>
          </cell>
          <cell r="T1261">
            <v>45900</v>
          </cell>
          <cell r="U1261" t="str">
            <v>Tammy Davies</v>
          </cell>
          <cell r="V1261">
            <v>45909</v>
          </cell>
          <cell r="W1261">
            <v>45961</v>
          </cell>
          <cell r="Y1261">
            <v>45900</v>
          </cell>
          <cell r="AC1261">
            <v>45959</v>
          </cell>
        </row>
        <row r="1262">
          <cell r="I1262" t="str">
            <v>EDI</v>
          </cell>
          <cell r="L1262">
            <v>4067</v>
          </cell>
          <cell r="N1262" t="str">
            <v>Production</v>
          </cell>
          <cell r="O1262" t="str">
            <v>No</v>
          </cell>
          <cell r="Q1262" t="str">
            <v>Live</v>
          </cell>
          <cell r="R1262">
            <v>45887.860405092593</v>
          </cell>
          <cell r="S1262" t="str">
            <v>Karim Tarek</v>
          </cell>
          <cell r="T1262">
            <v>45893</v>
          </cell>
          <cell r="U1262" t="str">
            <v>Gregory Dubec</v>
          </cell>
          <cell r="V1262">
            <v>45909</v>
          </cell>
          <cell r="W1262">
            <v>45918</v>
          </cell>
          <cell r="Y1262">
            <v>45890</v>
          </cell>
          <cell r="AC1262">
            <v>45916</v>
          </cell>
        </row>
        <row r="1263">
          <cell r="I1263" t="str">
            <v>EDI</v>
          </cell>
          <cell r="L1263">
            <v>4085</v>
          </cell>
          <cell r="N1263" t="str">
            <v>Production</v>
          </cell>
          <cell r="O1263" t="str">
            <v>No</v>
          </cell>
          <cell r="Q1263" t="str">
            <v>Live</v>
          </cell>
          <cell r="R1263">
            <v>45887.860405092593</v>
          </cell>
          <cell r="S1263" t="str">
            <v>Ahmed Ali</v>
          </cell>
          <cell r="T1263">
            <v>45901</v>
          </cell>
          <cell r="U1263" t="str">
            <v>Gregory Dubec</v>
          </cell>
          <cell r="V1263">
            <v>45911</v>
          </cell>
          <cell r="W1263">
            <v>45939</v>
          </cell>
          <cell r="Y1263">
            <v>45900</v>
          </cell>
          <cell r="AC1263">
            <v>45936</v>
          </cell>
        </row>
        <row r="1264">
          <cell r="I1264" t="str">
            <v>EDI</v>
          </cell>
          <cell r="L1264">
            <v>4114</v>
          </cell>
          <cell r="N1264" t="str">
            <v>Production</v>
          </cell>
          <cell r="O1264" t="str">
            <v>No</v>
          </cell>
          <cell r="Q1264" t="str">
            <v>Live</v>
          </cell>
          <cell r="R1264">
            <v>45887.728449074071</v>
          </cell>
          <cell r="S1264" t="str">
            <v>Mark Albert</v>
          </cell>
          <cell r="T1264">
            <v>45917</v>
          </cell>
          <cell r="U1264" t="str">
            <v>Tyler  Raposa</v>
          </cell>
          <cell r="V1264">
            <v>45942</v>
          </cell>
          <cell r="W1264">
            <v>45988</v>
          </cell>
          <cell r="Y1264">
            <v>45916</v>
          </cell>
          <cell r="AC1264">
            <v>45981</v>
          </cell>
        </row>
        <row r="1265">
          <cell r="I1265" t="str">
            <v>EDI</v>
          </cell>
          <cell r="N1265" t="str">
            <v>Requirements Gathering</v>
          </cell>
          <cell r="O1265" t="str">
            <v>No</v>
          </cell>
          <cell r="Q1265" t="str">
            <v>Cancelled</v>
          </cell>
          <cell r="R1265">
            <v>45884.89912037037</v>
          </cell>
          <cell r="S1265" t="str">
            <v>Abdulrahman Tarek</v>
          </cell>
          <cell r="T1265">
            <v>45886</v>
          </cell>
          <cell r="U1265" t="str">
            <v>Trish Kalinczok</v>
          </cell>
        </row>
        <row r="1266">
          <cell r="I1266" t="str">
            <v>EDI</v>
          </cell>
          <cell r="L1266">
            <v>4076</v>
          </cell>
          <cell r="N1266" t="str">
            <v>Production</v>
          </cell>
          <cell r="O1266" t="str">
            <v>No</v>
          </cell>
          <cell r="Q1266" t="str">
            <v>Live</v>
          </cell>
          <cell r="R1266">
            <v>45884.884571759263</v>
          </cell>
          <cell r="S1266" t="str">
            <v>Mark Albert</v>
          </cell>
          <cell r="T1266">
            <v>45901</v>
          </cell>
          <cell r="U1266" t="str">
            <v>Trish Kalinczok</v>
          </cell>
          <cell r="W1266">
            <v>45915</v>
          </cell>
          <cell r="Y1266">
            <v>45900</v>
          </cell>
          <cell r="AC1266">
            <v>45914</v>
          </cell>
        </row>
        <row r="1267">
          <cell r="I1267" t="str">
            <v>EDI</v>
          </cell>
          <cell r="L1267">
            <v>4070</v>
          </cell>
          <cell r="N1267" t="str">
            <v>Production</v>
          </cell>
          <cell r="O1267" t="str">
            <v>No</v>
          </cell>
          <cell r="Q1267" t="str">
            <v>Live</v>
          </cell>
          <cell r="R1267">
            <v>45884.881342592591</v>
          </cell>
          <cell r="S1267" t="str">
            <v>Mirna Azmy</v>
          </cell>
          <cell r="T1267">
            <v>45893</v>
          </cell>
          <cell r="U1267" t="str">
            <v>Tammy Davies</v>
          </cell>
          <cell r="V1267">
            <v>45894</v>
          </cell>
          <cell r="W1267">
            <v>45908</v>
          </cell>
          <cell r="Y1267">
            <v>45890</v>
          </cell>
          <cell r="AC1267">
            <v>45903</v>
          </cell>
        </row>
        <row r="1268">
          <cell r="I1268" t="str">
            <v>EDI</v>
          </cell>
          <cell r="L1268">
            <v>4071</v>
          </cell>
          <cell r="N1268" t="str">
            <v>Production</v>
          </cell>
          <cell r="O1268" t="str">
            <v>No</v>
          </cell>
          <cell r="Q1268" t="str">
            <v>Live</v>
          </cell>
          <cell r="R1268">
            <v>45884.881342592591</v>
          </cell>
          <cell r="S1268" t="str">
            <v>Karen Ramy</v>
          </cell>
          <cell r="T1268">
            <v>45890</v>
          </cell>
          <cell r="U1268" t="str">
            <v>Tammy Davies</v>
          </cell>
          <cell r="V1268">
            <v>45904</v>
          </cell>
          <cell r="W1268">
            <v>45994</v>
          </cell>
          <cell r="Y1268">
            <v>45889</v>
          </cell>
          <cell r="AC1268">
            <v>45992</v>
          </cell>
        </row>
        <row r="1269">
          <cell r="I1269" t="str">
            <v>EDI</v>
          </cell>
          <cell r="L1269">
            <v>4073</v>
          </cell>
          <cell r="N1269" t="str">
            <v>Production</v>
          </cell>
          <cell r="O1269" t="str">
            <v>No</v>
          </cell>
          <cell r="Q1269" t="str">
            <v>Live</v>
          </cell>
          <cell r="R1269">
            <v>45884.881331018521</v>
          </cell>
          <cell r="S1269" t="str">
            <v>Mina Kamil</v>
          </cell>
          <cell r="T1269">
            <v>45890</v>
          </cell>
          <cell r="U1269" t="str">
            <v>Tammy Davies</v>
          </cell>
          <cell r="W1269">
            <v>45923</v>
          </cell>
          <cell r="Y1269">
            <v>45889</v>
          </cell>
          <cell r="AC1269">
            <v>45923</v>
          </cell>
        </row>
        <row r="1270">
          <cell r="I1270" t="str">
            <v>EDI</v>
          </cell>
          <cell r="L1270">
            <v>4072</v>
          </cell>
          <cell r="N1270" t="str">
            <v>Production</v>
          </cell>
          <cell r="O1270" t="str">
            <v>No</v>
          </cell>
          <cell r="Q1270" t="str">
            <v>Live</v>
          </cell>
          <cell r="R1270">
            <v>45883.749502314808</v>
          </cell>
          <cell r="S1270" t="str">
            <v>Marwan Tawfik</v>
          </cell>
          <cell r="T1270">
            <v>45888</v>
          </cell>
          <cell r="U1270" t="str">
            <v>Trish Kalinczok</v>
          </cell>
          <cell r="V1270">
            <v>25569</v>
          </cell>
          <cell r="W1270">
            <v>46041</v>
          </cell>
          <cell r="Y1270">
            <v>45888</v>
          </cell>
          <cell r="AC1270">
            <v>46038</v>
          </cell>
        </row>
        <row r="1271">
          <cell r="I1271" t="str">
            <v>EDI</v>
          </cell>
          <cell r="L1271">
            <v>4078</v>
          </cell>
          <cell r="N1271" t="str">
            <v>Production</v>
          </cell>
          <cell r="O1271" t="str">
            <v>No</v>
          </cell>
          <cell r="Q1271" t="str">
            <v>Cancelled</v>
          </cell>
          <cell r="R1271">
            <v>45881.731874999998</v>
          </cell>
          <cell r="S1271" t="str">
            <v>Omnia Abdelaziz</v>
          </cell>
          <cell r="T1271">
            <v>45900</v>
          </cell>
          <cell r="U1271" t="str">
            <v>Necole Hartsfield</v>
          </cell>
          <cell r="V1271">
            <v>45925</v>
          </cell>
          <cell r="W1271">
            <v>45971</v>
          </cell>
          <cell r="Y1271">
            <v>45897</v>
          </cell>
          <cell r="AC1271">
            <v>45970</v>
          </cell>
        </row>
        <row r="1272">
          <cell r="I1272" t="str">
            <v>EDI</v>
          </cell>
          <cell r="L1272">
            <v>4111</v>
          </cell>
          <cell r="N1272" t="str">
            <v>Testing</v>
          </cell>
          <cell r="O1272" t="str">
            <v>No</v>
          </cell>
          <cell r="Q1272" t="str">
            <v>Cancelled</v>
          </cell>
          <cell r="R1272">
            <v>45881.731874999998</v>
          </cell>
          <cell r="S1272" t="str">
            <v>Karen Ramy</v>
          </cell>
          <cell r="T1272">
            <v>45901</v>
          </cell>
          <cell r="U1272" t="str">
            <v>Necole Hartsfield</v>
          </cell>
          <cell r="V1272">
            <v>45959</v>
          </cell>
          <cell r="Y1272">
            <v>45900</v>
          </cell>
        </row>
        <row r="1273">
          <cell r="I1273" t="str">
            <v>EDI</v>
          </cell>
          <cell r="L1273">
            <v>4069</v>
          </cell>
          <cell r="N1273" t="str">
            <v>Production</v>
          </cell>
          <cell r="O1273" t="str">
            <v>No</v>
          </cell>
          <cell r="Q1273" t="str">
            <v>Live</v>
          </cell>
          <cell r="R1273">
            <v>45881.731874999998</v>
          </cell>
          <cell r="S1273" t="str">
            <v>Mina Adel</v>
          </cell>
          <cell r="T1273">
            <v>45890</v>
          </cell>
          <cell r="U1273" t="str">
            <v>Necole Hartsfield</v>
          </cell>
          <cell r="W1273">
            <v>45971</v>
          </cell>
          <cell r="Y1273">
            <v>45889</v>
          </cell>
          <cell r="AC1273">
            <v>45967</v>
          </cell>
        </row>
        <row r="1274">
          <cell r="I1274" t="str">
            <v>EDI</v>
          </cell>
          <cell r="N1274" t="str">
            <v>Pending Start</v>
          </cell>
          <cell r="O1274" t="str">
            <v>No</v>
          </cell>
          <cell r="Q1274" t="str">
            <v>Cancelled</v>
          </cell>
          <cell r="R1274">
            <v>45881.602951388893</v>
          </cell>
          <cell r="U1274" t="str">
            <v>Melissa Beck</v>
          </cell>
        </row>
        <row r="1275">
          <cell r="I1275" t="str">
            <v>EDI</v>
          </cell>
          <cell r="N1275" t="str">
            <v>Requirements Gathering</v>
          </cell>
          <cell r="O1275" t="str">
            <v>No</v>
          </cell>
          <cell r="Q1275" t="str">
            <v>Cancelled</v>
          </cell>
          <cell r="R1275">
            <v>45880.139421296299</v>
          </cell>
          <cell r="S1275" t="str">
            <v>Sandra Adel</v>
          </cell>
          <cell r="T1275">
            <v>45880</v>
          </cell>
          <cell r="U1275" t="str">
            <v>Matt Howell</v>
          </cell>
        </row>
        <row r="1276">
          <cell r="I1276" t="str">
            <v>EDI</v>
          </cell>
          <cell r="L1276">
            <v>4106</v>
          </cell>
          <cell r="N1276" t="str">
            <v>Production</v>
          </cell>
          <cell r="O1276" t="str">
            <v>No</v>
          </cell>
          <cell r="Q1276" t="str">
            <v>Cancelled</v>
          </cell>
          <cell r="R1276">
            <v>45880.139409722222</v>
          </cell>
          <cell r="S1276" t="str">
            <v>Omnia Abdelaziz</v>
          </cell>
          <cell r="T1276">
            <v>45914</v>
          </cell>
          <cell r="U1276" t="str">
            <v>Matt Howell</v>
          </cell>
          <cell r="V1276">
            <v>45957</v>
          </cell>
          <cell r="W1276">
            <v>46013</v>
          </cell>
          <cell r="Y1276">
            <v>45911</v>
          </cell>
          <cell r="AC1276">
            <v>46009</v>
          </cell>
        </row>
        <row r="1277">
          <cell r="I1277" t="str">
            <v>EDI</v>
          </cell>
          <cell r="N1277" t="str">
            <v>Requirements Gathering</v>
          </cell>
          <cell r="O1277" t="str">
            <v>No</v>
          </cell>
          <cell r="Q1277" t="str">
            <v>Cancelled</v>
          </cell>
          <cell r="R1277">
            <v>45880.139409722222</v>
          </cell>
          <cell r="S1277" t="str">
            <v>Sandra Adel</v>
          </cell>
          <cell r="T1277">
            <v>45880</v>
          </cell>
          <cell r="U1277" t="str">
            <v>Matt Howell</v>
          </cell>
        </row>
        <row r="1278">
          <cell r="I1278" t="str">
            <v>EDI</v>
          </cell>
          <cell r="L1278">
            <v>4059</v>
          </cell>
          <cell r="N1278" t="str">
            <v>Production</v>
          </cell>
          <cell r="O1278" t="str">
            <v>No</v>
          </cell>
          <cell r="Q1278" t="str">
            <v>Cancelled</v>
          </cell>
          <cell r="R1278">
            <v>45880.139398148152</v>
          </cell>
          <cell r="S1278" t="str">
            <v>Josephine Ossama</v>
          </cell>
          <cell r="T1278">
            <v>45887</v>
          </cell>
          <cell r="U1278" t="str">
            <v>Matt Howell</v>
          </cell>
          <cell r="V1278">
            <v>45897</v>
          </cell>
          <cell r="W1278">
            <v>45908</v>
          </cell>
          <cell r="Y1278">
            <v>45886</v>
          </cell>
          <cell r="AC1278">
            <v>45907</v>
          </cell>
        </row>
        <row r="1279">
          <cell r="I1279" t="str">
            <v>EDI</v>
          </cell>
          <cell r="L1279">
            <v>4082</v>
          </cell>
          <cell r="N1279" t="str">
            <v>Production</v>
          </cell>
          <cell r="O1279" t="str">
            <v>No</v>
          </cell>
          <cell r="Q1279" t="str">
            <v>Live</v>
          </cell>
          <cell r="R1279">
            <v>45877.779687499999</v>
          </cell>
          <cell r="S1279" t="str">
            <v>Reem Radwan</v>
          </cell>
          <cell r="T1279">
            <v>45901</v>
          </cell>
          <cell r="U1279" t="str">
            <v>Tammy Davies</v>
          </cell>
          <cell r="V1279">
            <v>45918</v>
          </cell>
          <cell r="W1279">
            <v>45946</v>
          </cell>
          <cell r="Y1279">
            <v>45900</v>
          </cell>
          <cell r="AC1279">
            <v>45945</v>
          </cell>
        </row>
        <row r="1280">
          <cell r="I1280" t="str">
            <v>EDI</v>
          </cell>
          <cell r="L1280">
            <v>4074</v>
          </cell>
          <cell r="N1280" t="str">
            <v>Production</v>
          </cell>
          <cell r="O1280" t="str">
            <v>No</v>
          </cell>
          <cell r="Q1280" t="str">
            <v>Live</v>
          </cell>
          <cell r="R1280">
            <v>45876.786574074067</v>
          </cell>
          <cell r="S1280" t="str">
            <v>Noha Moustafa</v>
          </cell>
          <cell r="T1280">
            <v>45896</v>
          </cell>
          <cell r="U1280" t="str">
            <v>Rhettsmey Meak</v>
          </cell>
          <cell r="V1280">
            <v>45901</v>
          </cell>
          <cell r="W1280">
            <v>45930</v>
          </cell>
          <cell r="Y1280">
            <v>45896</v>
          </cell>
          <cell r="AC1280">
            <v>45930</v>
          </cell>
        </row>
        <row r="1281">
          <cell r="I1281" t="str">
            <v>EDI</v>
          </cell>
          <cell r="L1281">
            <v>4375</v>
          </cell>
          <cell r="N1281" t="str">
            <v>Production</v>
          </cell>
          <cell r="O1281" t="str">
            <v>No</v>
          </cell>
          <cell r="Q1281" t="str">
            <v>Live</v>
          </cell>
          <cell r="R1281">
            <v>45876.628680555557</v>
          </cell>
          <cell r="S1281" t="str">
            <v>Zeyad Khaled</v>
          </cell>
          <cell r="T1281">
            <v>46033</v>
          </cell>
          <cell r="U1281" t="str">
            <v>Trish Kalinczok</v>
          </cell>
          <cell r="V1281">
            <v>46105</v>
          </cell>
          <cell r="W1281">
            <v>46146</v>
          </cell>
          <cell r="Y1281">
            <v>46030</v>
          </cell>
          <cell r="AC1281">
            <v>46142</v>
          </cell>
        </row>
        <row r="1282">
          <cell r="I1282" t="str">
            <v>EDI</v>
          </cell>
          <cell r="L1282">
            <v>4063</v>
          </cell>
          <cell r="N1282" t="str">
            <v>Production</v>
          </cell>
          <cell r="O1282" t="str">
            <v>No</v>
          </cell>
          <cell r="Q1282" t="str">
            <v>Live</v>
          </cell>
          <cell r="R1282">
            <v>45875.802303240736</v>
          </cell>
          <cell r="S1282" t="str">
            <v>Alaa Yehia</v>
          </cell>
          <cell r="T1282">
            <v>45888</v>
          </cell>
          <cell r="U1282" t="str">
            <v>Nicole Stevens</v>
          </cell>
          <cell r="V1282">
            <v>45900</v>
          </cell>
          <cell r="W1282">
            <v>45972</v>
          </cell>
          <cell r="Y1282">
            <v>45888</v>
          </cell>
          <cell r="AC1282">
            <v>45972</v>
          </cell>
        </row>
        <row r="1283">
          <cell r="I1283" t="str">
            <v>EDI</v>
          </cell>
          <cell r="L1283">
            <v>4062</v>
          </cell>
          <cell r="N1283" t="str">
            <v>Production</v>
          </cell>
          <cell r="O1283" t="str">
            <v>No</v>
          </cell>
          <cell r="Q1283" t="str">
            <v>Live</v>
          </cell>
          <cell r="R1283">
            <v>45875.762708333343</v>
          </cell>
          <cell r="S1283" t="str">
            <v>Reem Radwan</v>
          </cell>
          <cell r="T1283">
            <v>45888</v>
          </cell>
          <cell r="U1283" t="str">
            <v>Rhettsmey Meak</v>
          </cell>
          <cell r="V1283">
            <v>45903</v>
          </cell>
          <cell r="W1283">
            <v>45960</v>
          </cell>
          <cell r="Y1283">
            <v>45888</v>
          </cell>
          <cell r="AC1283">
            <v>45959</v>
          </cell>
        </row>
        <row r="1284">
          <cell r="I1284" t="str">
            <v>EDI</v>
          </cell>
          <cell r="L1284">
            <v>4042</v>
          </cell>
          <cell r="N1284" t="str">
            <v>Production</v>
          </cell>
          <cell r="O1284" t="str">
            <v>No</v>
          </cell>
          <cell r="Q1284" t="str">
            <v>Live</v>
          </cell>
          <cell r="R1284">
            <v>45869.889224537037</v>
          </cell>
          <cell r="S1284" t="str">
            <v>Josephine Ossama</v>
          </cell>
          <cell r="T1284">
            <v>45874</v>
          </cell>
          <cell r="U1284" t="str">
            <v>Brooke Marshall</v>
          </cell>
          <cell r="V1284">
            <v>45900</v>
          </cell>
          <cell r="W1284">
            <v>45903</v>
          </cell>
          <cell r="Y1284">
            <v>45873</v>
          </cell>
          <cell r="AC1284">
            <v>45900</v>
          </cell>
        </row>
        <row r="1285">
          <cell r="I1285" t="str">
            <v>EDI</v>
          </cell>
          <cell r="N1285" t="str">
            <v>Requirements Gathering</v>
          </cell>
          <cell r="O1285" t="str">
            <v>No</v>
          </cell>
          <cell r="Q1285" t="str">
            <v>Cancelled</v>
          </cell>
          <cell r="R1285">
            <v>45869.789444444446</v>
          </cell>
          <cell r="S1285" t="str">
            <v>Sandra Adel</v>
          </cell>
          <cell r="T1285">
            <v>45872</v>
          </cell>
          <cell r="U1285" t="str">
            <v>Rhettsmey Meak</v>
          </cell>
        </row>
        <row r="1286">
          <cell r="I1286" t="str">
            <v>EDI</v>
          </cell>
          <cell r="L1286">
            <v>4089</v>
          </cell>
          <cell r="N1286" t="str">
            <v>Production</v>
          </cell>
          <cell r="O1286" t="str">
            <v>No</v>
          </cell>
          <cell r="Q1286" t="str">
            <v>Live</v>
          </cell>
          <cell r="R1286">
            <v>45869.733969907407</v>
          </cell>
          <cell r="S1286" t="str">
            <v>Mina Kamil</v>
          </cell>
          <cell r="T1286">
            <v>45903</v>
          </cell>
          <cell r="U1286" t="str">
            <v>Peter Abdelmalek</v>
          </cell>
          <cell r="W1286">
            <v>45953</v>
          </cell>
          <cell r="Y1286">
            <v>45902</v>
          </cell>
          <cell r="AC1286">
            <v>45953</v>
          </cell>
        </row>
        <row r="1287">
          <cell r="I1287" t="str">
            <v>EDI</v>
          </cell>
          <cell r="L1287">
            <v>4066</v>
          </cell>
          <cell r="N1287" t="str">
            <v>Production</v>
          </cell>
          <cell r="O1287" t="str">
            <v>No</v>
          </cell>
          <cell r="Q1287" t="str">
            <v>Live</v>
          </cell>
          <cell r="R1287">
            <v>45867.843784722223</v>
          </cell>
          <cell r="S1287" t="str">
            <v>Andrew Ramy</v>
          </cell>
          <cell r="T1287">
            <v>45893</v>
          </cell>
          <cell r="U1287" t="str">
            <v>Trish Kalinczok</v>
          </cell>
          <cell r="V1287">
            <v>45967</v>
          </cell>
          <cell r="W1287">
            <v>25569</v>
          </cell>
          <cell r="Y1287">
            <v>45890</v>
          </cell>
          <cell r="AC1287">
            <v>46133</v>
          </cell>
        </row>
        <row r="1288">
          <cell r="I1288" t="str">
            <v>EDI</v>
          </cell>
          <cell r="L1288">
            <v>4054</v>
          </cell>
          <cell r="N1288" t="str">
            <v>Production</v>
          </cell>
          <cell r="O1288" t="str">
            <v>No</v>
          </cell>
          <cell r="Q1288" t="str">
            <v>Live</v>
          </cell>
          <cell r="R1288">
            <v>45867.732303240737</v>
          </cell>
          <cell r="S1288" t="str">
            <v>Karim Tarek</v>
          </cell>
          <cell r="T1288">
            <v>45931</v>
          </cell>
          <cell r="U1288" t="str">
            <v>Peter Abdelmalek</v>
          </cell>
          <cell r="V1288">
            <v>45900</v>
          </cell>
          <cell r="W1288">
            <v>45936</v>
          </cell>
          <cell r="Y1288">
            <v>45879</v>
          </cell>
          <cell r="AC1288">
            <v>45935</v>
          </cell>
        </row>
        <row r="1289">
          <cell r="I1289" t="str">
            <v>EDI</v>
          </cell>
          <cell r="L1289">
            <v>4043</v>
          </cell>
          <cell r="N1289" t="str">
            <v>Production</v>
          </cell>
          <cell r="O1289" t="str">
            <v>No</v>
          </cell>
          <cell r="Q1289" t="str">
            <v>Live</v>
          </cell>
          <cell r="R1289">
            <v>45867.732291666667</v>
          </cell>
          <cell r="S1289" t="str">
            <v>Omnia Abdelaziz</v>
          </cell>
          <cell r="T1289">
            <v>45874</v>
          </cell>
          <cell r="U1289" t="str">
            <v>Peter Abdelmalek</v>
          </cell>
          <cell r="V1289">
            <v>45896</v>
          </cell>
          <cell r="W1289">
            <v>45901</v>
          </cell>
          <cell r="Y1289">
            <v>45873</v>
          </cell>
          <cell r="AC1289">
            <v>45897</v>
          </cell>
        </row>
        <row r="1290">
          <cell r="I1290" t="str">
            <v>EDI</v>
          </cell>
          <cell r="L1290">
            <v>4060</v>
          </cell>
          <cell r="N1290" t="str">
            <v>Production</v>
          </cell>
          <cell r="O1290" t="str">
            <v>No</v>
          </cell>
          <cell r="Q1290" t="str">
            <v>Live</v>
          </cell>
          <cell r="R1290">
            <v>45867.732291666667</v>
          </cell>
          <cell r="S1290" t="str">
            <v>Omnia Abdelaziz</v>
          </cell>
          <cell r="T1290">
            <v>45882</v>
          </cell>
          <cell r="U1290" t="str">
            <v>Peter Abdelmalek</v>
          </cell>
          <cell r="V1290">
            <v>45897</v>
          </cell>
          <cell r="W1290">
            <v>45929</v>
          </cell>
          <cell r="Y1290">
            <v>45881</v>
          </cell>
          <cell r="AC1290">
            <v>45925</v>
          </cell>
        </row>
        <row r="1291">
          <cell r="I1291" t="str">
            <v>EDI</v>
          </cell>
          <cell r="L1291">
            <v>4061</v>
          </cell>
          <cell r="N1291" t="str">
            <v>Production</v>
          </cell>
          <cell r="O1291" t="str">
            <v>No</v>
          </cell>
          <cell r="Q1291" t="str">
            <v>Live</v>
          </cell>
          <cell r="R1291">
            <v>45867.73228009259</v>
          </cell>
          <cell r="S1291" t="str">
            <v>Omnia Abdelaziz</v>
          </cell>
          <cell r="T1291">
            <v>45876</v>
          </cell>
          <cell r="U1291" t="str">
            <v>Peter Abdelmalek</v>
          </cell>
          <cell r="V1291">
            <v>45896</v>
          </cell>
          <cell r="W1291">
            <v>45901</v>
          </cell>
          <cell r="Y1291">
            <v>45876</v>
          </cell>
          <cell r="AC1291">
            <v>45897</v>
          </cell>
        </row>
        <row r="1292">
          <cell r="I1292" t="str">
            <v>EDI</v>
          </cell>
          <cell r="L1292">
            <v>4052</v>
          </cell>
          <cell r="N1292" t="str">
            <v>Production</v>
          </cell>
          <cell r="O1292" t="str">
            <v>No</v>
          </cell>
          <cell r="Q1292" t="str">
            <v>Live</v>
          </cell>
          <cell r="R1292">
            <v>45867.73228009259</v>
          </cell>
          <cell r="S1292" t="str">
            <v>Omnia Abdelaziz</v>
          </cell>
          <cell r="T1292">
            <v>45876</v>
          </cell>
          <cell r="U1292" t="str">
            <v>Peter Abdelmalek</v>
          </cell>
          <cell r="V1292">
            <v>45901</v>
          </cell>
          <cell r="W1292">
            <v>45936</v>
          </cell>
          <cell r="Y1292">
            <v>45876</v>
          </cell>
          <cell r="AC1292">
            <v>45930</v>
          </cell>
        </row>
        <row r="1293">
          <cell r="I1293" t="str">
            <v>EDI</v>
          </cell>
          <cell r="N1293" t="str">
            <v>Requirements Gathering</v>
          </cell>
          <cell r="O1293" t="str">
            <v>No</v>
          </cell>
          <cell r="Q1293" t="str">
            <v>Cancelled</v>
          </cell>
          <cell r="R1293">
            <v>45863.81658564815</v>
          </cell>
          <cell r="S1293" t="str">
            <v>Abdulrahman Tarek</v>
          </cell>
          <cell r="T1293">
            <v>45865</v>
          </cell>
          <cell r="U1293" t="str">
            <v>Gregory Dubec</v>
          </cell>
        </row>
        <row r="1294">
          <cell r="I1294" t="str">
            <v>EDI</v>
          </cell>
          <cell r="N1294" t="str">
            <v>Requirements Gathering</v>
          </cell>
          <cell r="O1294" t="str">
            <v>No</v>
          </cell>
          <cell r="Q1294" t="str">
            <v>Cancelled</v>
          </cell>
          <cell r="R1294">
            <v>45863.81658564815</v>
          </cell>
          <cell r="S1294" t="str">
            <v>Abdulrahman Tarek</v>
          </cell>
          <cell r="T1294">
            <v>45865</v>
          </cell>
          <cell r="U1294" t="str">
            <v>Gregory Dubec</v>
          </cell>
        </row>
        <row r="1295">
          <cell r="I1295" t="str">
            <v>EDI</v>
          </cell>
          <cell r="L1295">
            <v>4035</v>
          </cell>
          <cell r="N1295" t="str">
            <v>Production</v>
          </cell>
          <cell r="O1295" t="str">
            <v>No</v>
          </cell>
          <cell r="Q1295" t="str">
            <v>Live</v>
          </cell>
          <cell r="R1295">
            <v>45862.793738425928</v>
          </cell>
          <cell r="S1295" t="str">
            <v>Zeyad Khaled</v>
          </cell>
          <cell r="T1295">
            <v>45867</v>
          </cell>
          <cell r="U1295" t="str">
            <v>Gregory Dubec</v>
          </cell>
          <cell r="V1295">
            <v>45894</v>
          </cell>
          <cell r="W1295">
            <v>45925</v>
          </cell>
          <cell r="Y1295">
            <v>45866</v>
          </cell>
          <cell r="AC1295">
            <v>45922</v>
          </cell>
        </row>
        <row r="1296">
          <cell r="I1296" t="str">
            <v>EDI</v>
          </cell>
          <cell r="L1296">
            <v>4044</v>
          </cell>
          <cell r="N1296" t="str">
            <v>Production</v>
          </cell>
          <cell r="O1296" t="str">
            <v>No</v>
          </cell>
          <cell r="Q1296" t="str">
            <v>Live</v>
          </cell>
          <cell r="R1296">
            <v>45862.793726851851</v>
          </cell>
          <cell r="S1296" t="str">
            <v>Karim Tarek</v>
          </cell>
          <cell r="T1296">
            <v>45931</v>
          </cell>
          <cell r="U1296" t="str">
            <v>Gregory Dubec</v>
          </cell>
          <cell r="V1296">
            <v>45909</v>
          </cell>
          <cell r="W1296">
            <v>46016</v>
          </cell>
          <cell r="Y1296">
            <v>45876</v>
          </cell>
          <cell r="AC1296">
            <v>46015</v>
          </cell>
        </row>
        <row r="1297">
          <cell r="I1297" t="str">
            <v>EDI</v>
          </cell>
          <cell r="L1297">
            <v>4039</v>
          </cell>
          <cell r="N1297" t="str">
            <v>Production</v>
          </cell>
          <cell r="O1297" t="str">
            <v>No</v>
          </cell>
          <cell r="Q1297" t="str">
            <v>Live</v>
          </cell>
          <cell r="R1297">
            <v>45862.793726851851</v>
          </cell>
          <cell r="S1297" t="str">
            <v>Ahmed Ali</v>
          </cell>
          <cell r="T1297">
            <v>45867</v>
          </cell>
          <cell r="U1297" t="str">
            <v>Gregory Dubec</v>
          </cell>
          <cell r="V1297">
            <v>45888</v>
          </cell>
          <cell r="W1297">
            <v>45918</v>
          </cell>
          <cell r="Y1297">
            <v>45866</v>
          </cell>
          <cell r="AC1297">
            <v>45914</v>
          </cell>
        </row>
        <row r="1298">
          <cell r="I1298" t="str">
            <v>EDI</v>
          </cell>
          <cell r="L1298">
            <v>4049</v>
          </cell>
          <cell r="N1298" t="str">
            <v>Production</v>
          </cell>
          <cell r="O1298" t="str">
            <v>No</v>
          </cell>
          <cell r="Q1298" t="str">
            <v>Live</v>
          </cell>
          <cell r="R1298">
            <v>45861.851064814808</v>
          </cell>
          <cell r="S1298" t="str">
            <v>Mina Kamil</v>
          </cell>
          <cell r="T1298">
            <v>45880</v>
          </cell>
          <cell r="U1298" t="str">
            <v>Sean Torres</v>
          </cell>
          <cell r="W1298">
            <v>45985</v>
          </cell>
          <cell r="Y1298">
            <v>45879</v>
          </cell>
          <cell r="AC1298">
            <v>45980</v>
          </cell>
        </row>
        <row r="1299">
          <cell r="I1299" t="str">
            <v>EDI</v>
          </cell>
          <cell r="L1299">
            <v>4190</v>
          </cell>
          <cell r="N1299" t="str">
            <v>Testing</v>
          </cell>
          <cell r="O1299" t="str">
            <v>No</v>
          </cell>
          <cell r="Q1299" t="str">
            <v>In Progress</v>
          </cell>
          <cell r="R1299">
            <v>45861.851053240738</v>
          </cell>
          <cell r="S1299" t="str">
            <v>Andrew Ramy</v>
          </cell>
          <cell r="T1299">
            <v>46049</v>
          </cell>
          <cell r="U1299" t="str">
            <v>Sean Torres</v>
          </cell>
          <cell r="V1299">
            <v>46054</v>
          </cell>
          <cell r="Y1299">
            <v>45957</v>
          </cell>
        </row>
        <row r="1300">
          <cell r="I1300" t="str">
            <v>EDI</v>
          </cell>
          <cell r="L1300">
            <v>4083</v>
          </cell>
          <cell r="N1300" t="str">
            <v>Production</v>
          </cell>
          <cell r="O1300" t="str">
            <v>No</v>
          </cell>
          <cell r="Q1300" t="str">
            <v>Cancelled</v>
          </cell>
          <cell r="R1300">
            <v>45860.850231481483</v>
          </cell>
          <cell r="S1300" t="str">
            <v>Alaa Yehia</v>
          </cell>
          <cell r="T1300">
            <v>46019</v>
          </cell>
          <cell r="U1300" t="str">
            <v>Lonnie Celestin</v>
          </cell>
          <cell r="V1300">
            <v>45925</v>
          </cell>
          <cell r="W1300">
            <v>46083</v>
          </cell>
          <cell r="Y1300">
            <v>45900</v>
          </cell>
          <cell r="AC1300">
            <v>46078</v>
          </cell>
        </row>
        <row r="1301">
          <cell r="I1301" t="str">
            <v>EDI</v>
          </cell>
          <cell r="N1301" t="str">
            <v>Requirements Gathering</v>
          </cell>
          <cell r="O1301" t="str">
            <v>No</v>
          </cell>
          <cell r="Q1301" t="str">
            <v>Cancelled</v>
          </cell>
          <cell r="R1301">
            <v>45860.850219907406</v>
          </cell>
          <cell r="S1301" t="str">
            <v>Lourina Edmon</v>
          </cell>
          <cell r="T1301">
            <v>45861</v>
          </cell>
          <cell r="U1301" t="str">
            <v>Lonnie Celestin</v>
          </cell>
        </row>
        <row r="1302">
          <cell r="I1302" t="str">
            <v>EDI</v>
          </cell>
          <cell r="L1302">
            <v>4050</v>
          </cell>
          <cell r="N1302" t="str">
            <v>Production</v>
          </cell>
          <cell r="O1302" t="str">
            <v>No</v>
          </cell>
          <cell r="Q1302" t="str">
            <v>Live</v>
          </cell>
          <cell r="R1302">
            <v>45860.829594907409</v>
          </cell>
          <cell r="S1302" t="str">
            <v>Karim Tarek</v>
          </cell>
          <cell r="T1302">
            <v>45880</v>
          </cell>
          <cell r="U1302" t="str">
            <v>Peter Abdelmalek</v>
          </cell>
          <cell r="V1302">
            <v>45888</v>
          </cell>
          <cell r="W1302">
            <v>45950</v>
          </cell>
          <cell r="Y1302">
            <v>45879</v>
          </cell>
          <cell r="AC1302">
            <v>45949</v>
          </cell>
        </row>
        <row r="1303">
          <cell r="I1303" t="str">
            <v>EDI</v>
          </cell>
          <cell r="L1303">
            <v>4056</v>
          </cell>
          <cell r="N1303" t="str">
            <v>Production</v>
          </cell>
          <cell r="O1303" t="str">
            <v>No</v>
          </cell>
          <cell r="Q1303" t="str">
            <v>Live</v>
          </cell>
          <cell r="R1303">
            <v>45860.829594907409</v>
          </cell>
          <cell r="S1303" t="str">
            <v>Mina George</v>
          </cell>
          <cell r="T1303">
            <v>45880</v>
          </cell>
          <cell r="U1303" t="str">
            <v>Peter Abdelmalek</v>
          </cell>
          <cell r="V1303">
            <v>45895</v>
          </cell>
          <cell r="W1303">
            <v>45953</v>
          </cell>
          <cell r="Y1303">
            <v>45879</v>
          </cell>
          <cell r="AC1303">
            <v>45950</v>
          </cell>
        </row>
        <row r="1304">
          <cell r="I1304" t="str">
            <v>EDI</v>
          </cell>
          <cell r="L1304">
            <v>4038</v>
          </cell>
          <cell r="N1304" t="str">
            <v>Production</v>
          </cell>
          <cell r="O1304" t="str">
            <v>No</v>
          </cell>
          <cell r="Q1304" t="str">
            <v>Live</v>
          </cell>
          <cell r="R1304">
            <v>45860.829583333332</v>
          </cell>
          <cell r="S1304" t="str">
            <v>Mark Albert</v>
          </cell>
          <cell r="T1304">
            <v>45872</v>
          </cell>
          <cell r="U1304" t="str">
            <v>Peter Abdelmalek</v>
          </cell>
          <cell r="W1304">
            <v>45915</v>
          </cell>
          <cell r="Y1304">
            <v>45868</v>
          </cell>
          <cell r="AC1304">
            <v>45908</v>
          </cell>
        </row>
        <row r="1305">
          <cell r="I1305" t="str">
            <v>EDI</v>
          </cell>
          <cell r="L1305">
            <v>4040</v>
          </cell>
          <cell r="N1305" t="str">
            <v>Production</v>
          </cell>
          <cell r="O1305" t="str">
            <v>Everything Benefits</v>
          </cell>
          <cell r="P1305" t="str">
            <v>Production</v>
          </cell>
          <cell r="Q1305" t="str">
            <v>Live</v>
          </cell>
          <cell r="R1305">
            <v>45860.587847222218</v>
          </cell>
          <cell r="S1305" t="str">
            <v>Alaa Yehia</v>
          </cell>
          <cell r="T1305">
            <v>45867</v>
          </cell>
          <cell r="U1305" t="str">
            <v>Carolina Tanoue</v>
          </cell>
          <cell r="V1305">
            <v>45887</v>
          </cell>
          <cell r="W1305">
            <v>45978</v>
          </cell>
          <cell r="Y1305">
            <v>45866</v>
          </cell>
          <cell r="AC1305">
            <v>45971</v>
          </cell>
        </row>
        <row r="1306">
          <cell r="I1306" t="str">
            <v>EDI</v>
          </cell>
          <cell r="N1306" t="str">
            <v>Requirements Gathering</v>
          </cell>
          <cell r="O1306" t="str">
            <v>No</v>
          </cell>
          <cell r="Q1306" t="str">
            <v>Cancelled</v>
          </cell>
          <cell r="R1306">
            <v>45859.681145833332</v>
          </cell>
          <cell r="S1306" t="str">
            <v>Lourina Edmon</v>
          </cell>
          <cell r="T1306">
            <v>45860</v>
          </cell>
          <cell r="U1306" t="str">
            <v>Ron Anderson</v>
          </cell>
        </row>
        <row r="1307">
          <cell r="I1307" t="str">
            <v>EDI</v>
          </cell>
          <cell r="N1307" t="str">
            <v>Requirements Gathering</v>
          </cell>
          <cell r="O1307" t="str">
            <v>No</v>
          </cell>
          <cell r="Q1307" t="str">
            <v>Cancelled</v>
          </cell>
          <cell r="R1307">
            <v>45858.945150462961</v>
          </cell>
          <cell r="S1307" t="str">
            <v>Karim Tarek</v>
          </cell>
          <cell r="T1307">
            <v>46030</v>
          </cell>
          <cell r="U1307" t="str">
            <v>Carolina Tanoue</v>
          </cell>
        </row>
        <row r="1308">
          <cell r="I1308" t="str">
            <v>EDI</v>
          </cell>
          <cell r="L1308">
            <v>4034</v>
          </cell>
          <cell r="N1308" t="str">
            <v>Production</v>
          </cell>
          <cell r="O1308" t="str">
            <v>No</v>
          </cell>
          <cell r="Q1308" t="str">
            <v>Live</v>
          </cell>
          <cell r="R1308">
            <v>45857.639907407407</v>
          </cell>
          <cell r="S1308" t="str">
            <v>Mina Adel</v>
          </cell>
          <cell r="T1308">
            <v>45867</v>
          </cell>
          <cell r="U1308" t="str">
            <v>Carolina Tanoue</v>
          </cell>
          <cell r="V1308">
            <v>45903</v>
          </cell>
          <cell r="W1308">
            <v>45918</v>
          </cell>
          <cell r="Y1308">
            <v>45867</v>
          </cell>
          <cell r="AC1308">
            <v>45910</v>
          </cell>
        </row>
        <row r="1309">
          <cell r="I1309" t="str">
            <v>EDI</v>
          </cell>
          <cell r="L1309">
            <v>4031</v>
          </cell>
          <cell r="N1309" t="str">
            <v>Production</v>
          </cell>
          <cell r="O1309" t="str">
            <v>No</v>
          </cell>
          <cell r="Q1309" t="str">
            <v>Live</v>
          </cell>
          <cell r="R1309">
            <v>45857.639305555553</v>
          </cell>
          <cell r="S1309" t="str">
            <v>Omnia Abdelaziz</v>
          </cell>
          <cell r="T1309">
            <v>45867</v>
          </cell>
          <cell r="U1309" t="str">
            <v>Carolina Tanoue</v>
          </cell>
          <cell r="V1309">
            <v>45875</v>
          </cell>
          <cell r="W1309">
            <v>45887</v>
          </cell>
          <cell r="Y1309">
            <v>45867</v>
          </cell>
          <cell r="AC1309">
            <v>45876</v>
          </cell>
        </row>
        <row r="1310">
          <cell r="I1310" t="str">
            <v>EDI</v>
          </cell>
          <cell r="L1310">
            <v>4048</v>
          </cell>
          <cell r="N1310" t="str">
            <v>Production</v>
          </cell>
          <cell r="O1310" t="str">
            <v>No</v>
          </cell>
          <cell r="Q1310" t="str">
            <v>Live</v>
          </cell>
          <cell r="R1310">
            <v>45856.7890625</v>
          </cell>
          <cell r="S1310" t="str">
            <v>Marwan Tawfik</v>
          </cell>
          <cell r="T1310">
            <v>45875</v>
          </cell>
          <cell r="U1310" t="str">
            <v>Trish Kalinczok</v>
          </cell>
          <cell r="V1310">
            <v>45916</v>
          </cell>
          <cell r="W1310">
            <v>45964</v>
          </cell>
          <cell r="Y1310">
            <v>45874</v>
          </cell>
          <cell r="AC1310">
            <v>45963</v>
          </cell>
        </row>
        <row r="1311">
          <cell r="I1311" t="str">
            <v>EDI</v>
          </cell>
          <cell r="L1311">
            <v>4030</v>
          </cell>
          <cell r="N1311" t="str">
            <v>Production</v>
          </cell>
          <cell r="O1311" t="str">
            <v>No</v>
          </cell>
          <cell r="Q1311" t="str">
            <v>Live</v>
          </cell>
          <cell r="R1311">
            <v>45856.676365740743</v>
          </cell>
          <cell r="S1311" t="str">
            <v>Karen Ramy</v>
          </cell>
          <cell r="T1311">
            <v>45867</v>
          </cell>
          <cell r="U1311" t="str">
            <v>Trish Kalinczok</v>
          </cell>
          <cell r="V1311">
            <v>45888</v>
          </cell>
          <cell r="W1311">
            <v>45915</v>
          </cell>
          <cell r="Y1311">
            <v>45866</v>
          </cell>
          <cell r="AC1311">
            <v>45911</v>
          </cell>
        </row>
        <row r="1312">
          <cell r="I1312" t="str">
            <v>EDI</v>
          </cell>
          <cell r="L1312">
            <v>4020</v>
          </cell>
          <cell r="N1312" t="str">
            <v>Production</v>
          </cell>
          <cell r="O1312" t="str">
            <v>No</v>
          </cell>
          <cell r="Q1312" t="str">
            <v>Live</v>
          </cell>
          <cell r="R1312">
            <v>45855.679745370369</v>
          </cell>
          <cell r="S1312" t="str">
            <v>Josephine Ossama</v>
          </cell>
          <cell r="T1312">
            <v>45860</v>
          </cell>
          <cell r="U1312" t="str">
            <v>Trish Kalinczok</v>
          </cell>
          <cell r="V1312">
            <v>45874</v>
          </cell>
          <cell r="W1312">
            <v>45901</v>
          </cell>
          <cell r="Y1312">
            <v>45859</v>
          </cell>
          <cell r="AC1312">
            <v>45896</v>
          </cell>
        </row>
        <row r="1313">
          <cell r="I1313" t="str">
            <v>EDI</v>
          </cell>
          <cell r="L1313">
            <v>4036</v>
          </cell>
          <cell r="N1313" t="str">
            <v>Production</v>
          </cell>
          <cell r="O1313" t="str">
            <v>No</v>
          </cell>
          <cell r="Q1313" t="str">
            <v>Live</v>
          </cell>
          <cell r="R1313">
            <v>45854.863611111112</v>
          </cell>
          <cell r="S1313" t="str">
            <v>Andrew Ramy</v>
          </cell>
          <cell r="T1313">
            <v>45867</v>
          </cell>
          <cell r="U1313" t="str">
            <v>Tammy Davies</v>
          </cell>
          <cell r="V1313">
            <v>45869</v>
          </cell>
          <cell r="W1313">
            <v>45936</v>
          </cell>
          <cell r="Y1313">
            <v>45866</v>
          </cell>
          <cell r="AC1313">
            <v>45931</v>
          </cell>
        </row>
        <row r="1314">
          <cell r="I1314" t="str">
            <v>EDI</v>
          </cell>
          <cell r="L1314">
            <v>4023</v>
          </cell>
          <cell r="N1314" t="str">
            <v>Production</v>
          </cell>
          <cell r="O1314" t="str">
            <v>No</v>
          </cell>
          <cell r="Q1314" t="str">
            <v>Live</v>
          </cell>
          <cell r="R1314">
            <v>45853.603472222218</v>
          </cell>
          <cell r="S1314" t="str">
            <v>Mirna Azmy</v>
          </cell>
          <cell r="T1314">
            <v>45859</v>
          </cell>
          <cell r="U1314" t="str">
            <v>Hans De Grouw</v>
          </cell>
          <cell r="V1314">
            <v>45866</v>
          </cell>
          <cell r="W1314">
            <v>45967</v>
          </cell>
          <cell r="Y1314">
            <v>45858</v>
          </cell>
          <cell r="AC1314">
            <v>45966</v>
          </cell>
        </row>
        <row r="1315">
          <cell r="I1315" t="str">
            <v>EDI</v>
          </cell>
          <cell r="L1315">
            <v>3909</v>
          </cell>
          <cell r="N1315" t="str">
            <v>Production</v>
          </cell>
          <cell r="O1315" t="str">
            <v>No</v>
          </cell>
          <cell r="Q1315" t="str">
            <v>Live</v>
          </cell>
          <cell r="R1315">
            <v>45852.723773148151</v>
          </cell>
          <cell r="S1315" t="str">
            <v>Dina Medhat</v>
          </cell>
          <cell r="T1315">
            <v>45854</v>
          </cell>
          <cell r="U1315" t="str">
            <v>Ron Anderson</v>
          </cell>
          <cell r="W1315">
            <v>45908</v>
          </cell>
          <cell r="AC1315">
            <v>46061</v>
          </cell>
        </row>
        <row r="1316">
          <cell r="I1316" t="str">
            <v>EDI</v>
          </cell>
          <cell r="L1316">
            <v>4045</v>
          </cell>
          <cell r="N1316" t="str">
            <v>Testing</v>
          </cell>
          <cell r="O1316" t="str">
            <v>No</v>
          </cell>
          <cell r="Q1316" t="str">
            <v>Cancelled</v>
          </cell>
          <cell r="R1316">
            <v>45849.77171296296</v>
          </cell>
          <cell r="S1316" t="str">
            <v>Nada Ashraf</v>
          </cell>
          <cell r="T1316">
            <v>45875</v>
          </cell>
          <cell r="U1316" t="str">
            <v>Rhettsmey Meak</v>
          </cell>
          <cell r="V1316">
            <v>45915</v>
          </cell>
          <cell r="Y1316">
            <v>45874</v>
          </cell>
        </row>
        <row r="1317">
          <cell r="I1317" t="str">
            <v>EDI</v>
          </cell>
          <cell r="L1317">
            <v>4017</v>
          </cell>
          <cell r="N1317" t="str">
            <v>Production</v>
          </cell>
          <cell r="O1317" t="str">
            <v>No</v>
          </cell>
          <cell r="Q1317" t="str">
            <v>Live</v>
          </cell>
          <cell r="R1317">
            <v>45849.5153125</v>
          </cell>
          <cell r="S1317" t="str">
            <v>Karim Tarek</v>
          </cell>
          <cell r="T1317">
            <v>45931</v>
          </cell>
          <cell r="U1317" t="str">
            <v>Rhettsmey Meak</v>
          </cell>
          <cell r="V1317">
            <v>45859</v>
          </cell>
          <cell r="W1317">
            <v>45995</v>
          </cell>
          <cell r="Y1317">
            <v>45855</v>
          </cell>
          <cell r="AC1317">
            <v>45994</v>
          </cell>
        </row>
        <row r="1318">
          <cell r="I1318" t="str">
            <v>EDI</v>
          </cell>
          <cell r="L1318">
            <v>4022</v>
          </cell>
          <cell r="N1318" t="str">
            <v>Production</v>
          </cell>
          <cell r="O1318" t="str">
            <v>No</v>
          </cell>
          <cell r="Q1318" t="str">
            <v>Live</v>
          </cell>
          <cell r="R1318">
            <v>45847.735451388893</v>
          </cell>
          <cell r="S1318" t="str">
            <v>Alaa Yehia</v>
          </cell>
          <cell r="T1318">
            <v>45859</v>
          </cell>
          <cell r="U1318" t="str">
            <v>Tammy Davies</v>
          </cell>
          <cell r="V1318">
            <v>45908</v>
          </cell>
          <cell r="W1318">
            <v>45944</v>
          </cell>
          <cell r="Y1318">
            <v>45858</v>
          </cell>
          <cell r="AC1318">
            <v>45942</v>
          </cell>
        </row>
        <row r="1319">
          <cell r="I1319" t="str">
            <v>EDI</v>
          </cell>
          <cell r="L1319">
            <v>4028</v>
          </cell>
          <cell r="N1319" t="str">
            <v>Production</v>
          </cell>
          <cell r="O1319" t="str">
            <v>No</v>
          </cell>
          <cell r="Q1319" t="str">
            <v>Cancelled</v>
          </cell>
          <cell r="R1319">
            <v>45847.67396990741</v>
          </cell>
          <cell r="S1319" t="str">
            <v>Karim Tarek</v>
          </cell>
          <cell r="T1319">
            <v>45867</v>
          </cell>
          <cell r="U1319" t="str">
            <v>Tammy Davies</v>
          </cell>
          <cell r="V1319">
            <v>45890</v>
          </cell>
          <cell r="W1319">
            <v>45910</v>
          </cell>
          <cell r="Y1319">
            <v>45866</v>
          </cell>
          <cell r="AC1319">
            <v>45903</v>
          </cell>
        </row>
        <row r="1320">
          <cell r="I1320" t="str">
            <v>EDI</v>
          </cell>
          <cell r="L1320">
            <v>4024</v>
          </cell>
          <cell r="N1320" t="str">
            <v>Production</v>
          </cell>
          <cell r="O1320" t="str">
            <v>No</v>
          </cell>
          <cell r="Q1320" t="str">
            <v>Live</v>
          </cell>
          <cell r="R1320">
            <v>45847.617766203701</v>
          </cell>
          <cell r="S1320" t="str">
            <v>Amr Salah</v>
          </cell>
          <cell r="T1320">
            <v>45859</v>
          </cell>
          <cell r="U1320" t="str">
            <v>Nicole Stevens</v>
          </cell>
          <cell r="W1320">
            <v>45938</v>
          </cell>
          <cell r="Y1320">
            <v>45858</v>
          </cell>
          <cell r="AC1320">
            <v>45938</v>
          </cell>
        </row>
        <row r="1321">
          <cell r="I1321" t="str">
            <v>EDI</v>
          </cell>
          <cell r="L1321">
            <v>4037</v>
          </cell>
          <cell r="N1321" t="str">
            <v>Production</v>
          </cell>
          <cell r="O1321" t="str">
            <v>No</v>
          </cell>
          <cell r="Q1321" t="str">
            <v>Live</v>
          </cell>
          <cell r="R1321">
            <v>45846.890335648153</v>
          </cell>
          <cell r="S1321" t="str">
            <v>Reem Radwan</v>
          </cell>
          <cell r="T1321">
            <v>45867</v>
          </cell>
          <cell r="U1321" t="str">
            <v>Trish Kalinczok</v>
          </cell>
          <cell r="V1321">
            <v>45924</v>
          </cell>
          <cell r="W1321">
            <v>46175</v>
          </cell>
          <cell r="Y1321">
            <v>45866</v>
          </cell>
          <cell r="AC1321">
            <v>46175</v>
          </cell>
        </row>
        <row r="1322">
          <cell r="I1322" t="str">
            <v>EDI</v>
          </cell>
          <cell r="L1322">
            <v>4018</v>
          </cell>
          <cell r="N1322" t="str">
            <v>Production</v>
          </cell>
          <cell r="O1322" t="str">
            <v>No</v>
          </cell>
          <cell r="Q1322" t="str">
            <v>Live</v>
          </cell>
          <cell r="R1322">
            <v>45845.879027777781</v>
          </cell>
          <cell r="S1322" t="str">
            <v>Alaa Yehia</v>
          </cell>
          <cell r="T1322">
            <v>45855</v>
          </cell>
          <cell r="U1322" t="str">
            <v>Nicole Stevens</v>
          </cell>
          <cell r="V1322">
            <v>45860</v>
          </cell>
          <cell r="W1322">
            <v>45993</v>
          </cell>
          <cell r="Y1322">
            <v>45854</v>
          </cell>
          <cell r="AC1322">
            <v>45993</v>
          </cell>
        </row>
        <row r="1323">
          <cell r="I1323" t="str">
            <v>EDI</v>
          </cell>
          <cell r="L1323">
            <v>4053</v>
          </cell>
          <cell r="N1323" t="str">
            <v>Production</v>
          </cell>
          <cell r="O1323" t="str">
            <v>No</v>
          </cell>
          <cell r="Q1323" t="str">
            <v>Live</v>
          </cell>
          <cell r="R1323">
            <v>45845.850590277783</v>
          </cell>
          <cell r="S1323" t="str">
            <v>Amr Salah</v>
          </cell>
          <cell r="T1323">
            <v>45880</v>
          </cell>
          <cell r="U1323" t="str">
            <v>Rhettsmey Meak</v>
          </cell>
          <cell r="V1323">
            <v>45903</v>
          </cell>
          <cell r="W1323">
            <v>25569</v>
          </cell>
          <cell r="Y1323">
            <v>45879</v>
          </cell>
          <cell r="AC1323">
            <v>45938</v>
          </cell>
        </row>
        <row r="1324">
          <cell r="I1324" t="str">
            <v>EDI</v>
          </cell>
          <cell r="L1324">
            <v>4015</v>
          </cell>
          <cell r="N1324" t="str">
            <v>Production</v>
          </cell>
          <cell r="O1324" t="str">
            <v>No</v>
          </cell>
          <cell r="Q1324" t="str">
            <v>Live</v>
          </cell>
          <cell r="R1324">
            <v>45845.848321759258</v>
          </cell>
          <cell r="S1324" t="str">
            <v>Omnia Abdelaziz</v>
          </cell>
          <cell r="T1324">
            <v>45853</v>
          </cell>
          <cell r="U1324" t="str">
            <v>Rhettsmey Meak</v>
          </cell>
          <cell r="V1324">
            <v>45866</v>
          </cell>
          <cell r="W1324">
            <v>46177</v>
          </cell>
          <cell r="Y1324">
            <v>45852</v>
          </cell>
          <cell r="AC1324">
            <v>46177</v>
          </cell>
        </row>
        <row r="1325">
          <cell r="I1325" t="str">
            <v>EDI</v>
          </cell>
          <cell r="L1325">
            <v>4013</v>
          </cell>
          <cell r="N1325" t="str">
            <v>Mapping</v>
          </cell>
          <cell r="O1325" t="str">
            <v>No</v>
          </cell>
          <cell r="Q1325" t="str">
            <v>Cancelled</v>
          </cell>
          <cell r="R1325">
            <v>45845.670868055553</v>
          </cell>
          <cell r="S1325" t="str">
            <v>Josephine Ossama</v>
          </cell>
          <cell r="T1325">
            <v>45853</v>
          </cell>
          <cell r="U1325" t="str">
            <v>Ron Anderson</v>
          </cell>
          <cell r="Y1325">
            <v>45852</v>
          </cell>
        </row>
        <row r="1326">
          <cell r="I1326" t="str">
            <v>EDI</v>
          </cell>
          <cell r="L1326">
            <v>4007</v>
          </cell>
          <cell r="N1326" t="str">
            <v>Production</v>
          </cell>
          <cell r="O1326" t="str">
            <v>No</v>
          </cell>
          <cell r="Q1326" t="str">
            <v>Live</v>
          </cell>
          <cell r="R1326">
            <v>45841.635023148148</v>
          </cell>
          <cell r="S1326" t="str">
            <v>Mark Albert</v>
          </cell>
          <cell r="T1326">
            <v>45846</v>
          </cell>
          <cell r="U1326" t="str">
            <v>Amy Bergstrom</v>
          </cell>
          <cell r="W1326">
            <v>45911</v>
          </cell>
          <cell r="Y1326">
            <v>45844</v>
          </cell>
          <cell r="AC1326">
            <v>45909</v>
          </cell>
        </row>
        <row r="1327">
          <cell r="I1327" t="str">
            <v>EDI</v>
          </cell>
          <cell r="L1327">
            <v>4012</v>
          </cell>
          <cell r="N1327" t="str">
            <v>Production</v>
          </cell>
          <cell r="O1327" t="str">
            <v>No</v>
          </cell>
          <cell r="Q1327" t="str">
            <v>Live</v>
          </cell>
          <cell r="R1327">
            <v>45840.83289351852</v>
          </cell>
          <cell r="S1327" t="str">
            <v>Mark Albert</v>
          </cell>
          <cell r="T1327">
            <v>45851</v>
          </cell>
          <cell r="U1327" t="str">
            <v>Gregory Dubec</v>
          </cell>
          <cell r="V1327">
            <v>45949</v>
          </cell>
          <cell r="W1327">
            <v>45974</v>
          </cell>
          <cell r="Y1327">
            <v>45848</v>
          </cell>
          <cell r="AC1327">
            <v>45970</v>
          </cell>
        </row>
        <row r="1328">
          <cell r="I1328" t="str">
            <v>EDI</v>
          </cell>
          <cell r="L1328">
            <v>4046</v>
          </cell>
          <cell r="N1328" t="str">
            <v>Production</v>
          </cell>
          <cell r="O1328" t="str">
            <v>No</v>
          </cell>
          <cell r="Q1328" t="str">
            <v>Live</v>
          </cell>
          <cell r="R1328">
            <v>45840.805092592593</v>
          </cell>
          <cell r="S1328" t="str">
            <v>Mark Albert</v>
          </cell>
          <cell r="T1328">
            <v>45879</v>
          </cell>
          <cell r="U1328" t="str">
            <v>Rhettsmey Meak</v>
          </cell>
          <cell r="W1328">
            <v>45917</v>
          </cell>
          <cell r="Y1328">
            <v>45876</v>
          </cell>
          <cell r="AC1328">
            <v>45915</v>
          </cell>
        </row>
        <row r="1329">
          <cell r="I1329" t="str">
            <v>EDI</v>
          </cell>
          <cell r="L1329">
            <v>3989</v>
          </cell>
          <cell r="N1329" t="str">
            <v>Production</v>
          </cell>
          <cell r="O1329" t="str">
            <v>No</v>
          </cell>
          <cell r="Q1329" t="str">
            <v>Live</v>
          </cell>
          <cell r="R1329">
            <v>45840.623287037037</v>
          </cell>
          <cell r="S1329" t="str">
            <v>Josephine Ossama</v>
          </cell>
          <cell r="T1329">
            <v>45844</v>
          </cell>
          <cell r="U1329" t="str">
            <v>Jay Lang</v>
          </cell>
          <cell r="V1329">
            <v>45846</v>
          </cell>
          <cell r="W1329">
            <v>45861</v>
          </cell>
          <cell r="AC1329">
            <v>45858</v>
          </cell>
        </row>
        <row r="1330">
          <cell r="I1330" t="str">
            <v>EDI</v>
          </cell>
          <cell r="L1330">
            <v>4014</v>
          </cell>
          <cell r="N1330" t="str">
            <v>Production</v>
          </cell>
          <cell r="O1330" t="str">
            <v>No</v>
          </cell>
          <cell r="Q1330" t="str">
            <v>Cancelled</v>
          </cell>
          <cell r="R1330">
            <v>45839.703275462962</v>
          </cell>
          <cell r="S1330" t="str">
            <v>Mirna Azmy</v>
          </cell>
          <cell r="T1330">
            <v>45853</v>
          </cell>
          <cell r="U1330" t="str">
            <v>Trish Kalinczok</v>
          </cell>
          <cell r="V1330">
            <v>45853</v>
          </cell>
          <cell r="W1330">
            <v>45890</v>
          </cell>
          <cell r="Y1330">
            <v>45852</v>
          </cell>
          <cell r="AC1330">
            <v>45886</v>
          </cell>
        </row>
        <row r="1331">
          <cell r="I1331" t="str">
            <v>EDI</v>
          </cell>
          <cell r="N1331" t="str">
            <v>Resource Assignment</v>
          </cell>
          <cell r="O1331" t="str">
            <v>No</v>
          </cell>
          <cell r="Q1331" t="str">
            <v>Cancelled</v>
          </cell>
          <cell r="R1331">
            <v>45839.70008101852</v>
          </cell>
          <cell r="S1331" t="str">
            <v>Rasha Wadie</v>
          </cell>
          <cell r="T1331">
            <v>45851</v>
          </cell>
          <cell r="U1331" t="str">
            <v>Trish Kalinczok</v>
          </cell>
          <cell r="Y1331">
            <v>45851</v>
          </cell>
        </row>
        <row r="1332">
          <cell r="I1332" t="str">
            <v>EDI</v>
          </cell>
          <cell r="L1332">
            <v>3991</v>
          </cell>
          <cell r="N1332" t="str">
            <v>Production</v>
          </cell>
          <cell r="O1332" t="str">
            <v>No</v>
          </cell>
          <cell r="Q1332" t="str">
            <v>Live</v>
          </cell>
          <cell r="R1332">
            <v>45839.695567129631</v>
          </cell>
          <cell r="S1332" t="str">
            <v>Dina Medhat</v>
          </cell>
          <cell r="T1332">
            <v>45840</v>
          </cell>
          <cell r="U1332" t="str">
            <v>Trish Kalinczok</v>
          </cell>
          <cell r="V1332">
            <v>45847</v>
          </cell>
          <cell r="W1332">
            <v>45868</v>
          </cell>
          <cell r="AC1332">
            <v>45870</v>
          </cell>
        </row>
        <row r="1333">
          <cell r="I1333" t="str">
            <v>EDI</v>
          </cell>
          <cell r="L1333">
            <v>4005</v>
          </cell>
          <cell r="N1333" t="str">
            <v>Production</v>
          </cell>
          <cell r="O1333" t="str">
            <v>No</v>
          </cell>
          <cell r="Q1333" t="str">
            <v>Live</v>
          </cell>
          <cell r="R1333">
            <v>45839.695555555547</v>
          </cell>
          <cell r="S1333" t="str">
            <v>Dina Medhat</v>
          </cell>
          <cell r="T1333">
            <v>45840</v>
          </cell>
          <cell r="U1333" t="str">
            <v>Trish Kalinczok</v>
          </cell>
          <cell r="V1333">
            <v>45852</v>
          </cell>
          <cell r="W1333">
            <v>45908</v>
          </cell>
          <cell r="AC1333">
            <v>45910</v>
          </cell>
        </row>
        <row r="1334">
          <cell r="I1334" t="str">
            <v>EDI</v>
          </cell>
          <cell r="L1334">
            <v>4003</v>
          </cell>
          <cell r="N1334" t="str">
            <v>Production</v>
          </cell>
          <cell r="O1334" t="str">
            <v>No</v>
          </cell>
          <cell r="Q1334" t="str">
            <v>Live</v>
          </cell>
          <cell r="R1334">
            <v>45839.695532407408</v>
          </cell>
          <cell r="S1334" t="str">
            <v>Dina Medhat</v>
          </cell>
          <cell r="T1334">
            <v>45840</v>
          </cell>
          <cell r="U1334" t="str">
            <v>Trish Kalinczok</v>
          </cell>
          <cell r="V1334">
            <v>45867</v>
          </cell>
          <cell r="W1334">
            <v>45936</v>
          </cell>
          <cell r="AC1334">
            <v>45930</v>
          </cell>
        </row>
        <row r="1335">
          <cell r="I1335" t="str">
            <v>EDI</v>
          </cell>
          <cell r="L1335">
            <v>4004</v>
          </cell>
          <cell r="N1335" t="str">
            <v>Production</v>
          </cell>
          <cell r="O1335" t="str">
            <v>No</v>
          </cell>
          <cell r="Q1335" t="str">
            <v>Live</v>
          </cell>
          <cell r="R1335">
            <v>45839.684756944444</v>
          </cell>
          <cell r="S1335" t="str">
            <v>Karen Ramy</v>
          </cell>
          <cell r="T1335">
            <v>45846</v>
          </cell>
          <cell r="U1335" t="str">
            <v>Trish Kalinczok</v>
          </cell>
          <cell r="V1335">
            <v>45854</v>
          </cell>
          <cell r="W1335">
            <v>45866</v>
          </cell>
          <cell r="Y1335">
            <v>45845</v>
          </cell>
          <cell r="AC1335">
            <v>45861</v>
          </cell>
        </row>
        <row r="1336">
          <cell r="I1336" t="str">
            <v>EDI</v>
          </cell>
          <cell r="L1336">
            <v>4002</v>
          </cell>
          <cell r="N1336" t="str">
            <v>Mapping</v>
          </cell>
          <cell r="O1336" t="str">
            <v>No</v>
          </cell>
          <cell r="Q1336" t="str">
            <v>Cancelled</v>
          </cell>
          <cell r="R1336">
            <v>45839.663414351853</v>
          </cell>
          <cell r="S1336" t="str">
            <v>Andrew Ramy</v>
          </cell>
          <cell r="T1336">
            <v>45844</v>
          </cell>
          <cell r="U1336" t="str">
            <v>Trish Kalinczok</v>
          </cell>
          <cell r="Y1336">
            <v>45840</v>
          </cell>
        </row>
        <row r="1337">
          <cell r="I1337" t="str">
            <v>EDI</v>
          </cell>
          <cell r="L1337">
            <v>4009</v>
          </cell>
          <cell r="N1337" t="str">
            <v>Production</v>
          </cell>
          <cell r="O1337" t="str">
            <v>No</v>
          </cell>
          <cell r="Q1337" t="str">
            <v>Live</v>
          </cell>
          <cell r="R1337">
            <v>45839.660011574073</v>
          </cell>
          <cell r="S1337" t="str">
            <v>Noha Moustafa</v>
          </cell>
          <cell r="T1337">
            <v>45846</v>
          </cell>
          <cell r="U1337" t="str">
            <v>Amy Bergstrom</v>
          </cell>
          <cell r="V1337">
            <v>45866</v>
          </cell>
          <cell r="W1337">
            <v>45915</v>
          </cell>
          <cell r="Y1337">
            <v>45845</v>
          </cell>
          <cell r="AC1337">
            <v>45910</v>
          </cell>
        </row>
        <row r="1338">
          <cell r="I1338" t="str">
            <v>EDI</v>
          </cell>
          <cell r="L1338">
            <v>3865</v>
          </cell>
          <cell r="N1338" t="str">
            <v>Production</v>
          </cell>
          <cell r="O1338" t="str">
            <v>No</v>
          </cell>
          <cell r="Q1338" t="str">
            <v>Live</v>
          </cell>
          <cell r="R1338">
            <v>45839.6565162037</v>
          </cell>
          <cell r="S1338" t="str">
            <v>Dina Medhat</v>
          </cell>
          <cell r="T1338">
            <v>45840</v>
          </cell>
          <cell r="U1338" t="str">
            <v>Tyler  Raposa</v>
          </cell>
          <cell r="V1338">
            <v>45809</v>
          </cell>
          <cell r="W1338">
            <v>45919</v>
          </cell>
          <cell r="AC1338">
            <v>45915</v>
          </cell>
        </row>
        <row r="1339">
          <cell r="I1339" t="str">
            <v>EDI</v>
          </cell>
          <cell r="L1339">
            <v>3795</v>
          </cell>
          <cell r="N1339" t="str">
            <v>Production</v>
          </cell>
          <cell r="O1339" t="str">
            <v>No</v>
          </cell>
          <cell r="Q1339" t="str">
            <v>Live</v>
          </cell>
          <cell r="R1339">
            <v>45839.6565162037</v>
          </cell>
          <cell r="S1339" t="str">
            <v>Dina Medhat</v>
          </cell>
          <cell r="T1339">
            <v>45840</v>
          </cell>
          <cell r="U1339" t="str">
            <v>Tyler  Raposa</v>
          </cell>
          <cell r="V1339">
            <v>45770</v>
          </cell>
          <cell r="W1339">
            <v>45924</v>
          </cell>
          <cell r="AC1339">
            <v>45911</v>
          </cell>
        </row>
        <row r="1340">
          <cell r="I1340" t="str">
            <v>EDI</v>
          </cell>
          <cell r="L1340">
            <v>4029</v>
          </cell>
          <cell r="N1340" t="str">
            <v>Production</v>
          </cell>
          <cell r="O1340" t="str">
            <v>No</v>
          </cell>
          <cell r="Q1340" t="str">
            <v>Live</v>
          </cell>
          <cell r="R1340">
            <v>45838.780810185177</v>
          </cell>
          <cell r="S1340" t="str">
            <v>Karen Ramy</v>
          </cell>
          <cell r="T1340">
            <v>45867</v>
          </cell>
          <cell r="U1340" t="str">
            <v>Brooke Marshall</v>
          </cell>
          <cell r="V1340">
            <v>45882</v>
          </cell>
          <cell r="W1340">
            <v>45957</v>
          </cell>
          <cell r="Y1340">
            <v>45866</v>
          </cell>
          <cell r="AC1340">
            <v>45946</v>
          </cell>
        </row>
        <row r="1341">
          <cell r="I1341" t="str">
            <v>EDI</v>
          </cell>
          <cell r="L1341">
            <v>4057</v>
          </cell>
          <cell r="N1341" t="str">
            <v>Production</v>
          </cell>
          <cell r="O1341" t="str">
            <v>No</v>
          </cell>
          <cell r="Q1341" t="str">
            <v>Cancelled</v>
          </cell>
          <cell r="R1341">
            <v>45835.755752314813</v>
          </cell>
          <cell r="S1341" t="str">
            <v>Andrew Ramy</v>
          </cell>
          <cell r="T1341">
            <v>45879</v>
          </cell>
          <cell r="U1341" t="str">
            <v>Gregory Dubec</v>
          </cell>
          <cell r="V1341">
            <v>45888</v>
          </cell>
          <cell r="W1341">
            <v>45911</v>
          </cell>
          <cell r="Y1341">
            <v>45876</v>
          </cell>
          <cell r="AC1341">
            <v>45909</v>
          </cell>
        </row>
        <row r="1342">
          <cell r="I1342" t="str">
            <v>EDI</v>
          </cell>
          <cell r="L1342">
            <v>4016</v>
          </cell>
          <cell r="N1342" t="str">
            <v>Production</v>
          </cell>
          <cell r="O1342" t="str">
            <v>No</v>
          </cell>
          <cell r="Q1342" t="str">
            <v>Cancelled</v>
          </cell>
          <cell r="R1342">
            <v>45835.622129629628</v>
          </cell>
          <cell r="S1342" t="str">
            <v>Aya Fathy</v>
          </cell>
          <cell r="T1342">
            <v>45853</v>
          </cell>
          <cell r="U1342" t="str">
            <v>Rhettsmey Meak</v>
          </cell>
          <cell r="V1342">
            <v>45866</v>
          </cell>
          <cell r="W1342">
            <v>45875</v>
          </cell>
          <cell r="Y1342">
            <v>45852</v>
          </cell>
          <cell r="AC1342">
            <v>45872</v>
          </cell>
        </row>
        <row r="1343">
          <cell r="I1343" t="str">
            <v>EDI</v>
          </cell>
          <cell r="L1343">
            <v>3999</v>
          </cell>
          <cell r="N1343" t="str">
            <v>Production</v>
          </cell>
          <cell r="O1343" t="str">
            <v>No</v>
          </cell>
          <cell r="Q1343" t="str">
            <v>Live</v>
          </cell>
          <cell r="R1343">
            <v>45835.595150462963</v>
          </cell>
          <cell r="S1343" t="str">
            <v>Mina George</v>
          </cell>
          <cell r="T1343">
            <v>45844</v>
          </cell>
          <cell r="U1343" t="str">
            <v>Carolina Tanoue</v>
          </cell>
          <cell r="V1343">
            <v>45876</v>
          </cell>
          <cell r="W1343">
            <v>25569</v>
          </cell>
          <cell r="Y1343">
            <v>45840</v>
          </cell>
          <cell r="AC1343">
            <v>45909</v>
          </cell>
        </row>
        <row r="1344">
          <cell r="I1344" t="str">
            <v>EDI</v>
          </cell>
          <cell r="L1344">
            <v>3994</v>
          </cell>
          <cell r="N1344" t="str">
            <v>Production</v>
          </cell>
          <cell r="O1344" t="str">
            <v>No</v>
          </cell>
          <cell r="Q1344" t="str">
            <v>Live</v>
          </cell>
          <cell r="R1344">
            <v>45835.593622685177</v>
          </cell>
          <cell r="S1344" t="str">
            <v>Karen Ramy</v>
          </cell>
          <cell r="T1344">
            <v>45844</v>
          </cell>
          <cell r="U1344" t="str">
            <v>Carolina Tanoue</v>
          </cell>
          <cell r="V1344">
            <v>45853</v>
          </cell>
          <cell r="W1344">
            <v>45873</v>
          </cell>
          <cell r="Y1344">
            <v>45840</v>
          </cell>
          <cell r="AC1344">
            <v>45866</v>
          </cell>
        </row>
        <row r="1345">
          <cell r="I1345" t="str">
            <v>EDI</v>
          </cell>
          <cell r="L1345">
            <v>3991</v>
          </cell>
          <cell r="N1345" t="str">
            <v>Production</v>
          </cell>
          <cell r="O1345" t="str">
            <v>No</v>
          </cell>
          <cell r="Q1345" t="str">
            <v>Live</v>
          </cell>
          <cell r="R1345">
            <v>45834.811111111107</v>
          </cell>
          <cell r="S1345" t="str">
            <v>Mina Adel</v>
          </cell>
          <cell r="T1345">
            <v>45840</v>
          </cell>
          <cell r="U1345" t="str">
            <v>Trish Kalinczok</v>
          </cell>
          <cell r="V1345">
            <v>45847</v>
          </cell>
          <cell r="W1345">
            <v>45868</v>
          </cell>
          <cell r="Y1345">
            <v>45839</v>
          </cell>
          <cell r="AC1345">
            <v>45861</v>
          </cell>
        </row>
        <row r="1346">
          <cell r="I1346" t="str">
            <v>EDI</v>
          </cell>
          <cell r="L1346">
            <v>4003</v>
          </cell>
          <cell r="N1346" t="str">
            <v>Production</v>
          </cell>
          <cell r="O1346" t="str">
            <v>No</v>
          </cell>
          <cell r="Q1346" t="str">
            <v>Live</v>
          </cell>
          <cell r="R1346">
            <v>45834.811099537037</v>
          </cell>
          <cell r="S1346" t="str">
            <v>Reem Radwan</v>
          </cell>
          <cell r="T1346">
            <v>45846</v>
          </cell>
          <cell r="U1346" t="str">
            <v>Trish Kalinczok</v>
          </cell>
          <cell r="V1346">
            <v>45867</v>
          </cell>
          <cell r="W1346">
            <v>45936</v>
          </cell>
          <cell r="Y1346">
            <v>45844</v>
          </cell>
          <cell r="AC1346">
            <v>45929</v>
          </cell>
        </row>
        <row r="1347">
          <cell r="I1347" t="str">
            <v>EDI</v>
          </cell>
          <cell r="L1347">
            <v>4005</v>
          </cell>
          <cell r="N1347" t="str">
            <v>Production</v>
          </cell>
          <cell r="O1347" t="str">
            <v>No</v>
          </cell>
          <cell r="Q1347" t="str">
            <v>Live</v>
          </cell>
          <cell r="R1347">
            <v>45834.811099537037</v>
          </cell>
          <cell r="S1347" t="str">
            <v>Aya Fathy</v>
          </cell>
          <cell r="T1347">
            <v>45844</v>
          </cell>
          <cell r="U1347" t="str">
            <v>Trish Kalinczok</v>
          </cell>
          <cell r="V1347">
            <v>45852</v>
          </cell>
          <cell r="W1347">
            <v>45908</v>
          </cell>
          <cell r="Y1347">
            <v>45839</v>
          </cell>
          <cell r="AC1347">
            <v>45908</v>
          </cell>
        </row>
        <row r="1348">
          <cell r="I1348" t="str">
            <v>EDI</v>
          </cell>
          <cell r="L1348">
            <v>3998</v>
          </cell>
          <cell r="N1348" t="str">
            <v>Production</v>
          </cell>
          <cell r="O1348" t="str">
            <v>No</v>
          </cell>
          <cell r="Q1348" t="str">
            <v>Live</v>
          </cell>
          <cell r="R1348">
            <v>45834.748865740738</v>
          </cell>
          <cell r="S1348" t="str">
            <v>Karim Tarek</v>
          </cell>
          <cell r="T1348">
            <v>45931</v>
          </cell>
          <cell r="U1348" t="str">
            <v>Rhettsmey Meak</v>
          </cell>
          <cell r="V1348">
            <v>45855</v>
          </cell>
          <cell r="W1348">
            <v>45995</v>
          </cell>
          <cell r="Y1348">
            <v>45840</v>
          </cell>
          <cell r="AC1348">
            <v>45994</v>
          </cell>
        </row>
        <row r="1349">
          <cell r="I1349" t="str">
            <v>EDI</v>
          </cell>
          <cell r="N1349" t="str">
            <v>Requirements Gathering</v>
          </cell>
          <cell r="O1349" t="str">
            <v>No</v>
          </cell>
          <cell r="Q1349" t="str">
            <v>Cancelled</v>
          </cell>
          <cell r="R1349">
            <v>45834.681620370371</v>
          </cell>
          <cell r="S1349" t="str">
            <v>Lourina Edmon</v>
          </cell>
          <cell r="T1349">
            <v>45838</v>
          </cell>
          <cell r="U1349" t="str">
            <v>Trish Kalinczok</v>
          </cell>
        </row>
        <row r="1350">
          <cell r="I1350" t="str">
            <v>EDI</v>
          </cell>
          <cell r="L1350">
            <v>3985</v>
          </cell>
          <cell r="N1350" t="str">
            <v>Production</v>
          </cell>
          <cell r="O1350" t="str">
            <v>Everything Benefits</v>
          </cell>
          <cell r="P1350" t="str">
            <v>Production</v>
          </cell>
          <cell r="Q1350" t="str">
            <v>Live</v>
          </cell>
          <cell r="R1350">
            <v>45833.951122685183</v>
          </cell>
          <cell r="S1350" t="str">
            <v>Mina Kamil</v>
          </cell>
          <cell r="T1350">
            <v>45840</v>
          </cell>
          <cell r="U1350" t="str">
            <v>Carolina Tanoue</v>
          </cell>
          <cell r="W1350">
            <v>45944</v>
          </cell>
          <cell r="Y1350">
            <v>45839</v>
          </cell>
          <cell r="AC1350">
            <v>45932</v>
          </cell>
        </row>
        <row r="1351">
          <cell r="I1351" t="str">
            <v>EDI</v>
          </cell>
          <cell r="L1351">
            <v>4064</v>
          </cell>
          <cell r="N1351" t="str">
            <v>Production</v>
          </cell>
          <cell r="O1351" t="str">
            <v>No</v>
          </cell>
          <cell r="Q1351" t="str">
            <v>Live</v>
          </cell>
          <cell r="R1351">
            <v>45833.642407407409</v>
          </cell>
          <cell r="S1351" t="str">
            <v>Mirna Azmy</v>
          </cell>
          <cell r="T1351">
            <v>45889</v>
          </cell>
          <cell r="U1351" t="str">
            <v>Rhettsmey Meak</v>
          </cell>
          <cell r="V1351">
            <v>45890</v>
          </cell>
          <cell r="W1351">
            <v>45975</v>
          </cell>
          <cell r="Y1351">
            <v>45888</v>
          </cell>
          <cell r="AC1351">
            <v>45974</v>
          </cell>
        </row>
        <row r="1352">
          <cell r="I1352" t="str">
            <v>EDI</v>
          </cell>
          <cell r="L1352">
            <v>4006</v>
          </cell>
          <cell r="N1352" t="str">
            <v>Production</v>
          </cell>
          <cell r="O1352" t="str">
            <v>Everything Benefits</v>
          </cell>
          <cell r="P1352" t="str">
            <v>Production</v>
          </cell>
          <cell r="Q1352" t="str">
            <v>Live</v>
          </cell>
          <cell r="R1352">
            <v>45832.644363425927</v>
          </cell>
          <cell r="S1352" t="str">
            <v>Alaa Yehia</v>
          </cell>
          <cell r="T1352">
            <v>45839</v>
          </cell>
          <cell r="U1352" t="str">
            <v>Nicole Stevens</v>
          </cell>
          <cell r="V1352">
            <v>45855</v>
          </cell>
          <cell r="W1352">
            <v>45917</v>
          </cell>
          <cell r="Y1352">
            <v>45839</v>
          </cell>
          <cell r="AC1352">
            <v>45916</v>
          </cell>
        </row>
        <row r="1353">
          <cell r="I1353" t="str">
            <v>EDI</v>
          </cell>
          <cell r="L1353">
            <v>3986</v>
          </cell>
          <cell r="N1353" t="str">
            <v>Production</v>
          </cell>
          <cell r="O1353" t="str">
            <v>No</v>
          </cell>
          <cell r="Q1353" t="str">
            <v>Live</v>
          </cell>
          <cell r="R1353">
            <v>45832.581273148149</v>
          </cell>
          <cell r="S1353" t="str">
            <v>Mark Albert</v>
          </cell>
          <cell r="T1353">
            <v>45840</v>
          </cell>
          <cell r="U1353" t="str">
            <v>Joel Costanzo</v>
          </cell>
          <cell r="V1353">
            <v>25569</v>
          </cell>
          <cell r="W1353">
            <v>45884</v>
          </cell>
          <cell r="Y1353">
            <v>45839</v>
          </cell>
          <cell r="AC1353">
            <v>45879</v>
          </cell>
        </row>
        <row r="1354">
          <cell r="I1354" t="str">
            <v>EDI</v>
          </cell>
          <cell r="L1354">
            <v>4021</v>
          </cell>
          <cell r="N1354" t="str">
            <v>Production</v>
          </cell>
          <cell r="O1354" t="str">
            <v>No</v>
          </cell>
          <cell r="Q1354" t="str">
            <v>Cancelled</v>
          </cell>
          <cell r="R1354">
            <v>45832.567835648151</v>
          </cell>
          <cell r="S1354" t="str">
            <v>Andrew Ramy</v>
          </cell>
          <cell r="T1354">
            <v>45859</v>
          </cell>
          <cell r="U1354" t="str">
            <v>Gregory Dubec</v>
          </cell>
          <cell r="V1354">
            <v>45898</v>
          </cell>
          <cell r="W1354">
            <v>45974</v>
          </cell>
          <cell r="Y1354">
            <v>45858</v>
          </cell>
          <cell r="AC1354">
            <v>45974</v>
          </cell>
        </row>
        <row r="1355">
          <cell r="I1355" t="str">
            <v>EDI</v>
          </cell>
          <cell r="L1355">
            <v>3976</v>
          </cell>
          <cell r="N1355" t="str">
            <v>Production</v>
          </cell>
          <cell r="O1355" t="str">
            <v>No</v>
          </cell>
          <cell r="Q1355" t="str">
            <v>Cancelled</v>
          </cell>
          <cell r="R1355">
            <v>45831.723379629628</v>
          </cell>
          <cell r="S1355" t="str">
            <v>Mark Albert</v>
          </cell>
          <cell r="T1355">
            <v>45833</v>
          </cell>
          <cell r="U1355" t="str">
            <v>Amy Bergstrom</v>
          </cell>
          <cell r="V1355">
            <v>45839</v>
          </cell>
          <cell r="W1355">
            <v>45867</v>
          </cell>
          <cell r="Y1355">
            <v>45832</v>
          </cell>
          <cell r="AC1355">
            <v>45851</v>
          </cell>
        </row>
        <row r="1356">
          <cell r="I1356" t="str">
            <v>EDI</v>
          </cell>
          <cell r="L1356">
            <v>3980</v>
          </cell>
          <cell r="N1356" t="str">
            <v>Production</v>
          </cell>
          <cell r="O1356" t="str">
            <v>No</v>
          </cell>
          <cell r="Q1356" t="str">
            <v>Live</v>
          </cell>
          <cell r="R1356">
            <v>45826.863321759258</v>
          </cell>
          <cell r="S1356" t="str">
            <v>Josephine Ossama</v>
          </cell>
          <cell r="T1356">
            <v>45838</v>
          </cell>
          <cell r="U1356" t="str">
            <v>Tammy Davies</v>
          </cell>
          <cell r="V1356">
            <v>45860</v>
          </cell>
          <cell r="W1356">
            <v>45943</v>
          </cell>
          <cell r="Y1356">
            <v>45837</v>
          </cell>
          <cell r="AC1356">
            <v>45937</v>
          </cell>
        </row>
        <row r="1357">
          <cell r="I1357" t="str">
            <v>EDI</v>
          </cell>
          <cell r="L1357">
            <v>3995</v>
          </cell>
          <cell r="N1357" t="str">
            <v>Production</v>
          </cell>
          <cell r="O1357" t="str">
            <v>No</v>
          </cell>
          <cell r="Q1357" t="str">
            <v>Live</v>
          </cell>
          <cell r="R1357">
            <v>45826.603680555563</v>
          </cell>
          <cell r="S1357" t="str">
            <v>Omnia Abdelaziz</v>
          </cell>
          <cell r="T1357">
            <v>45839</v>
          </cell>
          <cell r="U1357" t="str">
            <v>Hans De Grouw</v>
          </cell>
          <cell r="V1357">
            <v>45861</v>
          </cell>
          <cell r="W1357">
            <v>45867</v>
          </cell>
          <cell r="Y1357">
            <v>45839</v>
          </cell>
          <cell r="AC1357">
            <v>45861</v>
          </cell>
        </row>
        <row r="1358">
          <cell r="I1358" t="str">
            <v>EDI</v>
          </cell>
          <cell r="L1358">
            <v>3987</v>
          </cell>
          <cell r="N1358" t="str">
            <v>Testing</v>
          </cell>
          <cell r="O1358" t="str">
            <v>No</v>
          </cell>
          <cell r="Q1358" t="str">
            <v>Cancelled</v>
          </cell>
          <cell r="R1358">
            <v>45825.893310185187</v>
          </cell>
          <cell r="S1358" t="str">
            <v>Josephine Ossama</v>
          </cell>
          <cell r="T1358">
            <v>45840</v>
          </cell>
          <cell r="U1358" t="str">
            <v>Robbie Schappell</v>
          </cell>
          <cell r="V1358">
            <v>45846</v>
          </cell>
          <cell r="Y1358">
            <v>45839</v>
          </cell>
        </row>
        <row r="1359">
          <cell r="I1359" t="str">
            <v>EDI</v>
          </cell>
          <cell r="L1359">
            <v>4019</v>
          </cell>
          <cell r="N1359" t="str">
            <v>Testing</v>
          </cell>
          <cell r="O1359" t="str">
            <v>No</v>
          </cell>
          <cell r="Q1359" t="str">
            <v>Cancelled</v>
          </cell>
          <cell r="R1359">
            <v>45825.893310185187</v>
          </cell>
          <cell r="S1359" t="str">
            <v>Zeyad Khaled</v>
          </cell>
          <cell r="T1359">
            <v>45859</v>
          </cell>
          <cell r="U1359" t="str">
            <v>Robbie Schappell</v>
          </cell>
          <cell r="V1359">
            <v>45888</v>
          </cell>
          <cell r="Y1359">
            <v>45858</v>
          </cell>
        </row>
        <row r="1360">
          <cell r="I1360" t="str">
            <v>EDI</v>
          </cell>
          <cell r="L1360">
            <v>3981</v>
          </cell>
          <cell r="N1360" t="str">
            <v>Production</v>
          </cell>
          <cell r="O1360" t="str">
            <v>No</v>
          </cell>
          <cell r="Q1360" t="str">
            <v>Live</v>
          </cell>
          <cell r="R1360">
            <v>45825.621631944443</v>
          </cell>
          <cell r="S1360" t="str">
            <v>Mark Albert</v>
          </cell>
          <cell r="T1360">
            <v>45838</v>
          </cell>
          <cell r="U1360" t="str">
            <v>Gregory Dubec</v>
          </cell>
          <cell r="V1360">
            <v>46113</v>
          </cell>
          <cell r="W1360">
            <v>45868</v>
          </cell>
          <cell r="Y1360">
            <v>45837</v>
          </cell>
          <cell r="AC1360">
            <v>45867</v>
          </cell>
        </row>
        <row r="1361">
          <cell r="I1361" t="str">
            <v>EDI</v>
          </cell>
          <cell r="L1361">
            <v>4001</v>
          </cell>
          <cell r="N1361" t="str">
            <v>Production</v>
          </cell>
          <cell r="O1361" t="str">
            <v>No</v>
          </cell>
          <cell r="Q1361" t="str">
            <v>Live</v>
          </cell>
          <cell r="R1361">
            <v>45825.621249999997</v>
          </cell>
          <cell r="S1361" t="str">
            <v>Amr Salah</v>
          </cell>
          <cell r="T1361">
            <v>45832</v>
          </cell>
          <cell r="U1361" t="str">
            <v>Jay Lang</v>
          </cell>
          <cell r="V1361">
            <v>45852</v>
          </cell>
          <cell r="W1361">
            <v>45887</v>
          </cell>
          <cell r="Y1361">
            <v>45831</v>
          </cell>
          <cell r="AC1361">
            <v>45888</v>
          </cell>
        </row>
        <row r="1362">
          <cell r="I1362" t="str">
            <v>EDI</v>
          </cell>
          <cell r="L1362">
            <v>3978</v>
          </cell>
          <cell r="N1362" t="str">
            <v>Production</v>
          </cell>
          <cell r="O1362" t="str">
            <v>No</v>
          </cell>
          <cell r="Q1362" t="str">
            <v>Live</v>
          </cell>
          <cell r="R1362">
            <v>45825.621249999997</v>
          </cell>
          <cell r="S1362" t="str">
            <v>Andrew Ramy</v>
          </cell>
          <cell r="T1362">
            <v>45833</v>
          </cell>
          <cell r="U1362" t="str">
            <v>Jay Lang</v>
          </cell>
          <cell r="V1362">
            <v>45898</v>
          </cell>
          <cell r="W1362">
            <v>46129</v>
          </cell>
          <cell r="Y1362">
            <v>45832</v>
          </cell>
          <cell r="AC1362">
            <v>46128</v>
          </cell>
        </row>
        <row r="1363">
          <cell r="I1363" t="str">
            <v>EDI</v>
          </cell>
          <cell r="L1363">
            <v>3975</v>
          </cell>
          <cell r="N1363" t="str">
            <v>Production</v>
          </cell>
          <cell r="O1363" t="str">
            <v>No</v>
          </cell>
          <cell r="Q1363" t="str">
            <v>Live</v>
          </cell>
          <cell r="R1363">
            <v>45825.621249999997</v>
          </cell>
          <cell r="S1363" t="str">
            <v>Josephine Ossama</v>
          </cell>
          <cell r="T1363">
            <v>45833</v>
          </cell>
          <cell r="U1363" t="str">
            <v>Jay Lang</v>
          </cell>
          <cell r="V1363">
            <v>45846</v>
          </cell>
          <cell r="W1363">
            <v>45861</v>
          </cell>
          <cell r="Y1363">
            <v>45833</v>
          </cell>
          <cell r="AC1363">
            <v>45858</v>
          </cell>
        </row>
        <row r="1364">
          <cell r="I1364" t="str">
            <v>EDI</v>
          </cell>
          <cell r="L1364">
            <v>3983</v>
          </cell>
          <cell r="N1364" t="str">
            <v>Production</v>
          </cell>
          <cell r="O1364" t="str">
            <v>No</v>
          </cell>
          <cell r="Q1364" t="str">
            <v>Live</v>
          </cell>
          <cell r="R1364">
            <v>45825.621249999997</v>
          </cell>
          <cell r="S1364" t="str">
            <v>Mina Adel</v>
          </cell>
          <cell r="T1364">
            <v>45839</v>
          </cell>
          <cell r="U1364" t="str">
            <v>Jay Lang</v>
          </cell>
          <cell r="V1364">
            <v>25569</v>
          </cell>
          <cell r="W1364">
            <v>45862</v>
          </cell>
          <cell r="Y1364">
            <v>45839</v>
          </cell>
          <cell r="AC1364">
            <v>45858</v>
          </cell>
        </row>
        <row r="1365">
          <cell r="I1365" t="str">
            <v>EDI</v>
          </cell>
          <cell r="L1365">
            <v>4000</v>
          </cell>
          <cell r="N1365" t="str">
            <v>Production</v>
          </cell>
          <cell r="O1365" t="str">
            <v>No</v>
          </cell>
          <cell r="Q1365" t="str">
            <v>Live</v>
          </cell>
          <cell r="R1365">
            <v>45824.850034722222</v>
          </cell>
          <cell r="S1365" t="str">
            <v>Karim Tarek</v>
          </cell>
          <cell r="T1365">
            <v>45844</v>
          </cell>
          <cell r="U1365" t="str">
            <v>Robbie Schappell</v>
          </cell>
          <cell r="V1365">
            <v>45858</v>
          </cell>
          <cell r="W1365">
            <v>45873</v>
          </cell>
          <cell r="Y1365">
            <v>45840</v>
          </cell>
          <cell r="AC1365">
            <v>45868</v>
          </cell>
        </row>
        <row r="1366">
          <cell r="I1366" t="str">
            <v>EDI</v>
          </cell>
          <cell r="L1366">
            <v>4171</v>
          </cell>
          <cell r="N1366" t="str">
            <v>Production</v>
          </cell>
          <cell r="O1366" t="str">
            <v>No</v>
          </cell>
          <cell r="Q1366" t="str">
            <v>Live</v>
          </cell>
          <cell r="R1366">
            <v>45821.592175925929</v>
          </cell>
          <cell r="S1366" t="str">
            <v>Mark Albert</v>
          </cell>
          <cell r="T1366">
            <v>45946</v>
          </cell>
          <cell r="U1366" t="str">
            <v>Gregory Dubec</v>
          </cell>
          <cell r="W1366">
            <v>45981</v>
          </cell>
          <cell r="Y1366">
            <v>45945</v>
          </cell>
          <cell r="AC1366">
            <v>45974</v>
          </cell>
        </row>
        <row r="1367">
          <cell r="I1367" t="str">
            <v>EDI</v>
          </cell>
          <cell r="L1367">
            <v>3984</v>
          </cell>
          <cell r="N1367" t="str">
            <v>Production</v>
          </cell>
          <cell r="O1367" t="str">
            <v>No</v>
          </cell>
          <cell r="Q1367" t="str">
            <v>Live</v>
          </cell>
          <cell r="R1367">
            <v>45820.854166666657</v>
          </cell>
          <cell r="S1367" t="str">
            <v>Marwan Tawfik</v>
          </cell>
          <cell r="T1367">
            <v>45839</v>
          </cell>
          <cell r="U1367" t="str">
            <v>Gregory Dubec</v>
          </cell>
          <cell r="V1367">
            <v>45880</v>
          </cell>
          <cell r="W1367">
            <v>25569</v>
          </cell>
          <cell r="Y1367">
            <v>45839</v>
          </cell>
          <cell r="AC1367">
            <v>45915</v>
          </cell>
        </row>
        <row r="1368">
          <cell r="I1368" t="str">
            <v>EDI</v>
          </cell>
          <cell r="L1368">
            <v>3969</v>
          </cell>
          <cell r="N1368" t="str">
            <v>Production</v>
          </cell>
          <cell r="O1368" t="str">
            <v>No</v>
          </cell>
          <cell r="Q1368" t="str">
            <v>Live</v>
          </cell>
          <cell r="R1368">
            <v>45820.846412037034</v>
          </cell>
          <cell r="S1368" t="str">
            <v>Omnia Abdelaziz</v>
          </cell>
          <cell r="T1368">
            <v>45831</v>
          </cell>
          <cell r="U1368" t="str">
            <v>Gregory Dubec</v>
          </cell>
          <cell r="V1368">
            <v>45840</v>
          </cell>
          <cell r="W1368">
            <v>45855</v>
          </cell>
          <cell r="Y1368">
            <v>45830</v>
          </cell>
          <cell r="AC1368">
            <v>45848</v>
          </cell>
        </row>
        <row r="1369">
          <cell r="I1369" t="str">
            <v>EDI</v>
          </cell>
          <cell r="L1369">
            <v>3990</v>
          </cell>
          <cell r="N1369" t="str">
            <v>Production</v>
          </cell>
          <cell r="O1369" t="str">
            <v>No</v>
          </cell>
          <cell r="Q1369" t="str">
            <v>Cancelled</v>
          </cell>
          <cell r="R1369">
            <v>45819.914953703701</v>
          </cell>
          <cell r="S1369" t="str">
            <v>Reem Radwan</v>
          </cell>
          <cell r="T1369">
            <v>45844</v>
          </cell>
          <cell r="U1369" t="str">
            <v>Gregory Dubec</v>
          </cell>
          <cell r="V1369">
            <v>45861</v>
          </cell>
          <cell r="W1369">
            <v>45924</v>
          </cell>
          <cell r="Y1369">
            <v>45840</v>
          </cell>
          <cell r="AC1369">
            <v>45922</v>
          </cell>
        </row>
        <row r="1370">
          <cell r="I1370" t="str">
            <v>EDI</v>
          </cell>
          <cell r="L1370">
            <v>3962</v>
          </cell>
          <cell r="N1370" t="str">
            <v>Production</v>
          </cell>
          <cell r="O1370" t="str">
            <v>No</v>
          </cell>
          <cell r="Q1370" t="str">
            <v>Live</v>
          </cell>
          <cell r="R1370">
            <v>45819.690486111111</v>
          </cell>
          <cell r="S1370" t="str">
            <v>Marwan Tawfik</v>
          </cell>
          <cell r="T1370">
            <v>45827</v>
          </cell>
          <cell r="U1370" t="str">
            <v>Alex Stathopoulos</v>
          </cell>
          <cell r="V1370">
            <v>45873</v>
          </cell>
          <cell r="W1370">
            <v>45896</v>
          </cell>
          <cell r="Y1370">
            <v>45826</v>
          </cell>
          <cell r="AC1370">
            <v>45893</v>
          </cell>
        </row>
        <row r="1371">
          <cell r="I1371" t="str">
            <v>EDI</v>
          </cell>
          <cell r="L1371">
            <v>3971</v>
          </cell>
          <cell r="N1371" t="str">
            <v>Production</v>
          </cell>
          <cell r="O1371" t="str">
            <v>No</v>
          </cell>
          <cell r="Q1371" t="str">
            <v>Live</v>
          </cell>
          <cell r="R1371">
            <v>45818.896898148138</v>
          </cell>
          <cell r="S1371" t="str">
            <v>Karen Ramy</v>
          </cell>
          <cell r="T1371">
            <v>45831</v>
          </cell>
          <cell r="U1371" t="str">
            <v>Trish Kalinczok</v>
          </cell>
          <cell r="V1371">
            <v>45859</v>
          </cell>
          <cell r="W1371">
            <v>45866</v>
          </cell>
          <cell r="Y1371">
            <v>45827</v>
          </cell>
          <cell r="AC1371">
            <v>45865</v>
          </cell>
        </row>
        <row r="1372">
          <cell r="I1372" t="str">
            <v>EDI</v>
          </cell>
          <cell r="L1372">
            <v>4051</v>
          </cell>
          <cell r="N1372" t="str">
            <v>Mapping</v>
          </cell>
          <cell r="O1372" t="str">
            <v>No</v>
          </cell>
          <cell r="Q1372" t="str">
            <v>Cancelled</v>
          </cell>
          <cell r="R1372">
            <v>45818.767650462964</v>
          </cell>
          <cell r="S1372" t="str">
            <v>Mina Adel</v>
          </cell>
          <cell r="T1372">
            <v>45882</v>
          </cell>
          <cell r="U1372" t="str">
            <v>Gregory Dubec</v>
          </cell>
          <cell r="Y1372">
            <v>45881</v>
          </cell>
        </row>
        <row r="1373">
          <cell r="I1373" t="str">
            <v>EDI</v>
          </cell>
          <cell r="L1373">
            <v>4047</v>
          </cell>
          <cell r="N1373" t="str">
            <v>Production</v>
          </cell>
          <cell r="O1373" t="str">
            <v>No</v>
          </cell>
          <cell r="Q1373" t="str">
            <v>Live</v>
          </cell>
          <cell r="R1373">
            <v>45818.766724537039</v>
          </cell>
          <cell r="S1373" t="str">
            <v>Mirna Azmy</v>
          </cell>
          <cell r="T1373">
            <v>45879</v>
          </cell>
          <cell r="U1373" t="str">
            <v>Gregory Dubec</v>
          </cell>
          <cell r="V1373">
            <v>45881</v>
          </cell>
          <cell r="W1373">
            <v>45911</v>
          </cell>
          <cell r="Y1373">
            <v>45876</v>
          </cell>
          <cell r="AC1373">
            <v>45907</v>
          </cell>
        </row>
        <row r="1374">
          <cell r="I1374" t="str">
            <v>EDI</v>
          </cell>
          <cell r="N1374" t="str">
            <v>Requirements Gathering</v>
          </cell>
          <cell r="O1374" t="str">
            <v>No</v>
          </cell>
          <cell r="Q1374" t="str">
            <v>Cancelled</v>
          </cell>
          <cell r="R1374">
            <v>45818.657037037039</v>
          </cell>
          <cell r="S1374" t="str">
            <v>Abdulrahman Tarek</v>
          </cell>
          <cell r="T1374">
            <v>45820</v>
          </cell>
          <cell r="U1374" t="str">
            <v>Gregory Dubec</v>
          </cell>
        </row>
        <row r="1375">
          <cell r="I1375" t="str">
            <v>EDI</v>
          </cell>
          <cell r="L1375">
            <v>3972</v>
          </cell>
          <cell r="N1375" t="str">
            <v>Production</v>
          </cell>
          <cell r="O1375" t="str">
            <v>No</v>
          </cell>
          <cell r="Q1375" t="str">
            <v>Live</v>
          </cell>
          <cell r="R1375">
            <v>45818.657025462962</v>
          </cell>
          <cell r="S1375" t="str">
            <v>Mina Kamil</v>
          </cell>
          <cell r="T1375">
            <v>45831</v>
          </cell>
          <cell r="U1375" t="str">
            <v>Gregory Dubec</v>
          </cell>
          <cell r="W1375">
            <v>45876</v>
          </cell>
          <cell r="Y1375">
            <v>45830</v>
          </cell>
          <cell r="AC1375">
            <v>45873</v>
          </cell>
        </row>
        <row r="1376">
          <cell r="I1376" t="str">
            <v>EDI</v>
          </cell>
          <cell r="N1376" t="str">
            <v>Requirements Gathering</v>
          </cell>
          <cell r="O1376" t="str">
            <v>No</v>
          </cell>
          <cell r="Q1376" t="str">
            <v>Cancelled</v>
          </cell>
          <cell r="R1376">
            <v>45818.657025462962</v>
          </cell>
          <cell r="S1376" t="str">
            <v>Abdulrahman Tarek</v>
          </cell>
          <cell r="T1376">
            <v>45820</v>
          </cell>
          <cell r="U1376" t="str">
            <v>Gregory Dubec</v>
          </cell>
        </row>
        <row r="1377">
          <cell r="I1377" t="str">
            <v>EDI</v>
          </cell>
          <cell r="L1377">
            <v>3997</v>
          </cell>
          <cell r="N1377" t="str">
            <v>Production</v>
          </cell>
          <cell r="O1377" t="str">
            <v>No</v>
          </cell>
          <cell r="Q1377" t="str">
            <v>Live</v>
          </cell>
          <cell r="R1377">
            <v>45818.652129629627</v>
          </cell>
          <cell r="S1377" t="str">
            <v>Omnia Abdelaziz</v>
          </cell>
          <cell r="T1377">
            <v>45838</v>
          </cell>
          <cell r="U1377" t="str">
            <v>Jay Lang</v>
          </cell>
          <cell r="V1377">
            <v>45908</v>
          </cell>
          <cell r="W1377">
            <v>45974</v>
          </cell>
          <cell r="Y1377">
            <v>45837</v>
          </cell>
          <cell r="AC1377">
            <v>45973</v>
          </cell>
        </row>
        <row r="1378">
          <cell r="I1378" t="str">
            <v>EDI</v>
          </cell>
          <cell r="L1378">
            <v>4055</v>
          </cell>
          <cell r="N1378" t="str">
            <v>Production</v>
          </cell>
          <cell r="O1378" t="str">
            <v>No</v>
          </cell>
          <cell r="Q1378" t="str">
            <v>Live</v>
          </cell>
          <cell r="R1378">
            <v>45818.555798611109</v>
          </cell>
          <cell r="S1378" t="str">
            <v>Karen Ramy</v>
          </cell>
          <cell r="T1378">
            <v>45879</v>
          </cell>
          <cell r="U1378" t="str">
            <v>Robbie Schappell</v>
          </cell>
          <cell r="V1378">
            <v>45891</v>
          </cell>
          <cell r="W1378">
            <v>46030</v>
          </cell>
          <cell r="Y1378">
            <v>45876</v>
          </cell>
          <cell r="AC1378">
            <v>46027</v>
          </cell>
        </row>
        <row r="1379">
          <cell r="I1379" t="str">
            <v>EDI</v>
          </cell>
          <cell r="L1379">
            <v>3956</v>
          </cell>
          <cell r="N1379" t="str">
            <v>Production</v>
          </cell>
          <cell r="O1379" t="str">
            <v>No</v>
          </cell>
          <cell r="Q1379" t="str">
            <v>Live</v>
          </cell>
          <cell r="R1379">
            <v>45814.759953703702</v>
          </cell>
          <cell r="S1379" t="str">
            <v>Andrew Ramy</v>
          </cell>
          <cell r="T1379">
            <v>45825</v>
          </cell>
          <cell r="U1379" t="str">
            <v>Joel Costanzo</v>
          </cell>
          <cell r="V1379">
            <v>45838</v>
          </cell>
          <cell r="W1379">
            <v>45852</v>
          </cell>
          <cell r="Y1379">
            <v>45824</v>
          </cell>
          <cell r="AC1379">
            <v>45851</v>
          </cell>
        </row>
        <row r="1380">
          <cell r="I1380" t="str">
            <v>EDI</v>
          </cell>
          <cell r="L1380">
            <v>3979</v>
          </cell>
          <cell r="N1380" t="str">
            <v>Testing</v>
          </cell>
          <cell r="O1380" t="str">
            <v>No</v>
          </cell>
          <cell r="Q1380" t="str">
            <v>Cancelled</v>
          </cell>
          <cell r="R1380">
            <v>45814.599826388891</v>
          </cell>
          <cell r="S1380" t="str">
            <v>Karim Tarek</v>
          </cell>
          <cell r="T1380">
            <v>45834</v>
          </cell>
          <cell r="U1380" t="str">
            <v>Gregory Dubec</v>
          </cell>
          <cell r="V1380">
            <v>45846</v>
          </cell>
          <cell r="Y1380">
            <v>45833</v>
          </cell>
        </row>
        <row r="1381">
          <cell r="I1381" t="str">
            <v>EDI</v>
          </cell>
          <cell r="L1381">
            <v>3966</v>
          </cell>
          <cell r="N1381" t="str">
            <v>Production</v>
          </cell>
          <cell r="O1381" t="str">
            <v>No</v>
          </cell>
          <cell r="Q1381" t="str">
            <v>Live</v>
          </cell>
          <cell r="R1381">
            <v>45814.599814814806</v>
          </cell>
          <cell r="S1381" t="str">
            <v>Josephine Ossama</v>
          </cell>
          <cell r="T1381">
            <v>45832</v>
          </cell>
          <cell r="U1381" t="str">
            <v>Gregory Dubec</v>
          </cell>
          <cell r="V1381">
            <v>45833</v>
          </cell>
          <cell r="W1381">
            <v>45848</v>
          </cell>
          <cell r="Y1381">
            <v>45819</v>
          </cell>
          <cell r="AC1381">
            <v>45847</v>
          </cell>
        </row>
        <row r="1382">
          <cell r="I1382" t="str">
            <v>EDI</v>
          </cell>
          <cell r="L1382">
            <v>3955</v>
          </cell>
          <cell r="N1382" t="str">
            <v>Production</v>
          </cell>
          <cell r="O1382" t="str">
            <v>No</v>
          </cell>
          <cell r="Q1382" t="str">
            <v>Live</v>
          </cell>
          <cell r="R1382">
            <v>45813.697685185187</v>
          </cell>
          <cell r="S1382" t="str">
            <v>Omnia Abdelaziz</v>
          </cell>
          <cell r="T1382">
            <v>45825</v>
          </cell>
          <cell r="U1382" t="str">
            <v>Trish Kalinczok</v>
          </cell>
          <cell r="V1382">
            <v>45876</v>
          </cell>
          <cell r="W1382">
            <v>45915</v>
          </cell>
          <cell r="Y1382">
            <v>45824</v>
          </cell>
          <cell r="AC1382">
            <v>45910</v>
          </cell>
        </row>
        <row r="1383">
          <cell r="I1383" t="str">
            <v>EDI</v>
          </cell>
          <cell r="L1383">
            <v>3944</v>
          </cell>
          <cell r="N1383" t="str">
            <v>Production</v>
          </cell>
          <cell r="O1383" t="str">
            <v>No</v>
          </cell>
          <cell r="Q1383" t="str">
            <v>Live</v>
          </cell>
          <cell r="R1383">
            <v>45813.585960648154</v>
          </cell>
          <cell r="S1383" t="str">
            <v>Mirna Azmy</v>
          </cell>
          <cell r="T1383">
            <v>45820</v>
          </cell>
          <cell r="U1383" t="str">
            <v>Trish Kalinczok</v>
          </cell>
          <cell r="V1383">
            <v>45852</v>
          </cell>
          <cell r="W1383">
            <v>45938</v>
          </cell>
          <cell r="Y1383">
            <v>45819</v>
          </cell>
          <cell r="AC1383">
            <v>45925</v>
          </cell>
        </row>
        <row r="1384">
          <cell r="I1384" t="str">
            <v>EDI</v>
          </cell>
          <cell r="L1384">
            <v>3948</v>
          </cell>
          <cell r="N1384" t="str">
            <v>Production</v>
          </cell>
          <cell r="O1384" t="str">
            <v>No</v>
          </cell>
          <cell r="Q1384" t="str">
            <v>Live</v>
          </cell>
          <cell r="R1384">
            <v>45812.824641203697</v>
          </cell>
          <cell r="S1384" t="str">
            <v>Omnia Abdelaziz</v>
          </cell>
          <cell r="T1384">
            <v>45820</v>
          </cell>
          <cell r="U1384" t="str">
            <v>Gregory Dubec</v>
          </cell>
          <cell r="V1384">
            <v>45873</v>
          </cell>
          <cell r="W1384">
            <v>45890</v>
          </cell>
          <cell r="Y1384">
            <v>45819</v>
          </cell>
          <cell r="AC1384">
            <v>45887</v>
          </cell>
        </row>
        <row r="1385">
          <cell r="I1385" t="str">
            <v>EDI</v>
          </cell>
          <cell r="L1385">
            <v>4129</v>
          </cell>
          <cell r="N1385" t="str">
            <v>Testing</v>
          </cell>
          <cell r="O1385" t="str">
            <v>No</v>
          </cell>
          <cell r="Q1385" t="str">
            <v>Cancelled</v>
          </cell>
          <cell r="R1385">
            <v>45812.590115740742</v>
          </cell>
          <cell r="S1385" t="str">
            <v>Ahmed Ali</v>
          </cell>
          <cell r="T1385">
            <v>45925</v>
          </cell>
          <cell r="U1385" t="str">
            <v>Rhettsmey Meak</v>
          </cell>
          <cell r="V1385">
            <v>45936</v>
          </cell>
          <cell r="Y1385">
            <v>45924</v>
          </cell>
        </row>
        <row r="1386">
          <cell r="I1386" t="str">
            <v>EDI</v>
          </cell>
          <cell r="L1386">
            <v>3970</v>
          </cell>
          <cell r="N1386" t="str">
            <v>Production</v>
          </cell>
          <cell r="O1386" t="str">
            <v>No</v>
          </cell>
          <cell r="Q1386" t="str">
            <v>Cancelled</v>
          </cell>
          <cell r="R1386">
            <v>45812.588842592602</v>
          </cell>
          <cell r="S1386" t="str">
            <v>Zeyad Khaled</v>
          </cell>
          <cell r="T1386">
            <v>45827</v>
          </cell>
          <cell r="U1386" t="str">
            <v>Rhettsmey Meak</v>
          </cell>
          <cell r="V1386">
            <v>45833</v>
          </cell>
          <cell r="W1386">
            <v>45856</v>
          </cell>
          <cell r="Y1386">
            <v>45826</v>
          </cell>
          <cell r="AC1386">
            <v>45875</v>
          </cell>
        </row>
        <row r="1387">
          <cell r="I1387" t="str">
            <v>EDI</v>
          </cell>
          <cell r="L1387">
            <v>3967</v>
          </cell>
          <cell r="N1387" t="str">
            <v>Production</v>
          </cell>
          <cell r="O1387" t="str">
            <v>No</v>
          </cell>
          <cell r="Q1387" t="str">
            <v>Cancelled</v>
          </cell>
          <cell r="R1387">
            <v>45812.586817129632</v>
          </cell>
          <cell r="S1387" t="str">
            <v>Mark Albert</v>
          </cell>
          <cell r="T1387">
            <v>45831</v>
          </cell>
          <cell r="U1387" t="str">
            <v>Rhettsmey Meak</v>
          </cell>
          <cell r="V1387">
            <v>45839</v>
          </cell>
          <cell r="W1387">
            <v>45847</v>
          </cell>
          <cell r="Y1387">
            <v>45825</v>
          </cell>
          <cell r="AC1387">
            <v>45846</v>
          </cell>
        </row>
        <row r="1388">
          <cell r="I1388" t="str">
            <v>EDI</v>
          </cell>
          <cell r="L1388">
            <v>3954</v>
          </cell>
          <cell r="N1388" t="str">
            <v>Production</v>
          </cell>
          <cell r="O1388" t="str">
            <v>No</v>
          </cell>
          <cell r="Q1388" t="str">
            <v>Live</v>
          </cell>
          <cell r="R1388">
            <v>45812.54383101852</v>
          </cell>
          <cell r="S1388" t="str">
            <v>Ahmed Ali</v>
          </cell>
          <cell r="T1388">
            <v>45825</v>
          </cell>
          <cell r="U1388" t="str">
            <v>Rhettsmey Meak</v>
          </cell>
          <cell r="V1388">
            <v>45840</v>
          </cell>
          <cell r="W1388">
            <v>45896</v>
          </cell>
          <cell r="Y1388">
            <v>45824</v>
          </cell>
          <cell r="AC1388">
            <v>45895</v>
          </cell>
        </row>
        <row r="1389">
          <cell r="I1389" t="str">
            <v>EDI</v>
          </cell>
          <cell r="N1389" t="str">
            <v>Requirements Gathering</v>
          </cell>
          <cell r="O1389" t="str">
            <v>No</v>
          </cell>
          <cell r="Q1389" t="str">
            <v>Cancelled</v>
          </cell>
          <cell r="R1389">
            <v>45812.54241898148</v>
          </cell>
          <cell r="S1389" t="str">
            <v>Sandra Adel</v>
          </cell>
          <cell r="T1389">
            <v>45818</v>
          </cell>
          <cell r="U1389" t="str">
            <v>Rhettsmey Meak</v>
          </cell>
        </row>
        <row r="1390">
          <cell r="I1390" t="str">
            <v>EDI</v>
          </cell>
          <cell r="L1390">
            <v>4094</v>
          </cell>
          <cell r="N1390" t="str">
            <v>Production</v>
          </cell>
          <cell r="O1390" t="str">
            <v>No</v>
          </cell>
          <cell r="Q1390" t="str">
            <v>Cancelled</v>
          </cell>
          <cell r="R1390">
            <v>45812.540949074071</v>
          </cell>
          <cell r="S1390" t="str">
            <v>Mirna Azmy</v>
          </cell>
          <cell r="T1390">
            <v>45909</v>
          </cell>
          <cell r="U1390" t="str">
            <v>Rhettsmey Meak</v>
          </cell>
          <cell r="V1390">
            <v>45909</v>
          </cell>
          <cell r="W1390">
            <v>45933</v>
          </cell>
          <cell r="Y1390">
            <v>45908</v>
          </cell>
          <cell r="AC1390">
            <v>45931</v>
          </cell>
        </row>
        <row r="1391">
          <cell r="I1391" t="str">
            <v>EDI</v>
          </cell>
          <cell r="L1391">
            <v>4027</v>
          </cell>
          <cell r="N1391" t="str">
            <v>Production</v>
          </cell>
          <cell r="O1391" t="str">
            <v>No</v>
          </cell>
          <cell r="Q1391" t="str">
            <v>Live</v>
          </cell>
          <cell r="R1391">
            <v>45812.539375</v>
          </cell>
          <cell r="S1391" t="str">
            <v>Josephine Ossama</v>
          </cell>
          <cell r="T1391">
            <v>45867</v>
          </cell>
          <cell r="U1391" t="str">
            <v>Rhettsmey Meak</v>
          </cell>
          <cell r="V1391">
            <v>45869</v>
          </cell>
          <cell r="W1391">
            <v>45890</v>
          </cell>
          <cell r="Y1391">
            <v>45866</v>
          </cell>
          <cell r="AC1391">
            <v>45888</v>
          </cell>
        </row>
        <row r="1392">
          <cell r="I1392" t="str">
            <v>EDI</v>
          </cell>
          <cell r="L1392">
            <v>3937</v>
          </cell>
          <cell r="N1392" t="str">
            <v>Production</v>
          </cell>
          <cell r="O1392" t="str">
            <v>No</v>
          </cell>
          <cell r="Q1392" t="str">
            <v>Live</v>
          </cell>
          <cell r="R1392">
            <v>45811.892696759263</v>
          </cell>
          <cell r="S1392" t="str">
            <v>Karim Tarek</v>
          </cell>
          <cell r="T1392">
            <v>45818</v>
          </cell>
          <cell r="U1392" t="str">
            <v>Tammy Davies</v>
          </cell>
          <cell r="V1392">
            <v>45832</v>
          </cell>
          <cell r="W1392">
            <v>45847</v>
          </cell>
          <cell r="Y1392">
            <v>45812</v>
          </cell>
          <cell r="AC1392">
            <v>45845</v>
          </cell>
        </row>
        <row r="1393">
          <cell r="I1393" t="str">
            <v>EDI</v>
          </cell>
          <cell r="L1393">
            <v>3968</v>
          </cell>
          <cell r="N1393" t="str">
            <v>Production</v>
          </cell>
          <cell r="O1393" t="str">
            <v>No</v>
          </cell>
          <cell r="Q1393" t="str">
            <v>Live</v>
          </cell>
          <cell r="R1393">
            <v>45811.889097222222</v>
          </cell>
          <cell r="S1393" t="str">
            <v>Mina Kamil</v>
          </cell>
          <cell r="T1393">
            <v>45825</v>
          </cell>
          <cell r="U1393" t="str">
            <v>Gregory Dubec</v>
          </cell>
          <cell r="W1393">
            <v>45910</v>
          </cell>
          <cell r="Y1393">
            <v>45824</v>
          </cell>
          <cell r="AC1393">
            <v>45910</v>
          </cell>
        </row>
        <row r="1394">
          <cell r="I1394" t="str">
            <v>EDI</v>
          </cell>
          <cell r="L1394">
            <v>3982</v>
          </cell>
          <cell r="N1394" t="str">
            <v>Production</v>
          </cell>
          <cell r="O1394" t="str">
            <v>Everything Benefits</v>
          </cell>
          <cell r="P1394" t="str">
            <v>Production</v>
          </cell>
          <cell r="Q1394" t="str">
            <v>Live</v>
          </cell>
          <cell r="R1394">
            <v>45811.68854166667</v>
          </cell>
          <cell r="S1394" t="str">
            <v>Alaa Yehia</v>
          </cell>
          <cell r="T1394">
            <v>45832</v>
          </cell>
          <cell r="U1394" t="str">
            <v>Carolina Tanoue</v>
          </cell>
          <cell r="V1394">
            <v>45846</v>
          </cell>
          <cell r="W1394">
            <v>45894</v>
          </cell>
          <cell r="Y1394">
            <v>45831</v>
          </cell>
          <cell r="AC1394">
            <v>45886</v>
          </cell>
        </row>
        <row r="1395">
          <cell r="I1395" t="str">
            <v>EDI</v>
          </cell>
          <cell r="L1395">
            <v>3974</v>
          </cell>
          <cell r="N1395" t="str">
            <v>Production</v>
          </cell>
          <cell r="O1395" t="str">
            <v>Everything Benefits</v>
          </cell>
          <cell r="P1395" t="str">
            <v>Production</v>
          </cell>
          <cell r="Q1395" t="str">
            <v>Live</v>
          </cell>
          <cell r="R1395">
            <v>45811.68854166667</v>
          </cell>
          <cell r="S1395" t="str">
            <v>Alaa Yehia</v>
          </cell>
          <cell r="T1395">
            <v>45832</v>
          </cell>
          <cell r="U1395" t="str">
            <v>Carolina Tanoue</v>
          </cell>
          <cell r="V1395">
            <v>45852</v>
          </cell>
          <cell r="W1395">
            <v>45901</v>
          </cell>
          <cell r="Y1395">
            <v>45831</v>
          </cell>
          <cell r="AC1395">
            <v>45898</v>
          </cell>
        </row>
        <row r="1396">
          <cell r="I1396" t="str">
            <v>EDI</v>
          </cell>
          <cell r="L1396">
            <v>3993</v>
          </cell>
          <cell r="N1396" t="str">
            <v>Production</v>
          </cell>
          <cell r="O1396" t="str">
            <v>Everything Benefits</v>
          </cell>
          <cell r="P1396" t="str">
            <v>Production</v>
          </cell>
          <cell r="Q1396" t="str">
            <v>Live</v>
          </cell>
          <cell r="R1396">
            <v>45811.68854166667</v>
          </cell>
          <cell r="S1396" t="str">
            <v>Mirna Azmy</v>
          </cell>
          <cell r="T1396">
            <v>45838</v>
          </cell>
          <cell r="U1396" t="str">
            <v>Carolina Tanoue</v>
          </cell>
          <cell r="V1396">
            <v>45908</v>
          </cell>
          <cell r="W1396">
            <v>45936</v>
          </cell>
          <cell r="Y1396">
            <v>45837</v>
          </cell>
          <cell r="AC1396">
            <v>45931</v>
          </cell>
        </row>
        <row r="1397">
          <cell r="I1397" t="str">
            <v>EDI</v>
          </cell>
          <cell r="L1397">
            <v>3964</v>
          </cell>
          <cell r="N1397" t="str">
            <v>Production</v>
          </cell>
          <cell r="O1397" t="str">
            <v>No</v>
          </cell>
          <cell r="Q1397" t="str">
            <v>Live</v>
          </cell>
          <cell r="R1397">
            <v>45810.884525462963</v>
          </cell>
          <cell r="S1397" t="str">
            <v>Mina Adel</v>
          </cell>
          <cell r="T1397">
            <v>45825</v>
          </cell>
          <cell r="U1397" t="str">
            <v>Carolina Tanoue</v>
          </cell>
          <cell r="V1397">
            <v>45831</v>
          </cell>
          <cell r="W1397">
            <v>45834</v>
          </cell>
          <cell r="Y1397">
            <v>45822</v>
          </cell>
          <cell r="AC1397">
            <v>45834</v>
          </cell>
        </row>
        <row r="1398">
          <cell r="I1398" t="str">
            <v>EDI</v>
          </cell>
          <cell r="L1398">
            <v>4026</v>
          </cell>
          <cell r="N1398" t="str">
            <v>Production</v>
          </cell>
          <cell r="O1398" t="str">
            <v>No</v>
          </cell>
          <cell r="Q1398" t="str">
            <v>Live</v>
          </cell>
          <cell r="R1398">
            <v>45810.884513888886</v>
          </cell>
          <cell r="S1398" t="str">
            <v>Mina Kamil</v>
          </cell>
          <cell r="T1398">
            <v>45853</v>
          </cell>
          <cell r="U1398" t="str">
            <v>Carolina Tanoue</v>
          </cell>
          <cell r="W1398">
            <v>45936</v>
          </cell>
          <cell r="Y1398">
            <v>45852</v>
          </cell>
          <cell r="AC1398">
            <v>45928</v>
          </cell>
        </row>
        <row r="1399">
          <cell r="I1399" t="str">
            <v>EDI</v>
          </cell>
          <cell r="L1399">
            <v>3996</v>
          </cell>
          <cell r="N1399" t="str">
            <v>Production</v>
          </cell>
          <cell r="O1399" t="str">
            <v>No</v>
          </cell>
          <cell r="Q1399" t="str">
            <v>Live</v>
          </cell>
          <cell r="R1399">
            <v>45810.884513888886</v>
          </cell>
          <cell r="S1399" t="str">
            <v>Karim Tarek</v>
          </cell>
          <cell r="T1399">
            <v>45931</v>
          </cell>
          <cell r="U1399" t="str">
            <v>Carolina Tanoue</v>
          </cell>
          <cell r="V1399">
            <v>45859</v>
          </cell>
          <cell r="W1399">
            <v>46006</v>
          </cell>
          <cell r="Y1399">
            <v>45833</v>
          </cell>
          <cell r="AC1399">
            <v>46001</v>
          </cell>
        </row>
        <row r="1400">
          <cell r="I1400" t="str">
            <v>EDI</v>
          </cell>
          <cell r="L1400">
            <v>3958</v>
          </cell>
          <cell r="N1400" t="str">
            <v>Production</v>
          </cell>
          <cell r="O1400" t="str">
            <v>No</v>
          </cell>
          <cell r="Q1400" t="str">
            <v>Live</v>
          </cell>
          <cell r="R1400">
            <v>45810.884513888886</v>
          </cell>
          <cell r="S1400" t="str">
            <v>Aya Fathy</v>
          </cell>
          <cell r="T1400">
            <v>45825</v>
          </cell>
          <cell r="U1400" t="str">
            <v>Carolina Tanoue</v>
          </cell>
          <cell r="V1400">
            <v>25569</v>
          </cell>
          <cell r="W1400">
            <v>45866</v>
          </cell>
          <cell r="Y1400">
            <v>45825</v>
          </cell>
          <cell r="AC1400">
            <v>45859</v>
          </cell>
        </row>
        <row r="1401">
          <cell r="I1401" t="str">
            <v>EDI</v>
          </cell>
          <cell r="L1401">
            <v>3950</v>
          </cell>
          <cell r="N1401" t="str">
            <v>Production</v>
          </cell>
          <cell r="O1401" t="str">
            <v>No</v>
          </cell>
          <cell r="Q1401" t="str">
            <v>Live</v>
          </cell>
          <cell r="R1401">
            <v>45810.831759259258</v>
          </cell>
          <cell r="S1401" t="str">
            <v>Ahmed Ali</v>
          </cell>
          <cell r="T1401">
            <v>45820</v>
          </cell>
          <cell r="U1401" t="str">
            <v>Gregory Dubec</v>
          </cell>
          <cell r="V1401">
            <v>45839</v>
          </cell>
          <cell r="W1401">
            <v>45855</v>
          </cell>
          <cell r="Y1401">
            <v>45820</v>
          </cell>
          <cell r="AC1401">
            <v>45852</v>
          </cell>
        </row>
        <row r="1402">
          <cell r="I1402" t="str">
            <v>EDI</v>
          </cell>
          <cell r="L1402">
            <v>3951</v>
          </cell>
          <cell r="N1402" t="str">
            <v>Production</v>
          </cell>
          <cell r="O1402" t="str">
            <v>No</v>
          </cell>
          <cell r="Q1402" t="str">
            <v>Live</v>
          </cell>
          <cell r="R1402">
            <v>45810.831759259258</v>
          </cell>
          <cell r="S1402" t="str">
            <v>Ahmed Ali</v>
          </cell>
          <cell r="T1402">
            <v>45820</v>
          </cell>
          <cell r="U1402" t="str">
            <v>Gregory Dubec</v>
          </cell>
          <cell r="V1402">
            <v>45834</v>
          </cell>
          <cell r="W1402">
            <v>45900</v>
          </cell>
          <cell r="Y1402">
            <v>45820</v>
          </cell>
          <cell r="AC1402">
            <v>45896</v>
          </cell>
        </row>
        <row r="1403">
          <cell r="I1403" t="str">
            <v>EDI</v>
          </cell>
          <cell r="L1403">
            <v>4010</v>
          </cell>
          <cell r="N1403" t="str">
            <v>Production</v>
          </cell>
          <cell r="O1403" t="str">
            <v>No</v>
          </cell>
          <cell r="Q1403" t="str">
            <v>Live</v>
          </cell>
          <cell r="R1403">
            <v>45810.831759259258</v>
          </cell>
          <cell r="S1403" t="str">
            <v>Ahmed Ali</v>
          </cell>
          <cell r="T1403">
            <v>45846</v>
          </cell>
          <cell r="U1403" t="str">
            <v>Gregory Dubec</v>
          </cell>
          <cell r="V1403">
            <v>45876</v>
          </cell>
          <cell r="W1403">
            <v>45918</v>
          </cell>
          <cell r="Y1403">
            <v>45845</v>
          </cell>
          <cell r="AC1403">
            <v>45917</v>
          </cell>
        </row>
        <row r="1404">
          <cell r="I1404" t="str">
            <v>EDI</v>
          </cell>
          <cell r="L1404">
            <v>3935</v>
          </cell>
          <cell r="N1404" t="str">
            <v>Production</v>
          </cell>
          <cell r="O1404" t="str">
            <v>No</v>
          </cell>
          <cell r="Q1404" t="str">
            <v>Live</v>
          </cell>
          <cell r="R1404">
            <v>45806.655682870369</v>
          </cell>
          <cell r="S1404" t="str">
            <v>Ahmed Ali</v>
          </cell>
          <cell r="T1404">
            <v>45818</v>
          </cell>
          <cell r="U1404" t="str">
            <v>Tammy Davies</v>
          </cell>
          <cell r="V1404">
            <v>25569</v>
          </cell>
          <cell r="W1404">
            <v>25569</v>
          </cell>
          <cell r="Y1404">
            <v>45812</v>
          </cell>
          <cell r="AC1404">
            <v>45942</v>
          </cell>
        </row>
        <row r="1405">
          <cell r="I1405" t="str">
            <v>EDI</v>
          </cell>
          <cell r="L1405">
            <v>3965</v>
          </cell>
          <cell r="N1405" t="str">
            <v>Testing</v>
          </cell>
          <cell r="O1405" t="str">
            <v>No</v>
          </cell>
          <cell r="Q1405" t="str">
            <v>In Progress</v>
          </cell>
          <cell r="R1405">
            <v>45806.618379629632</v>
          </cell>
          <cell r="S1405" t="str">
            <v>Omnia Abdelaziz</v>
          </cell>
          <cell r="T1405">
            <v>45818</v>
          </cell>
          <cell r="U1405" t="str">
            <v>Kayla Szczepanski</v>
          </cell>
          <cell r="V1405">
            <v>45861</v>
          </cell>
          <cell r="Y1405">
            <v>45812</v>
          </cell>
        </row>
        <row r="1406">
          <cell r="I1406" t="str">
            <v>EDI</v>
          </cell>
          <cell r="L1406">
            <v>3963</v>
          </cell>
          <cell r="N1406" t="str">
            <v>Production</v>
          </cell>
          <cell r="O1406" t="str">
            <v>No</v>
          </cell>
          <cell r="Q1406" t="str">
            <v>Live</v>
          </cell>
          <cell r="R1406">
            <v>45805.834398148138</v>
          </cell>
          <cell r="S1406" t="str">
            <v>Amr Salah</v>
          </cell>
          <cell r="T1406">
            <v>45818</v>
          </cell>
          <cell r="U1406" t="str">
            <v>Trish Kalinczok</v>
          </cell>
          <cell r="W1406">
            <v>45901</v>
          </cell>
          <cell r="Y1406">
            <v>45817</v>
          </cell>
          <cell r="AC1406">
            <v>45895</v>
          </cell>
        </row>
        <row r="1407">
          <cell r="I1407" t="str">
            <v>EDI</v>
          </cell>
          <cell r="L1407">
            <v>3938</v>
          </cell>
          <cell r="N1407" t="str">
            <v>Production</v>
          </cell>
          <cell r="O1407" t="str">
            <v>No</v>
          </cell>
          <cell r="Q1407" t="str">
            <v>Live</v>
          </cell>
          <cell r="R1407">
            <v>45805.827199074083</v>
          </cell>
          <cell r="S1407" t="str">
            <v>Mina Kamil</v>
          </cell>
          <cell r="T1407">
            <v>45820</v>
          </cell>
          <cell r="U1407" t="str">
            <v>Gregory Dubec</v>
          </cell>
          <cell r="W1407">
            <v>45925</v>
          </cell>
          <cell r="Y1407">
            <v>45819</v>
          </cell>
          <cell r="AC1407">
            <v>45923</v>
          </cell>
        </row>
        <row r="1408">
          <cell r="I1408" t="str">
            <v>EDI</v>
          </cell>
          <cell r="L1408">
            <v>3940</v>
          </cell>
          <cell r="N1408" t="str">
            <v>Production</v>
          </cell>
          <cell r="O1408" t="str">
            <v>No</v>
          </cell>
          <cell r="Q1408" t="str">
            <v>Live</v>
          </cell>
          <cell r="R1408">
            <v>45800.738182870373</v>
          </cell>
          <cell r="S1408" t="str">
            <v>Mina Kamil</v>
          </cell>
          <cell r="T1408">
            <v>45810</v>
          </cell>
          <cell r="U1408" t="str">
            <v>Jay Lang</v>
          </cell>
          <cell r="W1408">
            <v>45887</v>
          </cell>
          <cell r="Y1408">
            <v>45806</v>
          </cell>
          <cell r="AC1408">
            <v>45884</v>
          </cell>
        </row>
        <row r="1409">
          <cell r="I1409" t="str">
            <v>EDI</v>
          </cell>
          <cell r="L1409">
            <v>3926</v>
          </cell>
          <cell r="N1409" t="str">
            <v>Production</v>
          </cell>
          <cell r="O1409" t="str">
            <v>No</v>
          </cell>
          <cell r="Q1409" t="str">
            <v>Live</v>
          </cell>
          <cell r="R1409">
            <v>45800.602048611108</v>
          </cell>
          <cell r="S1409" t="str">
            <v>Nada Ashraf</v>
          </cell>
          <cell r="T1409">
            <v>45805</v>
          </cell>
          <cell r="U1409" t="str">
            <v>Gregory Dubec</v>
          </cell>
          <cell r="V1409">
            <v>45826</v>
          </cell>
          <cell r="W1409">
            <v>45841</v>
          </cell>
          <cell r="Y1409">
            <v>45805</v>
          </cell>
          <cell r="AC1409">
            <v>45840</v>
          </cell>
        </row>
        <row r="1410">
          <cell r="I1410" t="str">
            <v>EDI</v>
          </cell>
          <cell r="L1410">
            <v>3930</v>
          </cell>
          <cell r="N1410" t="str">
            <v>Production</v>
          </cell>
          <cell r="O1410" t="str">
            <v>No</v>
          </cell>
          <cell r="Q1410" t="str">
            <v>Cancelled</v>
          </cell>
          <cell r="R1410">
            <v>45799.623518518521</v>
          </cell>
          <cell r="S1410" t="str">
            <v>Karen Ramy</v>
          </cell>
          <cell r="T1410">
            <v>45811</v>
          </cell>
          <cell r="U1410" t="str">
            <v>Tammy Davies</v>
          </cell>
          <cell r="V1410">
            <v>45846</v>
          </cell>
          <cell r="W1410">
            <v>45861</v>
          </cell>
          <cell r="Y1410">
            <v>45811</v>
          </cell>
          <cell r="AC1410">
            <v>45859</v>
          </cell>
        </row>
        <row r="1411">
          <cell r="I1411" t="str">
            <v>EDI</v>
          </cell>
          <cell r="L1411">
            <v>4032</v>
          </cell>
          <cell r="N1411" t="str">
            <v>Production</v>
          </cell>
          <cell r="O1411" t="str">
            <v>No</v>
          </cell>
          <cell r="Q1411" t="str">
            <v>Cancelled</v>
          </cell>
          <cell r="R1411">
            <v>45799.590231481481</v>
          </cell>
          <cell r="S1411" t="str">
            <v>Dina Medhat</v>
          </cell>
          <cell r="T1411">
            <v>45874</v>
          </cell>
          <cell r="U1411" t="str">
            <v>Rhettsmey Meak</v>
          </cell>
          <cell r="W1411">
            <v>25569</v>
          </cell>
          <cell r="AC1411">
            <v>45873</v>
          </cell>
        </row>
        <row r="1412">
          <cell r="I1412" t="str">
            <v>EDI</v>
          </cell>
          <cell r="L1412">
            <v>4223</v>
          </cell>
          <cell r="N1412" t="str">
            <v>Production</v>
          </cell>
          <cell r="O1412" t="str">
            <v>No</v>
          </cell>
          <cell r="Q1412" t="str">
            <v>Live</v>
          </cell>
          <cell r="R1412">
            <v>45799.585428240738</v>
          </cell>
          <cell r="S1412" t="str">
            <v>Omnia Abdelaziz</v>
          </cell>
          <cell r="T1412">
            <v>45973</v>
          </cell>
          <cell r="U1412" t="str">
            <v>Rhettsmey Meak</v>
          </cell>
          <cell r="V1412">
            <v>45981</v>
          </cell>
          <cell r="W1412">
            <v>46036</v>
          </cell>
          <cell r="AC1412">
            <v>46033</v>
          </cell>
        </row>
        <row r="1413">
          <cell r="I1413" t="str">
            <v>EDI</v>
          </cell>
          <cell r="L1413">
            <v>3925</v>
          </cell>
          <cell r="N1413" t="str">
            <v>Production</v>
          </cell>
          <cell r="O1413" t="str">
            <v>No</v>
          </cell>
          <cell r="Q1413" t="str">
            <v>Cancelled</v>
          </cell>
          <cell r="R1413">
            <v>45797.819120370368</v>
          </cell>
          <cell r="S1413" t="str">
            <v>Mina Adel</v>
          </cell>
          <cell r="T1413">
            <v>45803</v>
          </cell>
          <cell r="U1413" t="str">
            <v>Trish Kalinczok</v>
          </cell>
          <cell r="V1413">
            <v>45809</v>
          </cell>
          <cell r="W1413">
            <v>45840</v>
          </cell>
          <cell r="Y1413">
            <v>45803</v>
          </cell>
          <cell r="AC1413">
            <v>45838</v>
          </cell>
        </row>
        <row r="1414">
          <cell r="I1414" t="str">
            <v>Forms</v>
          </cell>
          <cell r="L1414" t="str">
            <v>[3932]</v>
          </cell>
          <cell r="N1414" t="str">
            <v>Mapping</v>
          </cell>
          <cell r="O1414" t="str">
            <v>No</v>
          </cell>
          <cell r="Q1414" t="str">
            <v>Cancelled</v>
          </cell>
          <cell r="R1414">
            <v>45797.538425925923</v>
          </cell>
          <cell r="S1414" t="str">
            <v>Alaa Yehia</v>
          </cell>
          <cell r="T1414">
            <v>45812</v>
          </cell>
          <cell r="U1414" t="str">
            <v>Trish Kalinczok</v>
          </cell>
        </row>
        <row r="1415">
          <cell r="I1415" t="str">
            <v>EDI</v>
          </cell>
          <cell r="L1415">
            <v>3916</v>
          </cell>
          <cell r="N1415" t="str">
            <v>Production</v>
          </cell>
          <cell r="O1415" t="str">
            <v>No</v>
          </cell>
          <cell r="Q1415" t="str">
            <v>Live</v>
          </cell>
          <cell r="R1415">
            <v>45793.768969907411</v>
          </cell>
          <cell r="S1415" t="str">
            <v>Ahmed Ali</v>
          </cell>
          <cell r="T1415">
            <v>45803</v>
          </cell>
          <cell r="U1415" t="str">
            <v>Nicole Stevens</v>
          </cell>
          <cell r="V1415">
            <v>45830</v>
          </cell>
          <cell r="W1415">
            <v>45883</v>
          </cell>
          <cell r="Y1415">
            <v>45799</v>
          </cell>
          <cell r="AC1415">
            <v>45876</v>
          </cell>
        </row>
        <row r="1416">
          <cell r="I1416" t="str">
            <v>EDI</v>
          </cell>
          <cell r="L1416">
            <v>3934</v>
          </cell>
          <cell r="N1416" t="str">
            <v>Production</v>
          </cell>
          <cell r="O1416" t="str">
            <v>No</v>
          </cell>
          <cell r="Q1416" t="str">
            <v>Live</v>
          </cell>
          <cell r="R1416">
            <v>45792.606238425928</v>
          </cell>
          <cell r="S1416" t="str">
            <v>Andrew Ramy</v>
          </cell>
          <cell r="T1416">
            <v>45818</v>
          </cell>
          <cell r="U1416" t="str">
            <v>Rhettsmey Meak</v>
          </cell>
          <cell r="V1416">
            <v>45832</v>
          </cell>
          <cell r="W1416">
            <v>45924</v>
          </cell>
          <cell r="Y1416">
            <v>45812</v>
          </cell>
          <cell r="AC1416">
            <v>45923</v>
          </cell>
        </row>
        <row r="1417">
          <cell r="I1417" t="str">
            <v>EDI</v>
          </cell>
          <cell r="N1417" t="str">
            <v>Requirements Gathering</v>
          </cell>
          <cell r="O1417" t="str">
            <v>No</v>
          </cell>
          <cell r="Q1417" t="str">
            <v>Cancelled</v>
          </cell>
          <cell r="R1417">
            <v>45791.888148148151</v>
          </cell>
          <cell r="S1417" t="str">
            <v>Sandra Adel</v>
          </cell>
          <cell r="T1417">
            <v>45792</v>
          </cell>
          <cell r="U1417" t="str">
            <v>Gregory Dubec</v>
          </cell>
        </row>
        <row r="1418">
          <cell r="I1418" t="str">
            <v>EDI</v>
          </cell>
          <cell r="L1418">
            <v>3945</v>
          </cell>
          <cell r="N1418" t="str">
            <v>Production</v>
          </cell>
          <cell r="O1418" t="str">
            <v>No</v>
          </cell>
          <cell r="Q1418" t="str">
            <v>Cancelled</v>
          </cell>
          <cell r="R1418">
            <v>45791.830405092587</v>
          </cell>
          <cell r="S1418" t="str">
            <v>Marwan Tawfik</v>
          </cell>
          <cell r="T1418">
            <v>45820</v>
          </cell>
          <cell r="U1418" t="str">
            <v>Gregory Dubec</v>
          </cell>
          <cell r="V1418">
            <v>45847</v>
          </cell>
          <cell r="W1418">
            <v>45883</v>
          </cell>
          <cell r="Y1418">
            <v>45812</v>
          </cell>
          <cell r="AC1418">
            <v>45880</v>
          </cell>
        </row>
        <row r="1419">
          <cell r="I1419" t="str">
            <v>EDI</v>
          </cell>
          <cell r="L1419">
            <v>3949</v>
          </cell>
          <cell r="N1419" t="str">
            <v>Production</v>
          </cell>
          <cell r="O1419" t="str">
            <v>No</v>
          </cell>
          <cell r="Q1419" t="str">
            <v>Live</v>
          </cell>
          <cell r="R1419">
            <v>45791.659444444442</v>
          </cell>
          <cell r="S1419" t="str">
            <v>Noha Moustafa</v>
          </cell>
          <cell r="T1419">
            <v>45820</v>
          </cell>
          <cell r="U1419" t="str">
            <v>Rhettsmey Meak</v>
          </cell>
          <cell r="V1419">
            <v>45893</v>
          </cell>
          <cell r="W1419">
            <v>45958</v>
          </cell>
          <cell r="Y1419">
            <v>45820</v>
          </cell>
          <cell r="AC1419">
            <v>45958</v>
          </cell>
        </row>
        <row r="1420">
          <cell r="I1420" t="str">
            <v>EDI</v>
          </cell>
          <cell r="L1420">
            <v>3927</v>
          </cell>
          <cell r="N1420" t="str">
            <v>Production</v>
          </cell>
          <cell r="O1420" t="str">
            <v>No</v>
          </cell>
          <cell r="Q1420" t="str">
            <v>Live</v>
          </cell>
          <cell r="R1420">
            <v>45791.642754629633</v>
          </cell>
          <cell r="S1420" t="str">
            <v>Zeyad Khaled</v>
          </cell>
          <cell r="T1420">
            <v>45798</v>
          </cell>
          <cell r="U1420" t="str">
            <v>Gregory Dubec</v>
          </cell>
          <cell r="V1420">
            <v>45811</v>
          </cell>
          <cell r="W1420">
            <v>25569</v>
          </cell>
          <cell r="Y1420">
            <v>45793</v>
          </cell>
          <cell r="AC1420">
            <v>45970</v>
          </cell>
        </row>
        <row r="1421">
          <cell r="I1421" t="str">
            <v>EDI</v>
          </cell>
          <cell r="L1421">
            <v>3921</v>
          </cell>
          <cell r="N1421" t="str">
            <v>Production</v>
          </cell>
          <cell r="O1421" t="str">
            <v>No</v>
          </cell>
          <cell r="Q1421" t="str">
            <v>Live</v>
          </cell>
          <cell r="R1421">
            <v>45791.642743055563</v>
          </cell>
          <cell r="S1421" t="str">
            <v>Zeyad Khaled</v>
          </cell>
          <cell r="T1421">
            <v>45798</v>
          </cell>
          <cell r="U1421" t="str">
            <v>Gregory Dubec</v>
          </cell>
          <cell r="V1421">
            <v>45805</v>
          </cell>
          <cell r="W1421">
            <v>45960</v>
          </cell>
          <cell r="Y1421">
            <v>45796</v>
          </cell>
          <cell r="AC1421">
            <v>45956</v>
          </cell>
        </row>
        <row r="1422">
          <cell r="I1422" t="str">
            <v>EDI</v>
          </cell>
          <cell r="L1422">
            <v>3905</v>
          </cell>
          <cell r="N1422" t="str">
            <v>Production</v>
          </cell>
          <cell r="O1422" t="str">
            <v>No</v>
          </cell>
          <cell r="Q1422" t="str">
            <v>Live</v>
          </cell>
          <cell r="R1422">
            <v>45791.602465277778</v>
          </cell>
          <cell r="S1422" t="str">
            <v>Mirna Azmy</v>
          </cell>
          <cell r="T1422">
            <v>45798</v>
          </cell>
          <cell r="U1422" t="str">
            <v>Hans De Grouw</v>
          </cell>
          <cell r="V1422">
            <v>45812</v>
          </cell>
          <cell r="W1422">
            <v>45855</v>
          </cell>
          <cell r="Y1422">
            <v>45795</v>
          </cell>
          <cell r="AC1422">
            <v>45851</v>
          </cell>
        </row>
        <row r="1423">
          <cell r="I1423" t="str">
            <v>EDI</v>
          </cell>
          <cell r="L1423">
            <v>3931</v>
          </cell>
          <cell r="N1423" t="str">
            <v>Production</v>
          </cell>
          <cell r="O1423" t="str">
            <v>No</v>
          </cell>
          <cell r="Q1423" t="str">
            <v>Live</v>
          </cell>
          <cell r="R1423">
            <v>45790.836446759262</v>
          </cell>
          <cell r="S1423" t="str">
            <v>Omnia Abdelaziz</v>
          </cell>
          <cell r="T1423">
            <v>45810</v>
          </cell>
          <cell r="U1423" t="str">
            <v>Gregory Dubec</v>
          </cell>
          <cell r="V1423">
            <v>45826</v>
          </cell>
          <cell r="W1423">
            <v>45869</v>
          </cell>
          <cell r="Y1423">
            <v>45809</v>
          </cell>
          <cell r="AC1423">
            <v>45861</v>
          </cell>
        </row>
        <row r="1424">
          <cell r="I1424" t="str">
            <v>EDI</v>
          </cell>
          <cell r="L1424">
            <v>4033</v>
          </cell>
          <cell r="N1424" t="str">
            <v>Production</v>
          </cell>
          <cell r="O1424" t="str">
            <v>No</v>
          </cell>
          <cell r="Q1424" t="str">
            <v>Live</v>
          </cell>
          <cell r="R1424">
            <v>45790.808136574073</v>
          </cell>
          <cell r="S1424" t="str">
            <v>Zeyad Khaled</v>
          </cell>
          <cell r="T1424">
            <v>45867</v>
          </cell>
          <cell r="U1424" t="str">
            <v>Rhettsmey Meak</v>
          </cell>
          <cell r="V1424">
            <v>45897</v>
          </cell>
          <cell r="W1424">
            <v>45966</v>
          </cell>
          <cell r="Y1424">
            <v>45866</v>
          </cell>
          <cell r="AC1424">
            <v>45960</v>
          </cell>
        </row>
        <row r="1425">
          <cell r="I1425" t="str">
            <v>EDI</v>
          </cell>
          <cell r="L1425">
            <v>3919</v>
          </cell>
          <cell r="N1425" t="str">
            <v>Production</v>
          </cell>
          <cell r="O1425" t="str">
            <v>No</v>
          </cell>
          <cell r="Q1425" t="str">
            <v>Live</v>
          </cell>
          <cell r="R1425">
            <v>45790.805868055562</v>
          </cell>
          <cell r="S1425" t="str">
            <v>Noha Moustafa</v>
          </cell>
          <cell r="T1425">
            <v>45798</v>
          </cell>
          <cell r="U1425" t="str">
            <v>Rhettsmey Meak</v>
          </cell>
          <cell r="V1425">
            <v>45865</v>
          </cell>
          <cell r="W1425">
            <v>46022</v>
          </cell>
          <cell r="Y1425">
            <v>45797</v>
          </cell>
          <cell r="AC1425">
            <v>46016</v>
          </cell>
        </row>
        <row r="1426">
          <cell r="I1426" t="str">
            <v>EDI</v>
          </cell>
          <cell r="N1426" t="str">
            <v>Requirements Gathering</v>
          </cell>
          <cell r="O1426" t="str">
            <v>No</v>
          </cell>
          <cell r="Q1426" t="str">
            <v>Cancelled</v>
          </cell>
          <cell r="R1426">
            <v>45790.774398148147</v>
          </cell>
          <cell r="S1426" t="str">
            <v>Lourina Edmon</v>
          </cell>
          <cell r="T1426">
            <v>45791</v>
          </cell>
          <cell r="U1426" t="str">
            <v>Rhettsmey Meak</v>
          </cell>
        </row>
        <row r="1427">
          <cell r="I1427" t="str">
            <v>EDI</v>
          </cell>
          <cell r="L1427">
            <v>3909</v>
          </cell>
          <cell r="N1427" t="str">
            <v>Production</v>
          </cell>
          <cell r="O1427" t="str">
            <v>No</v>
          </cell>
          <cell r="Q1427" t="str">
            <v>Live</v>
          </cell>
          <cell r="R1427">
            <v>45790.73951388889</v>
          </cell>
          <cell r="S1427" t="str">
            <v>Mina Kamil</v>
          </cell>
          <cell r="T1427">
            <v>45797</v>
          </cell>
          <cell r="U1427" t="str">
            <v>Ron Anderson</v>
          </cell>
          <cell r="W1427">
            <v>45908</v>
          </cell>
          <cell r="Y1427">
            <v>45796</v>
          </cell>
          <cell r="AC1427">
            <v>45907</v>
          </cell>
        </row>
        <row r="1428">
          <cell r="I1428" t="str">
            <v>EDI</v>
          </cell>
          <cell r="L1428">
            <v>3902</v>
          </cell>
          <cell r="N1428" t="str">
            <v>Production</v>
          </cell>
          <cell r="O1428" t="str">
            <v>No</v>
          </cell>
          <cell r="Q1428" t="str">
            <v>Cancelled</v>
          </cell>
          <cell r="R1428">
            <v>45790.73773148148</v>
          </cell>
          <cell r="S1428" t="str">
            <v>Alaa Yehia</v>
          </cell>
          <cell r="T1428">
            <v>45797</v>
          </cell>
          <cell r="U1428" t="str">
            <v>Rhettsmey Meak</v>
          </cell>
          <cell r="V1428">
            <v>45800</v>
          </cell>
          <cell r="W1428">
            <v>45826</v>
          </cell>
          <cell r="Y1428">
            <v>45796</v>
          </cell>
          <cell r="AC1428">
            <v>45822</v>
          </cell>
        </row>
        <row r="1429">
          <cell r="I1429" t="str">
            <v>EDI</v>
          </cell>
          <cell r="L1429">
            <v>3928</v>
          </cell>
          <cell r="N1429" t="str">
            <v>Production</v>
          </cell>
          <cell r="O1429" t="str">
            <v>No</v>
          </cell>
          <cell r="Q1429" t="str">
            <v>Live</v>
          </cell>
          <cell r="R1429">
            <v>45790.544502314813</v>
          </cell>
          <cell r="S1429" t="str">
            <v>Mirna Azmy</v>
          </cell>
          <cell r="T1429">
            <v>45810</v>
          </cell>
          <cell r="U1429" t="str">
            <v>Rhettsmey Meak</v>
          </cell>
          <cell r="V1429">
            <v>45812</v>
          </cell>
          <cell r="W1429">
            <v>45854</v>
          </cell>
          <cell r="Y1429">
            <v>45806</v>
          </cell>
          <cell r="AC1429">
            <v>45844</v>
          </cell>
        </row>
        <row r="1430">
          <cell r="I1430" t="str">
            <v>EDI</v>
          </cell>
          <cell r="L1430">
            <v>3936</v>
          </cell>
          <cell r="N1430" t="str">
            <v>Production</v>
          </cell>
          <cell r="O1430" t="str">
            <v>No</v>
          </cell>
          <cell r="Q1430" t="str">
            <v>Cancelled</v>
          </cell>
          <cell r="R1430">
            <v>45789.69363425926</v>
          </cell>
          <cell r="S1430" t="str">
            <v>Marwan Tawfik</v>
          </cell>
          <cell r="T1430">
            <v>45803</v>
          </cell>
          <cell r="U1430" t="str">
            <v>Rosalie Whitty</v>
          </cell>
          <cell r="V1430">
            <v>45852</v>
          </cell>
          <cell r="W1430">
            <v>45894</v>
          </cell>
          <cell r="Y1430">
            <v>45799</v>
          </cell>
          <cell r="AC1430">
            <v>45893</v>
          </cell>
        </row>
        <row r="1431">
          <cell r="I1431" t="str">
            <v>EDI</v>
          </cell>
          <cell r="L1431">
            <v>3918</v>
          </cell>
          <cell r="N1431" t="str">
            <v>Production</v>
          </cell>
          <cell r="O1431" t="str">
            <v>No</v>
          </cell>
          <cell r="Q1431" t="str">
            <v>Live</v>
          </cell>
          <cell r="R1431">
            <v>45786.837488425917</v>
          </cell>
          <cell r="S1431" t="str">
            <v>Andrew Ramy</v>
          </cell>
          <cell r="T1431">
            <v>45803</v>
          </cell>
          <cell r="U1431" t="str">
            <v>Tammy Davies</v>
          </cell>
          <cell r="V1431">
            <v>45852</v>
          </cell>
          <cell r="W1431">
            <v>45946</v>
          </cell>
          <cell r="Y1431">
            <v>45798</v>
          </cell>
          <cell r="AC1431">
            <v>45942</v>
          </cell>
        </row>
        <row r="1432">
          <cell r="I1432" t="str">
            <v>EDI</v>
          </cell>
          <cell r="L1432">
            <v>3908</v>
          </cell>
          <cell r="N1432" t="str">
            <v>Production</v>
          </cell>
          <cell r="O1432" t="str">
            <v>No</v>
          </cell>
          <cell r="Q1432" t="str">
            <v>Live</v>
          </cell>
          <cell r="R1432">
            <v>45786.810902777783</v>
          </cell>
          <cell r="S1432" t="str">
            <v>Alaa Yehia</v>
          </cell>
          <cell r="T1432">
            <v>45797</v>
          </cell>
          <cell r="U1432" t="str">
            <v>Tammy Davies</v>
          </cell>
          <cell r="V1432">
            <v>45803</v>
          </cell>
          <cell r="W1432">
            <v>45855</v>
          </cell>
          <cell r="Y1432">
            <v>45796</v>
          </cell>
          <cell r="AC1432">
            <v>45848</v>
          </cell>
        </row>
        <row r="1433">
          <cell r="I1433" t="str">
            <v>Forms</v>
          </cell>
          <cell r="L1433" t="str">
            <v>[3896]</v>
          </cell>
          <cell r="N1433" t="str">
            <v>Mapping</v>
          </cell>
          <cell r="O1433" t="str">
            <v>No</v>
          </cell>
          <cell r="Q1433" t="str">
            <v>Cancelled</v>
          </cell>
          <cell r="R1433">
            <v>45786.805960648147</v>
          </cell>
          <cell r="S1433" t="str">
            <v>Karim Tarek</v>
          </cell>
          <cell r="T1433">
            <v>46049</v>
          </cell>
          <cell r="U1433" t="str">
            <v>Trish Kalinczok</v>
          </cell>
        </row>
        <row r="1434">
          <cell r="I1434" t="str">
            <v>EDI</v>
          </cell>
          <cell r="L1434">
            <v>3933</v>
          </cell>
          <cell r="N1434" t="str">
            <v>Production</v>
          </cell>
          <cell r="O1434" t="str">
            <v>No</v>
          </cell>
          <cell r="Q1434" t="str">
            <v>Live</v>
          </cell>
          <cell r="R1434">
            <v>45786.805960648147</v>
          </cell>
          <cell r="S1434" t="str">
            <v>Andrew Ramy</v>
          </cell>
          <cell r="T1434">
            <v>45811</v>
          </cell>
          <cell r="U1434" t="str">
            <v>Trish Kalinczok</v>
          </cell>
          <cell r="V1434">
            <v>45818</v>
          </cell>
          <cell r="W1434">
            <v>45831</v>
          </cell>
          <cell r="Y1434">
            <v>45809</v>
          </cell>
          <cell r="AC1434">
            <v>45831</v>
          </cell>
        </row>
        <row r="1435">
          <cell r="I1435" t="str">
            <v>EDI</v>
          </cell>
          <cell r="L1435">
            <v>3924</v>
          </cell>
          <cell r="N1435" t="str">
            <v>Production</v>
          </cell>
          <cell r="O1435" t="str">
            <v>No</v>
          </cell>
          <cell r="Q1435" t="str">
            <v>Live</v>
          </cell>
          <cell r="R1435">
            <v>45786.754976851851</v>
          </cell>
          <cell r="S1435" t="str">
            <v>Alaa Yehia</v>
          </cell>
          <cell r="T1435">
            <v>45803</v>
          </cell>
          <cell r="U1435" t="str">
            <v>Tammy Davies</v>
          </cell>
          <cell r="V1435">
            <v>45820</v>
          </cell>
          <cell r="W1435">
            <v>45868</v>
          </cell>
          <cell r="Y1435">
            <v>45803</v>
          </cell>
          <cell r="AC1435">
            <v>45868</v>
          </cell>
        </row>
        <row r="1436">
          <cell r="I1436" t="str">
            <v>EDI</v>
          </cell>
          <cell r="L1436">
            <v>3947</v>
          </cell>
          <cell r="N1436" t="str">
            <v>Testing</v>
          </cell>
          <cell r="O1436" t="str">
            <v>No</v>
          </cell>
          <cell r="Q1436" t="str">
            <v>Cancelled</v>
          </cell>
          <cell r="R1436">
            <v>45786.731793981482</v>
          </cell>
          <cell r="S1436" t="str">
            <v>Karen Ramy</v>
          </cell>
          <cell r="T1436">
            <v>45820</v>
          </cell>
          <cell r="U1436" t="str">
            <v>Sara Johnson</v>
          </cell>
          <cell r="V1436">
            <v>45851</v>
          </cell>
          <cell r="Y1436">
            <v>45820</v>
          </cell>
        </row>
        <row r="1437">
          <cell r="I1437" t="str">
            <v>EDI</v>
          </cell>
          <cell r="L1437">
            <v>3922</v>
          </cell>
          <cell r="N1437" t="str">
            <v>Mapping</v>
          </cell>
          <cell r="O1437" t="str">
            <v>No</v>
          </cell>
          <cell r="Q1437" t="str">
            <v>Cancelled</v>
          </cell>
          <cell r="R1437">
            <v>45786.555138888893</v>
          </cell>
          <cell r="S1437" t="str">
            <v>Amr Salah</v>
          </cell>
          <cell r="T1437">
            <v>45799</v>
          </cell>
          <cell r="U1437" t="str">
            <v>Hans De Grouw</v>
          </cell>
          <cell r="Y1437">
            <v>45799</v>
          </cell>
        </row>
        <row r="1438">
          <cell r="I1438" t="str">
            <v>EDI</v>
          </cell>
          <cell r="L1438">
            <v>3898</v>
          </cell>
          <cell r="N1438" t="str">
            <v>Production</v>
          </cell>
          <cell r="O1438" t="str">
            <v>No</v>
          </cell>
          <cell r="Q1438" t="str">
            <v>Live</v>
          </cell>
          <cell r="R1438">
            <v>45785.821539351848</v>
          </cell>
          <cell r="S1438" t="str">
            <v>Reem Radwan</v>
          </cell>
          <cell r="T1438">
            <v>45791</v>
          </cell>
          <cell r="U1438" t="str">
            <v>Randi Frame</v>
          </cell>
          <cell r="V1438">
            <v>45818</v>
          </cell>
          <cell r="W1438">
            <v>45870</v>
          </cell>
          <cell r="Y1438">
            <v>45790</v>
          </cell>
          <cell r="AC1438">
            <v>45867</v>
          </cell>
        </row>
        <row r="1439">
          <cell r="I1439" t="str">
            <v>EDI</v>
          </cell>
          <cell r="L1439">
            <v>3917</v>
          </cell>
          <cell r="N1439" t="str">
            <v>Production</v>
          </cell>
          <cell r="O1439" t="str">
            <v>No</v>
          </cell>
          <cell r="Q1439" t="str">
            <v>Live</v>
          </cell>
          <cell r="R1439">
            <v>45785.661863425928</v>
          </cell>
          <cell r="S1439" t="str">
            <v>Ahmed Ali</v>
          </cell>
          <cell r="T1439">
            <v>45803</v>
          </cell>
          <cell r="U1439" t="str">
            <v>Tammy Davies</v>
          </cell>
          <cell r="V1439">
            <v>45830</v>
          </cell>
          <cell r="W1439">
            <v>45845</v>
          </cell>
          <cell r="Y1439">
            <v>45802</v>
          </cell>
          <cell r="AC1439">
            <v>45844</v>
          </cell>
        </row>
        <row r="1440">
          <cell r="I1440" t="str">
            <v>EDI</v>
          </cell>
          <cell r="N1440" t="str">
            <v>Pending Start</v>
          </cell>
          <cell r="O1440" t="str">
            <v>No</v>
          </cell>
          <cell r="Q1440" t="str">
            <v>Cancelled</v>
          </cell>
          <cell r="R1440">
            <v>45784.852662037039</v>
          </cell>
          <cell r="U1440" t="str">
            <v>Angie Winter</v>
          </cell>
        </row>
        <row r="1441">
          <cell r="I1441" t="str">
            <v>EDI</v>
          </cell>
          <cell r="L1441">
            <v>3895</v>
          </cell>
          <cell r="N1441" t="str">
            <v>Production</v>
          </cell>
          <cell r="O1441" t="str">
            <v>No</v>
          </cell>
          <cell r="Q1441" t="str">
            <v>Cancelled</v>
          </cell>
          <cell r="R1441">
            <v>45784.65</v>
          </cell>
          <cell r="S1441" t="str">
            <v>Nada Ashraf</v>
          </cell>
          <cell r="T1441">
            <v>45792</v>
          </cell>
          <cell r="U1441" t="str">
            <v>Tammy Davies</v>
          </cell>
          <cell r="V1441">
            <v>45811</v>
          </cell>
          <cell r="W1441">
            <v>45877</v>
          </cell>
          <cell r="Y1441">
            <v>45791</v>
          </cell>
          <cell r="AC1441">
            <v>45874</v>
          </cell>
        </row>
        <row r="1442">
          <cell r="I1442" t="str">
            <v>EDI</v>
          </cell>
          <cell r="L1442">
            <v>3946</v>
          </cell>
          <cell r="N1442" t="str">
            <v>Mapping</v>
          </cell>
          <cell r="O1442" t="str">
            <v>No</v>
          </cell>
          <cell r="Q1442" t="str">
            <v>Cancelled</v>
          </cell>
          <cell r="R1442">
            <v>45783.879849537043</v>
          </cell>
          <cell r="S1442" t="str">
            <v>Alaa Yehia</v>
          </cell>
          <cell r="T1442">
            <v>45820</v>
          </cell>
          <cell r="U1442" t="str">
            <v>Trish Kalinczok</v>
          </cell>
          <cell r="Y1442">
            <v>45819</v>
          </cell>
        </row>
        <row r="1443">
          <cell r="I1443" t="str">
            <v>Forms</v>
          </cell>
          <cell r="L1443" t="str">
            <v>[3869]</v>
          </cell>
          <cell r="N1443" t="str">
            <v>Testing</v>
          </cell>
          <cell r="O1443" t="str">
            <v>No</v>
          </cell>
          <cell r="Q1443" t="str">
            <v>Cancelled</v>
          </cell>
          <cell r="R1443">
            <v>45783.693993055553</v>
          </cell>
          <cell r="S1443" t="str">
            <v>Reem Radwan</v>
          </cell>
          <cell r="T1443">
            <v>45804</v>
          </cell>
          <cell r="U1443" t="str">
            <v>Trish Kalinczok</v>
          </cell>
        </row>
        <row r="1444">
          <cell r="I1444" t="str">
            <v>EDI</v>
          </cell>
          <cell r="L1444">
            <v>3904</v>
          </cell>
          <cell r="N1444" t="str">
            <v>Production</v>
          </cell>
          <cell r="O1444" t="str">
            <v>No</v>
          </cell>
          <cell r="Q1444" t="str">
            <v>Cancelled</v>
          </cell>
          <cell r="R1444">
            <v>45782.80190972222</v>
          </cell>
          <cell r="S1444" t="str">
            <v>Ahmed Ali</v>
          </cell>
          <cell r="T1444">
            <v>45797</v>
          </cell>
          <cell r="U1444" t="str">
            <v>Randi Frame</v>
          </cell>
          <cell r="V1444">
            <v>25569</v>
          </cell>
          <cell r="W1444">
            <v>45922</v>
          </cell>
          <cell r="Y1444">
            <v>45793</v>
          </cell>
          <cell r="AC1444">
            <v>45917</v>
          </cell>
        </row>
        <row r="1445">
          <cell r="I1445" t="str">
            <v>EDI</v>
          </cell>
          <cell r="L1445">
            <v>3914</v>
          </cell>
          <cell r="N1445" t="str">
            <v>Mapping</v>
          </cell>
          <cell r="O1445" t="str">
            <v>No</v>
          </cell>
          <cell r="Q1445" t="str">
            <v>Cancelled</v>
          </cell>
          <cell r="R1445">
            <v>45778.841296296298</v>
          </cell>
          <cell r="S1445" t="str">
            <v>Mina George</v>
          </cell>
          <cell r="T1445">
            <v>45797</v>
          </cell>
          <cell r="U1445" t="str">
            <v>Tammy Davies</v>
          </cell>
          <cell r="Y1445">
            <v>45796</v>
          </cell>
        </row>
        <row r="1446">
          <cell r="I1446" t="str">
            <v>EDI</v>
          </cell>
          <cell r="L1446">
            <v>3885</v>
          </cell>
          <cell r="N1446" t="str">
            <v>Production</v>
          </cell>
          <cell r="O1446" t="str">
            <v>No</v>
          </cell>
          <cell r="Q1446" t="str">
            <v>Live</v>
          </cell>
          <cell r="R1446">
            <v>45778.841296296298</v>
          </cell>
          <cell r="S1446" t="str">
            <v>Karim Tarek</v>
          </cell>
          <cell r="T1446">
            <v>45791</v>
          </cell>
          <cell r="U1446" t="str">
            <v>Tammy Davies</v>
          </cell>
          <cell r="V1446">
            <v>45827</v>
          </cell>
          <cell r="W1446">
            <v>45916</v>
          </cell>
          <cell r="Y1446">
            <v>45790</v>
          </cell>
          <cell r="AC1446">
            <v>45914</v>
          </cell>
        </row>
        <row r="1447">
          <cell r="I1447" t="str">
            <v>EDI</v>
          </cell>
          <cell r="L1447">
            <v>3912</v>
          </cell>
          <cell r="N1447" t="str">
            <v>Production</v>
          </cell>
          <cell r="O1447" t="str">
            <v>No</v>
          </cell>
          <cell r="Q1447" t="str">
            <v>Live</v>
          </cell>
          <cell r="R1447">
            <v>45778.841284722221</v>
          </cell>
          <cell r="S1447" t="str">
            <v>Mina George</v>
          </cell>
          <cell r="T1447">
            <v>45797</v>
          </cell>
          <cell r="U1447" t="str">
            <v>Tammy Davies</v>
          </cell>
          <cell r="V1447">
            <v>45846</v>
          </cell>
          <cell r="W1447">
            <v>45868</v>
          </cell>
          <cell r="Y1447">
            <v>45796</v>
          </cell>
          <cell r="AC1447">
            <v>45867</v>
          </cell>
        </row>
        <row r="1448">
          <cell r="I1448" t="str">
            <v>EDI</v>
          </cell>
          <cell r="L1448">
            <v>3883</v>
          </cell>
          <cell r="N1448" t="str">
            <v>Production</v>
          </cell>
          <cell r="O1448" t="str">
            <v>No</v>
          </cell>
          <cell r="Q1448" t="str">
            <v>Live</v>
          </cell>
          <cell r="R1448">
            <v>45777.878217592603</v>
          </cell>
          <cell r="S1448" t="str">
            <v>Mirna Azmy</v>
          </cell>
          <cell r="T1448">
            <v>45789</v>
          </cell>
          <cell r="U1448" t="str">
            <v>Tyler  Raposa</v>
          </cell>
          <cell r="V1448">
            <v>45791</v>
          </cell>
          <cell r="W1448">
            <v>25569</v>
          </cell>
          <cell r="Y1448">
            <v>45785</v>
          </cell>
          <cell r="AC1448">
            <v>45818</v>
          </cell>
        </row>
        <row r="1449">
          <cell r="I1449" t="str">
            <v>EDI</v>
          </cell>
          <cell r="L1449">
            <v>3973</v>
          </cell>
          <cell r="N1449" t="str">
            <v>Production</v>
          </cell>
          <cell r="O1449" t="str">
            <v>No</v>
          </cell>
          <cell r="Q1449" t="str">
            <v>Live</v>
          </cell>
          <cell r="R1449">
            <v>45777.586631944447</v>
          </cell>
          <cell r="S1449" t="str">
            <v>Andrew Ramy</v>
          </cell>
          <cell r="T1449">
            <v>45832</v>
          </cell>
          <cell r="U1449" t="str">
            <v>Rhettsmey Meak</v>
          </cell>
          <cell r="V1449">
            <v>45833</v>
          </cell>
          <cell r="W1449">
            <v>45966</v>
          </cell>
          <cell r="Y1449">
            <v>45831</v>
          </cell>
          <cell r="AC1449">
            <v>45966</v>
          </cell>
        </row>
        <row r="1450">
          <cell r="I1450" t="str">
            <v>EDI</v>
          </cell>
          <cell r="L1450">
            <v>3929</v>
          </cell>
          <cell r="N1450" t="str">
            <v>Testing</v>
          </cell>
          <cell r="O1450" t="str">
            <v>No</v>
          </cell>
          <cell r="Q1450" t="str">
            <v>On Hold</v>
          </cell>
          <cell r="R1450">
            <v>45775.676770833343</v>
          </cell>
          <cell r="S1450" t="str">
            <v>Reem Radwan</v>
          </cell>
          <cell r="T1450">
            <v>45810</v>
          </cell>
          <cell r="U1450" t="str">
            <v>Rhettsmey Meak</v>
          </cell>
          <cell r="V1450">
            <v>45833</v>
          </cell>
          <cell r="Y1450">
            <v>45806</v>
          </cell>
        </row>
        <row r="1451">
          <cell r="I1451" t="str">
            <v>EDI</v>
          </cell>
          <cell r="L1451">
            <v>3868</v>
          </cell>
          <cell r="N1451" t="str">
            <v>Production</v>
          </cell>
          <cell r="O1451" t="str">
            <v>No</v>
          </cell>
          <cell r="Q1451" t="str">
            <v>Live</v>
          </cell>
          <cell r="R1451">
            <v>45775.672430555547</v>
          </cell>
          <cell r="S1451" t="str">
            <v>Reem Radwan</v>
          </cell>
          <cell r="T1451">
            <v>45784</v>
          </cell>
          <cell r="U1451" t="str">
            <v>Rhettsmey Meak</v>
          </cell>
          <cell r="V1451">
            <v>45842</v>
          </cell>
          <cell r="W1451">
            <v>45910</v>
          </cell>
          <cell r="Y1451">
            <v>45778</v>
          </cell>
          <cell r="AC1451">
            <v>45909</v>
          </cell>
        </row>
        <row r="1452">
          <cell r="I1452" t="str">
            <v>EDI</v>
          </cell>
          <cell r="L1452">
            <v>3901</v>
          </cell>
          <cell r="N1452" t="str">
            <v>Production</v>
          </cell>
          <cell r="O1452" t="str">
            <v>No</v>
          </cell>
          <cell r="Q1452" t="str">
            <v>Live</v>
          </cell>
          <cell r="R1452">
            <v>45775.665856481479</v>
          </cell>
          <cell r="S1452" t="str">
            <v>Reem Radwan</v>
          </cell>
          <cell r="T1452">
            <v>45797</v>
          </cell>
          <cell r="U1452" t="str">
            <v>Trish Kalinczok</v>
          </cell>
          <cell r="V1452">
            <v>45818</v>
          </cell>
          <cell r="W1452">
            <v>45838</v>
          </cell>
          <cell r="Y1452">
            <v>45793</v>
          </cell>
          <cell r="AC1452">
            <v>45833</v>
          </cell>
        </row>
        <row r="1453">
          <cell r="I1453" t="str">
            <v>EDI</v>
          </cell>
          <cell r="L1453">
            <v>3911</v>
          </cell>
          <cell r="N1453" t="str">
            <v>Testing</v>
          </cell>
          <cell r="O1453" t="str">
            <v>No</v>
          </cell>
          <cell r="Q1453" t="str">
            <v>Cancelled</v>
          </cell>
          <cell r="R1453">
            <v>45775.641539351847</v>
          </cell>
          <cell r="S1453" t="str">
            <v>Zeyad Khaled</v>
          </cell>
          <cell r="T1453">
            <v>45791</v>
          </cell>
          <cell r="U1453" t="str">
            <v>Rhettsmey Meak</v>
          </cell>
          <cell r="V1453">
            <v>45811</v>
          </cell>
          <cell r="Y1453">
            <v>45788</v>
          </cell>
        </row>
        <row r="1454">
          <cell r="I1454" t="str">
            <v>EDI</v>
          </cell>
          <cell r="L1454">
            <v>3880</v>
          </cell>
          <cell r="N1454" t="str">
            <v>Production</v>
          </cell>
          <cell r="O1454" t="str">
            <v>No</v>
          </cell>
          <cell r="Q1454" t="str">
            <v>Live</v>
          </cell>
          <cell r="R1454">
            <v>45775.56927083333</v>
          </cell>
          <cell r="S1454" t="str">
            <v>Mirna Azmy</v>
          </cell>
          <cell r="T1454">
            <v>45789</v>
          </cell>
          <cell r="U1454" t="str">
            <v>Carolina Tanoue</v>
          </cell>
          <cell r="V1454">
            <v>45789</v>
          </cell>
          <cell r="W1454">
            <v>45888</v>
          </cell>
          <cell r="Y1454">
            <v>45783</v>
          </cell>
          <cell r="AC1454">
            <v>45886</v>
          </cell>
        </row>
        <row r="1455">
          <cell r="I1455" t="str">
            <v>EDI</v>
          </cell>
          <cell r="L1455">
            <v>3862</v>
          </cell>
          <cell r="N1455" t="str">
            <v>Production</v>
          </cell>
          <cell r="O1455" t="str">
            <v>No</v>
          </cell>
          <cell r="Q1455" t="str">
            <v>Live</v>
          </cell>
          <cell r="R1455">
            <v>45772.89644675926</v>
          </cell>
          <cell r="S1455" t="str">
            <v>Noha Moustafa</v>
          </cell>
          <cell r="T1455">
            <v>45782</v>
          </cell>
          <cell r="U1455" t="str">
            <v>Tammy Davies</v>
          </cell>
          <cell r="V1455">
            <v>45812</v>
          </cell>
          <cell r="W1455">
            <v>45887</v>
          </cell>
          <cell r="Y1455">
            <v>45778</v>
          </cell>
          <cell r="AC1455">
            <v>45887</v>
          </cell>
        </row>
        <row r="1456">
          <cell r="I1456" t="str">
            <v>EDI</v>
          </cell>
          <cell r="L1456">
            <v>3899</v>
          </cell>
          <cell r="N1456" t="str">
            <v>Production</v>
          </cell>
          <cell r="O1456" t="str">
            <v>No</v>
          </cell>
          <cell r="Q1456" t="str">
            <v>Cancelled</v>
          </cell>
          <cell r="R1456">
            <v>45771.812395833331</v>
          </cell>
          <cell r="S1456" t="str">
            <v>Reem Radwan</v>
          </cell>
          <cell r="T1456">
            <v>45791</v>
          </cell>
          <cell r="U1456" t="str">
            <v>Tammy Davies</v>
          </cell>
          <cell r="V1456">
            <v>45825</v>
          </cell>
          <cell r="W1456">
            <v>25569</v>
          </cell>
          <cell r="Y1456">
            <v>45788</v>
          </cell>
          <cell r="AC1456">
            <v>45828</v>
          </cell>
        </row>
        <row r="1457">
          <cell r="I1457" t="str">
            <v>EDI</v>
          </cell>
          <cell r="L1457">
            <v>3915</v>
          </cell>
          <cell r="N1457" t="str">
            <v>Production</v>
          </cell>
          <cell r="O1457" t="str">
            <v>No</v>
          </cell>
          <cell r="Q1457" t="str">
            <v>Cancelled</v>
          </cell>
          <cell r="R1457">
            <v>45771.806284722217</v>
          </cell>
          <cell r="S1457" t="str">
            <v>Marwan Tawfik</v>
          </cell>
          <cell r="T1457">
            <v>45799</v>
          </cell>
          <cell r="U1457" t="str">
            <v>Tammy Davies</v>
          </cell>
          <cell r="V1457">
            <v>45830</v>
          </cell>
          <cell r="W1457">
            <v>45929</v>
          </cell>
          <cell r="Y1457">
            <v>45798</v>
          </cell>
          <cell r="AC1457">
            <v>45928</v>
          </cell>
        </row>
        <row r="1458">
          <cell r="I1458" t="str">
            <v>EDI</v>
          </cell>
          <cell r="L1458">
            <v>3894</v>
          </cell>
          <cell r="N1458" t="str">
            <v>Production</v>
          </cell>
          <cell r="O1458" t="str">
            <v>No</v>
          </cell>
          <cell r="Q1458" t="str">
            <v>Cancelled</v>
          </cell>
          <cell r="R1458">
            <v>45771.805439814823</v>
          </cell>
          <cell r="S1458" t="str">
            <v>Aya Fathy</v>
          </cell>
          <cell r="T1458">
            <v>45791</v>
          </cell>
          <cell r="U1458" t="str">
            <v>Amy Bergstrom</v>
          </cell>
          <cell r="V1458">
            <v>45797</v>
          </cell>
          <cell r="W1458">
            <v>45853</v>
          </cell>
          <cell r="Y1458">
            <v>45790</v>
          </cell>
          <cell r="AC1458">
            <v>45851</v>
          </cell>
        </row>
        <row r="1459">
          <cell r="I1459" t="str">
            <v>EDI</v>
          </cell>
          <cell r="L1459">
            <v>3878</v>
          </cell>
          <cell r="N1459" t="str">
            <v>Production</v>
          </cell>
          <cell r="O1459" t="str">
            <v>No</v>
          </cell>
          <cell r="Q1459" t="str">
            <v>Live</v>
          </cell>
          <cell r="R1459">
            <v>45771.729953703703</v>
          </cell>
          <cell r="S1459" t="str">
            <v>Mirna Azmy</v>
          </cell>
          <cell r="T1459">
            <v>45789</v>
          </cell>
          <cell r="U1459" t="str">
            <v>Shelly Knox</v>
          </cell>
          <cell r="V1459">
            <v>45789</v>
          </cell>
          <cell r="W1459">
            <v>45813</v>
          </cell>
          <cell r="Y1459">
            <v>45782</v>
          </cell>
          <cell r="AC1459">
            <v>45811</v>
          </cell>
        </row>
        <row r="1460">
          <cell r="I1460" t="str">
            <v>EDI</v>
          </cell>
          <cell r="L1460">
            <v>3907</v>
          </cell>
          <cell r="N1460" t="str">
            <v>Production</v>
          </cell>
          <cell r="O1460" t="str">
            <v>No</v>
          </cell>
          <cell r="Q1460" t="str">
            <v>Cancelled</v>
          </cell>
          <cell r="R1460">
            <v>45770.032627314817</v>
          </cell>
          <cell r="S1460" t="str">
            <v>Omnia Abdelaziz</v>
          </cell>
          <cell r="T1460">
            <v>45797</v>
          </cell>
          <cell r="U1460" t="str">
            <v>Carolina Tanoue</v>
          </cell>
          <cell r="V1460">
            <v>45840</v>
          </cell>
          <cell r="W1460">
            <v>45859</v>
          </cell>
          <cell r="Y1460">
            <v>45795</v>
          </cell>
          <cell r="AC1460">
            <v>45848</v>
          </cell>
        </row>
        <row r="1461">
          <cell r="I1461" t="str">
            <v>EDI</v>
          </cell>
          <cell r="L1461">
            <v>3889</v>
          </cell>
          <cell r="N1461" t="str">
            <v>Production</v>
          </cell>
          <cell r="O1461" t="str">
            <v>No</v>
          </cell>
          <cell r="Q1461" t="str">
            <v>Live</v>
          </cell>
          <cell r="R1461">
            <v>45770.032627314817</v>
          </cell>
          <cell r="S1461" t="str">
            <v>Omnia Abdelaziz</v>
          </cell>
          <cell r="T1461">
            <v>45792</v>
          </cell>
          <cell r="U1461" t="str">
            <v>Carolina Tanoue</v>
          </cell>
          <cell r="V1461">
            <v>45826</v>
          </cell>
          <cell r="W1461">
            <v>45859</v>
          </cell>
          <cell r="Y1461">
            <v>45791</v>
          </cell>
          <cell r="AC1461">
            <v>45848</v>
          </cell>
        </row>
        <row r="1462">
          <cell r="I1462" t="str">
            <v>EDI</v>
          </cell>
          <cell r="L1462">
            <v>3923</v>
          </cell>
          <cell r="N1462" t="str">
            <v>Production</v>
          </cell>
          <cell r="O1462" t="str">
            <v>No</v>
          </cell>
          <cell r="Q1462" t="str">
            <v>Live</v>
          </cell>
          <cell r="R1462">
            <v>45770.032627314817</v>
          </cell>
          <cell r="S1462" t="str">
            <v>Mirna Azmy</v>
          </cell>
          <cell r="T1462">
            <v>45805</v>
          </cell>
          <cell r="U1462" t="str">
            <v>Carolina Tanoue</v>
          </cell>
          <cell r="V1462">
            <v>45834</v>
          </cell>
          <cell r="W1462">
            <v>45866</v>
          </cell>
          <cell r="Y1462">
            <v>45797</v>
          </cell>
          <cell r="AC1462">
            <v>45855</v>
          </cell>
        </row>
        <row r="1463">
          <cell r="I1463" t="str">
            <v>EDI</v>
          </cell>
          <cell r="L1463">
            <v>3833</v>
          </cell>
          <cell r="N1463" t="str">
            <v>Production</v>
          </cell>
          <cell r="O1463" t="str">
            <v>No</v>
          </cell>
          <cell r="Q1463" t="str">
            <v>Live</v>
          </cell>
          <cell r="R1463">
            <v>45769.777129629627</v>
          </cell>
          <cell r="S1463" t="str">
            <v>Marwan Tawfik</v>
          </cell>
          <cell r="T1463">
            <v>45771</v>
          </cell>
          <cell r="U1463" t="str">
            <v>Gregory Dubec</v>
          </cell>
          <cell r="V1463">
            <v>45810</v>
          </cell>
          <cell r="W1463">
            <v>45904</v>
          </cell>
          <cell r="Y1463">
            <v>45770</v>
          </cell>
          <cell r="AC1463">
            <v>45900</v>
          </cell>
        </row>
        <row r="1464">
          <cell r="I1464" t="str">
            <v>EDI</v>
          </cell>
          <cell r="L1464">
            <v>3888</v>
          </cell>
          <cell r="N1464" t="str">
            <v>Production</v>
          </cell>
          <cell r="O1464" t="str">
            <v>No</v>
          </cell>
          <cell r="Q1464" t="str">
            <v>Cancelled</v>
          </cell>
          <cell r="R1464">
            <v>45769.64534722222</v>
          </cell>
          <cell r="S1464" t="str">
            <v>Andrew Ramy</v>
          </cell>
          <cell r="T1464">
            <v>45792</v>
          </cell>
          <cell r="U1464" t="str">
            <v>Trish Kalinczok</v>
          </cell>
          <cell r="V1464">
            <v>45797</v>
          </cell>
          <cell r="W1464">
            <v>45908</v>
          </cell>
          <cell r="Y1464">
            <v>45787</v>
          </cell>
          <cell r="AC1464">
            <v>45907</v>
          </cell>
        </row>
        <row r="1465">
          <cell r="I1465" t="str">
            <v>EDI</v>
          </cell>
          <cell r="L1465">
            <v>3952</v>
          </cell>
          <cell r="N1465" t="str">
            <v>Production</v>
          </cell>
          <cell r="O1465" t="str">
            <v>No</v>
          </cell>
          <cell r="Q1465" t="str">
            <v>Live</v>
          </cell>
          <cell r="R1465">
            <v>45768.715590277781</v>
          </cell>
          <cell r="S1465" t="str">
            <v>Reem Radwan</v>
          </cell>
          <cell r="T1465">
            <v>45820</v>
          </cell>
          <cell r="U1465" t="str">
            <v>Trish Kalinczok</v>
          </cell>
          <cell r="V1465">
            <v>45853</v>
          </cell>
          <cell r="W1465">
            <v>45938</v>
          </cell>
          <cell r="Y1465">
            <v>45820</v>
          </cell>
          <cell r="AC1465">
            <v>45938</v>
          </cell>
        </row>
        <row r="1466">
          <cell r="I1466" t="str">
            <v>EDI</v>
          </cell>
          <cell r="N1466" t="str">
            <v>Requirements Gathering</v>
          </cell>
          <cell r="O1466" t="str">
            <v>No</v>
          </cell>
          <cell r="Q1466" t="str">
            <v>Cancelled</v>
          </cell>
          <cell r="R1466">
            <v>45765.734375</v>
          </cell>
          <cell r="S1466" t="str">
            <v>Sandra Adel</v>
          </cell>
          <cell r="T1466">
            <v>45769</v>
          </cell>
          <cell r="U1466" t="str">
            <v>Rhettsmey Meak</v>
          </cell>
        </row>
        <row r="1467">
          <cell r="I1467" t="str">
            <v>Forms</v>
          </cell>
          <cell r="L1467" t="str">
            <v>[3897]</v>
          </cell>
          <cell r="N1467" t="str">
            <v>Mapping</v>
          </cell>
          <cell r="O1467" t="str">
            <v>Everything Benefits</v>
          </cell>
          <cell r="P1467" t="str">
            <v>Phase 1 - Map Built</v>
          </cell>
          <cell r="Q1467" t="str">
            <v>Cancelled</v>
          </cell>
          <cell r="R1467">
            <v>45765.594641203701</v>
          </cell>
          <cell r="S1467" t="str">
            <v>Omnia Abdelaziz</v>
          </cell>
          <cell r="T1467">
            <v>45778</v>
          </cell>
          <cell r="U1467" t="str">
            <v>Trish Kalinczok</v>
          </cell>
        </row>
        <row r="1468">
          <cell r="I1468" t="str">
            <v>EDI</v>
          </cell>
          <cell r="L1468">
            <v>3903</v>
          </cell>
          <cell r="N1468" t="str">
            <v>Production</v>
          </cell>
          <cell r="O1468" t="str">
            <v>No</v>
          </cell>
          <cell r="Q1468" t="str">
            <v>Live</v>
          </cell>
          <cell r="R1468">
            <v>45765.582337962973</v>
          </cell>
          <cell r="S1468" t="str">
            <v>Karim Tarek</v>
          </cell>
          <cell r="T1468">
            <v>45797</v>
          </cell>
          <cell r="U1468" t="str">
            <v>Trish Kalinczok</v>
          </cell>
          <cell r="V1468">
            <v>45810</v>
          </cell>
          <cell r="W1468">
            <v>45880</v>
          </cell>
          <cell r="Y1468">
            <v>45796</v>
          </cell>
          <cell r="AC1468">
            <v>45874</v>
          </cell>
        </row>
        <row r="1469">
          <cell r="I1469" t="str">
            <v>EDI</v>
          </cell>
          <cell r="L1469">
            <v>3870</v>
          </cell>
          <cell r="N1469" t="str">
            <v>Production</v>
          </cell>
          <cell r="O1469" t="str">
            <v>No</v>
          </cell>
          <cell r="Q1469" t="str">
            <v>Live</v>
          </cell>
          <cell r="R1469">
            <v>45765.582337962973</v>
          </cell>
          <cell r="S1469" t="str">
            <v>Karim Tarek</v>
          </cell>
          <cell r="T1469">
            <v>45784</v>
          </cell>
          <cell r="U1469" t="str">
            <v>Trish Kalinczok</v>
          </cell>
          <cell r="V1469">
            <v>45790</v>
          </cell>
          <cell r="W1469">
            <v>45803</v>
          </cell>
          <cell r="Y1469">
            <v>45784</v>
          </cell>
          <cell r="AC1469">
            <v>45799</v>
          </cell>
        </row>
        <row r="1470">
          <cell r="I1470" t="str">
            <v>EDI</v>
          </cell>
          <cell r="N1470" t="str">
            <v>Requirements Gathering</v>
          </cell>
          <cell r="O1470" t="str">
            <v>No</v>
          </cell>
          <cell r="Q1470" t="str">
            <v>Cancelled</v>
          </cell>
          <cell r="R1470">
            <v>45765.582337962973</v>
          </cell>
          <cell r="S1470" t="str">
            <v>Lourina Edmon</v>
          </cell>
          <cell r="T1470">
            <v>45769</v>
          </cell>
          <cell r="U1470" t="str">
            <v>Trish Kalinczok</v>
          </cell>
        </row>
        <row r="1471">
          <cell r="I1471" t="str">
            <v>EDI</v>
          </cell>
          <cell r="L1471">
            <v>3942</v>
          </cell>
          <cell r="N1471" t="str">
            <v>Production</v>
          </cell>
          <cell r="O1471" t="str">
            <v>No</v>
          </cell>
          <cell r="Q1471" t="str">
            <v>Live</v>
          </cell>
          <cell r="R1471">
            <v>45764.872245370367</v>
          </cell>
          <cell r="S1471" t="str">
            <v>Mina Kamil</v>
          </cell>
          <cell r="T1471">
            <v>45820</v>
          </cell>
          <cell r="U1471" t="str">
            <v>Trish Kalinczok</v>
          </cell>
          <cell r="W1471">
            <v>45874</v>
          </cell>
          <cell r="Y1471">
            <v>45820</v>
          </cell>
          <cell r="AC1471">
            <v>45872</v>
          </cell>
        </row>
        <row r="1472">
          <cell r="I1472" t="str">
            <v>EDI</v>
          </cell>
          <cell r="L1472">
            <v>3850</v>
          </cell>
          <cell r="N1472" t="str">
            <v>Production</v>
          </cell>
          <cell r="O1472" t="str">
            <v>No</v>
          </cell>
          <cell r="Q1472" t="str">
            <v>Live</v>
          </cell>
          <cell r="R1472">
            <v>45764.615428240737</v>
          </cell>
          <cell r="S1472" t="str">
            <v>Mirna Azmy</v>
          </cell>
          <cell r="T1472">
            <v>45777</v>
          </cell>
          <cell r="U1472" t="str">
            <v>Jay Lang</v>
          </cell>
          <cell r="V1472">
            <v>45788</v>
          </cell>
          <cell r="W1472">
            <v>45813</v>
          </cell>
          <cell r="Y1472">
            <v>45776</v>
          </cell>
          <cell r="AC1472">
            <v>45811</v>
          </cell>
        </row>
        <row r="1473">
          <cell r="I1473" t="str">
            <v>EDI</v>
          </cell>
          <cell r="L1473">
            <v>3842</v>
          </cell>
          <cell r="N1473" t="str">
            <v>Production</v>
          </cell>
          <cell r="O1473" t="str">
            <v>No</v>
          </cell>
          <cell r="Q1473" t="str">
            <v>Live</v>
          </cell>
          <cell r="R1473">
            <v>45762.90357638889</v>
          </cell>
          <cell r="S1473" t="str">
            <v>Dina Medhat</v>
          </cell>
          <cell r="T1473">
            <v>45776</v>
          </cell>
          <cell r="U1473" t="str">
            <v>Hans De Grouw</v>
          </cell>
          <cell r="V1473">
            <v>45888</v>
          </cell>
          <cell r="W1473">
            <v>46002</v>
          </cell>
          <cell r="AC1473">
            <v>46002</v>
          </cell>
        </row>
        <row r="1474">
          <cell r="I1474" t="str">
            <v>EDI</v>
          </cell>
          <cell r="L1474">
            <v>3842</v>
          </cell>
          <cell r="N1474" t="str">
            <v>Production</v>
          </cell>
          <cell r="O1474" t="str">
            <v>No</v>
          </cell>
          <cell r="Q1474" t="str">
            <v>Live</v>
          </cell>
          <cell r="R1474">
            <v>45762.901666666658</v>
          </cell>
          <cell r="S1474" t="str">
            <v>Dina Medhat</v>
          </cell>
          <cell r="T1474">
            <v>45776</v>
          </cell>
          <cell r="U1474" t="str">
            <v>Hans De Grouw</v>
          </cell>
          <cell r="V1474">
            <v>45888</v>
          </cell>
          <cell r="W1474">
            <v>46002</v>
          </cell>
          <cell r="AC1474">
            <v>46002</v>
          </cell>
        </row>
        <row r="1475">
          <cell r="I1475" t="str">
            <v>EDI</v>
          </cell>
          <cell r="L1475">
            <v>3842</v>
          </cell>
          <cell r="N1475" t="str">
            <v>Production</v>
          </cell>
          <cell r="O1475" t="str">
            <v>No</v>
          </cell>
          <cell r="Q1475" t="str">
            <v>Live</v>
          </cell>
          <cell r="R1475">
            <v>45762.899826388893</v>
          </cell>
          <cell r="S1475" t="str">
            <v>Dina Medhat</v>
          </cell>
          <cell r="T1475">
            <v>45776</v>
          </cell>
          <cell r="U1475" t="str">
            <v>Hans De Grouw</v>
          </cell>
          <cell r="V1475">
            <v>45888</v>
          </cell>
          <cell r="W1475">
            <v>46002</v>
          </cell>
          <cell r="AC1475">
            <v>46002</v>
          </cell>
        </row>
        <row r="1476">
          <cell r="I1476" t="str">
            <v>EDI</v>
          </cell>
          <cell r="L1476">
            <v>3842</v>
          </cell>
          <cell r="N1476" t="str">
            <v>Production</v>
          </cell>
          <cell r="O1476" t="str">
            <v>No</v>
          </cell>
          <cell r="Q1476" t="str">
            <v>Live</v>
          </cell>
          <cell r="R1476">
            <v>45762.898078703707</v>
          </cell>
          <cell r="S1476" t="str">
            <v>Dina Medhat</v>
          </cell>
          <cell r="T1476">
            <v>45776</v>
          </cell>
          <cell r="U1476" t="str">
            <v>Hans De Grouw</v>
          </cell>
          <cell r="V1476">
            <v>45888</v>
          </cell>
          <cell r="W1476">
            <v>46002</v>
          </cell>
          <cell r="AC1476">
            <v>46002</v>
          </cell>
        </row>
        <row r="1477">
          <cell r="I1477" t="str">
            <v>EDI</v>
          </cell>
          <cell r="L1477">
            <v>3842</v>
          </cell>
          <cell r="N1477" t="str">
            <v>Production</v>
          </cell>
          <cell r="O1477" t="str">
            <v>No</v>
          </cell>
          <cell r="Q1477" t="str">
            <v>Live</v>
          </cell>
          <cell r="R1477">
            <v>45762.896099537043</v>
          </cell>
          <cell r="S1477" t="str">
            <v>Dina Medhat</v>
          </cell>
          <cell r="T1477">
            <v>45776</v>
          </cell>
          <cell r="U1477" t="str">
            <v>Hans De Grouw</v>
          </cell>
          <cell r="V1477">
            <v>45888</v>
          </cell>
          <cell r="W1477">
            <v>46002</v>
          </cell>
          <cell r="AC1477">
            <v>46002</v>
          </cell>
        </row>
        <row r="1478">
          <cell r="I1478" t="str">
            <v>EDI</v>
          </cell>
          <cell r="L1478">
            <v>3842</v>
          </cell>
          <cell r="N1478" t="str">
            <v>Production</v>
          </cell>
          <cell r="O1478" t="str">
            <v>No</v>
          </cell>
          <cell r="Q1478" t="str">
            <v>Live</v>
          </cell>
          <cell r="R1478">
            <v>45762.894178240742</v>
          </cell>
          <cell r="S1478" t="str">
            <v>Dina Medhat</v>
          </cell>
          <cell r="T1478">
            <v>45776</v>
          </cell>
          <cell r="U1478" t="str">
            <v>Hans De Grouw</v>
          </cell>
          <cell r="V1478">
            <v>45888</v>
          </cell>
          <cell r="W1478">
            <v>46002</v>
          </cell>
          <cell r="AC1478">
            <v>46002</v>
          </cell>
        </row>
        <row r="1479">
          <cell r="I1479" t="str">
            <v>EDI</v>
          </cell>
          <cell r="L1479">
            <v>3842</v>
          </cell>
          <cell r="N1479" t="str">
            <v>Production</v>
          </cell>
          <cell r="O1479" t="str">
            <v>No</v>
          </cell>
          <cell r="Q1479" t="str">
            <v>Live</v>
          </cell>
          <cell r="R1479">
            <v>45762.891192129631</v>
          </cell>
          <cell r="S1479" t="str">
            <v>Mirna Azmy</v>
          </cell>
          <cell r="T1479">
            <v>45776</v>
          </cell>
          <cell r="U1479" t="str">
            <v>Hans De Grouw</v>
          </cell>
          <cell r="V1479">
            <v>45888</v>
          </cell>
          <cell r="W1479">
            <v>46002</v>
          </cell>
          <cell r="Y1479">
            <v>45771</v>
          </cell>
          <cell r="AC1479">
            <v>46002</v>
          </cell>
        </row>
        <row r="1480">
          <cell r="I1480" t="str">
            <v>EDI</v>
          </cell>
          <cell r="L1480">
            <v>3842</v>
          </cell>
          <cell r="N1480" t="str">
            <v>Production</v>
          </cell>
          <cell r="O1480" t="str">
            <v>No</v>
          </cell>
          <cell r="Q1480" t="str">
            <v>Live</v>
          </cell>
          <cell r="R1480">
            <v>45762.889189814807</v>
          </cell>
          <cell r="S1480" t="str">
            <v>Dina Medhat</v>
          </cell>
          <cell r="T1480">
            <v>45776</v>
          </cell>
          <cell r="U1480" t="str">
            <v>Hans De Grouw</v>
          </cell>
          <cell r="V1480">
            <v>45888</v>
          </cell>
          <cell r="W1480">
            <v>46002</v>
          </cell>
          <cell r="AC1480">
            <v>46002</v>
          </cell>
        </row>
        <row r="1481">
          <cell r="I1481" t="str">
            <v>EDI</v>
          </cell>
          <cell r="L1481">
            <v>3842</v>
          </cell>
          <cell r="N1481" t="str">
            <v>Production</v>
          </cell>
          <cell r="O1481" t="str">
            <v>No</v>
          </cell>
          <cell r="Q1481" t="str">
            <v>Live</v>
          </cell>
          <cell r="R1481">
            <v>45762.88653935185</v>
          </cell>
          <cell r="S1481" t="str">
            <v>Dina Medhat</v>
          </cell>
          <cell r="T1481">
            <v>45776</v>
          </cell>
          <cell r="U1481" t="str">
            <v>Hans De Grouw</v>
          </cell>
          <cell r="V1481">
            <v>45888</v>
          </cell>
          <cell r="W1481">
            <v>46002</v>
          </cell>
          <cell r="AC1481">
            <v>46002</v>
          </cell>
        </row>
        <row r="1482">
          <cell r="I1482" t="str">
            <v>EDI</v>
          </cell>
          <cell r="L1482">
            <v>3842</v>
          </cell>
          <cell r="N1482" t="str">
            <v>Production</v>
          </cell>
          <cell r="O1482" t="str">
            <v>No</v>
          </cell>
          <cell r="Q1482" t="str">
            <v>Live</v>
          </cell>
          <cell r="R1482">
            <v>45762.884317129632</v>
          </cell>
          <cell r="S1482" t="str">
            <v>Dina Medhat</v>
          </cell>
          <cell r="T1482">
            <v>45776</v>
          </cell>
          <cell r="U1482" t="str">
            <v>Hans De Grouw</v>
          </cell>
          <cell r="V1482">
            <v>45888</v>
          </cell>
          <cell r="W1482">
            <v>46002</v>
          </cell>
          <cell r="AC1482">
            <v>46002</v>
          </cell>
        </row>
        <row r="1483">
          <cell r="I1483" t="str">
            <v>EDI</v>
          </cell>
          <cell r="L1483">
            <v>3842</v>
          </cell>
          <cell r="N1483" t="str">
            <v>Production</v>
          </cell>
          <cell r="O1483" t="str">
            <v>No</v>
          </cell>
          <cell r="Q1483" t="str">
            <v>Live</v>
          </cell>
          <cell r="R1483">
            <v>45762.881006944437</v>
          </cell>
          <cell r="S1483" t="str">
            <v>Dina Medhat</v>
          </cell>
          <cell r="T1483">
            <v>45776</v>
          </cell>
          <cell r="U1483" t="str">
            <v>Hans De Grouw</v>
          </cell>
          <cell r="V1483">
            <v>45888</v>
          </cell>
          <cell r="W1483">
            <v>46002</v>
          </cell>
          <cell r="AC1483">
            <v>46002</v>
          </cell>
        </row>
        <row r="1484">
          <cell r="I1484" t="str">
            <v>EDI</v>
          </cell>
          <cell r="L1484">
            <v>3832</v>
          </cell>
          <cell r="N1484" t="str">
            <v>Production</v>
          </cell>
          <cell r="O1484" t="str">
            <v>No</v>
          </cell>
          <cell r="Q1484" t="str">
            <v>Live</v>
          </cell>
          <cell r="R1484">
            <v>45762.690509259257</v>
          </cell>
          <cell r="S1484" t="str">
            <v>Marwan Tawfik</v>
          </cell>
          <cell r="T1484">
            <v>45771</v>
          </cell>
          <cell r="U1484" t="str">
            <v>Rosalie Whitty</v>
          </cell>
          <cell r="V1484">
            <v>45785</v>
          </cell>
          <cell r="W1484">
            <v>45810</v>
          </cell>
          <cell r="Y1484">
            <v>45769</v>
          </cell>
          <cell r="AC1484">
            <v>45806</v>
          </cell>
        </row>
        <row r="1485">
          <cell r="I1485" t="str">
            <v>EDI</v>
          </cell>
          <cell r="L1485">
            <v>3855</v>
          </cell>
          <cell r="N1485" t="str">
            <v>Production</v>
          </cell>
          <cell r="O1485" t="str">
            <v>No</v>
          </cell>
          <cell r="Q1485" t="str">
            <v>Cancelled</v>
          </cell>
          <cell r="R1485">
            <v>45762.690497685187</v>
          </cell>
          <cell r="S1485" t="str">
            <v>Andrew Ramy</v>
          </cell>
          <cell r="T1485">
            <v>45778</v>
          </cell>
          <cell r="U1485" t="str">
            <v>Rosalie Whitty</v>
          </cell>
          <cell r="V1485">
            <v>45782</v>
          </cell>
          <cell r="W1485">
            <v>45817</v>
          </cell>
          <cell r="Y1485">
            <v>45771</v>
          </cell>
          <cell r="AC1485">
            <v>45811</v>
          </cell>
        </row>
        <row r="1486">
          <cell r="I1486" t="str">
            <v>EDI</v>
          </cell>
          <cell r="L1486">
            <v>3961</v>
          </cell>
          <cell r="N1486" t="str">
            <v>Production</v>
          </cell>
          <cell r="O1486" t="str">
            <v>No</v>
          </cell>
          <cell r="Q1486" t="str">
            <v>Live</v>
          </cell>
          <cell r="R1486">
            <v>45762.611250000002</v>
          </cell>
          <cell r="S1486" t="str">
            <v>Nada Ashraf</v>
          </cell>
          <cell r="T1486">
            <v>45825</v>
          </cell>
          <cell r="U1486" t="str">
            <v>Gregory Dubec</v>
          </cell>
          <cell r="V1486">
            <v>45844</v>
          </cell>
          <cell r="W1486">
            <v>45925</v>
          </cell>
          <cell r="Y1486">
            <v>45824</v>
          </cell>
          <cell r="AC1486">
            <v>45925</v>
          </cell>
        </row>
        <row r="1487">
          <cell r="I1487" t="str">
            <v>EDI</v>
          </cell>
          <cell r="N1487" t="str">
            <v>Requirements Gathering</v>
          </cell>
          <cell r="O1487" t="str">
            <v>No</v>
          </cell>
          <cell r="Q1487" t="str">
            <v>Cancelled</v>
          </cell>
          <cell r="R1487">
            <v>45762.611250000002</v>
          </cell>
          <cell r="S1487" t="str">
            <v>Lourina Edmon</v>
          </cell>
          <cell r="T1487">
            <v>45763</v>
          </cell>
          <cell r="U1487" t="str">
            <v>Gregory Dubec</v>
          </cell>
        </row>
        <row r="1488">
          <cell r="I1488" t="str">
            <v>EDI</v>
          </cell>
          <cell r="L1488">
            <v>3861</v>
          </cell>
          <cell r="N1488" t="str">
            <v>Production</v>
          </cell>
          <cell r="O1488" t="str">
            <v>No</v>
          </cell>
          <cell r="Q1488" t="str">
            <v>Live</v>
          </cell>
          <cell r="R1488">
            <v>45762.611215277779</v>
          </cell>
          <cell r="S1488" t="str">
            <v>Nada Ashraf</v>
          </cell>
          <cell r="T1488">
            <v>45782</v>
          </cell>
          <cell r="U1488" t="str">
            <v>Gregory Dubec</v>
          </cell>
          <cell r="V1488">
            <v>45796</v>
          </cell>
          <cell r="W1488">
            <v>45897</v>
          </cell>
          <cell r="Y1488">
            <v>45778</v>
          </cell>
          <cell r="AC1488">
            <v>45894</v>
          </cell>
        </row>
        <row r="1489">
          <cell r="I1489" t="str">
            <v>EDI</v>
          </cell>
          <cell r="L1489">
            <v>3910</v>
          </cell>
          <cell r="N1489" t="str">
            <v>Production</v>
          </cell>
          <cell r="O1489" t="str">
            <v>No</v>
          </cell>
          <cell r="Q1489" t="str">
            <v>Live</v>
          </cell>
          <cell r="R1489">
            <v>45762.611203703702</v>
          </cell>
          <cell r="S1489" t="str">
            <v>Nada Ashraf</v>
          </cell>
          <cell r="T1489">
            <v>45798</v>
          </cell>
          <cell r="U1489" t="str">
            <v>Gregory Dubec</v>
          </cell>
          <cell r="V1489">
            <v>25569</v>
          </cell>
          <cell r="W1489">
            <v>45897</v>
          </cell>
          <cell r="Y1489">
            <v>45797</v>
          </cell>
          <cell r="AC1489">
            <v>45894</v>
          </cell>
        </row>
        <row r="1490">
          <cell r="I1490" t="str">
            <v>EDI</v>
          </cell>
          <cell r="L1490">
            <v>3939</v>
          </cell>
          <cell r="N1490" t="str">
            <v>Production</v>
          </cell>
          <cell r="O1490" t="str">
            <v>No</v>
          </cell>
          <cell r="Q1490" t="str">
            <v>Live</v>
          </cell>
          <cell r="R1490">
            <v>45762.611203703702</v>
          </cell>
          <cell r="S1490" t="str">
            <v>Nada Ashraf</v>
          </cell>
          <cell r="T1490">
            <v>45820</v>
          </cell>
          <cell r="U1490" t="str">
            <v>Gregory Dubec</v>
          </cell>
          <cell r="V1490">
            <v>45833</v>
          </cell>
          <cell r="W1490">
            <v>45869</v>
          </cell>
          <cell r="Y1490">
            <v>45819</v>
          </cell>
          <cell r="AC1490">
            <v>45867</v>
          </cell>
        </row>
        <row r="1491">
          <cell r="I1491" t="str">
            <v>EDI</v>
          </cell>
          <cell r="N1491" t="str">
            <v>Requirements Gathering</v>
          </cell>
          <cell r="O1491" t="str">
            <v>No</v>
          </cell>
          <cell r="Q1491" t="str">
            <v>Cancelled</v>
          </cell>
          <cell r="R1491">
            <v>45762.611203703702</v>
          </cell>
          <cell r="S1491" t="str">
            <v>Sandra Adel</v>
          </cell>
          <cell r="T1491">
            <v>45763</v>
          </cell>
          <cell r="U1491" t="str">
            <v>Gregory Dubec</v>
          </cell>
        </row>
        <row r="1492">
          <cell r="I1492" t="str">
            <v>EDI</v>
          </cell>
          <cell r="L1492">
            <v>3847</v>
          </cell>
          <cell r="N1492" t="str">
            <v>Production</v>
          </cell>
          <cell r="O1492" t="str">
            <v>No</v>
          </cell>
          <cell r="Q1492" t="str">
            <v>Live</v>
          </cell>
          <cell r="R1492">
            <v>45761.814363425918</v>
          </cell>
          <cell r="S1492" t="str">
            <v>Aya Fathy</v>
          </cell>
          <cell r="T1492">
            <v>45771</v>
          </cell>
          <cell r="U1492" t="str">
            <v>Trish Kalinczok</v>
          </cell>
          <cell r="V1492">
            <v>25569</v>
          </cell>
          <cell r="W1492">
            <v>25569</v>
          </cell>
          <cell r="Y1492">
            <v>45769</v>
          </cell>
          <cell r="AC1492">
            <v>45819</v>
          </cell>
        </row>
        <row r="1493">
          <cell r="I1493" t="str">
            <v>EDI</v>
          </cell>
          <cell r="L1493">
            <v>3875</v>
          </cell>
          <cell r="N1493" t="str">
            <v>Testing</v>
          </cell>
          <cell r="O1493" t="str">
            <v>No</v>
          </cell>
          <cell r="Q1493" t="str">
            <v>In Progress</v>
          </cell>
          <cell r="R1493">
            <v>45761.724942129629</v>
          </cell>
          <cell r="S1493" t="str">
            <v>Zeyad Khaled</v>
          </cell>
          <cell r="T1493">
            <v>45785</v>
          </cell>
          <cell r="U1493" t="str">
            <v>Gregory Dubec</v>
          </cell>
          <cell r="V1493">
            <v>45803</v>
          </cell>
          <cell r="W1493">
            <v>45904</v>
          </cell>
          <cell r="Y1493">
            <v>45782</v>
          </cell>
          <cell r="AC1493">
            <v>45902</v>
          </cell>
        </row>
        <row r="1494">
          <cell r="I1494" t="str">
            <v>EDI</v>
          </cell>
          <cell r="L1494">
            <v>3900</v>
          </cell>
          <cell r="N1494" t="str">
            <v>Production</v>
          </cell>
          <cell r="O1494" t="str">
            <v>No</v>
          </cell>
          <cell r="Q1494" t="str">
            <v>Live</v>
          </cell>
          <cell r="R1494">
            <v>45758.616006944438</v>
          </cell>
          <cell r="S1494" t="str">
            <v>Karen Ramy</v>
          </cell>
          <cell r="T1494">
            <v>45792</v>
          </cell>
          <cell r="U1494" t="str">
            <v>Trish Kalinczok</v>
          </cell>
          <cell r="V1494">
            <v>45799</v>
          </cell>
          <cell r="W1494">
            <v>45810</v>
          </cell>
          <cell r="Y1494">
            <v>45792</v>
          </cell>
          <cell r="AC1494">
            <v>45805</v>
          </cell>
        </row>
        <row r="1495">
          <cell r="I1495" t="str">
            <v>EDI</v>
          </cell>
          <cell r="L1495">
            <v>3872</v>
          </cell>
          <cell r="N1495" t="str">
            <v>Production</v>
          </cell>
          <cell r="O1495" t="str">
            <v>No</v>
          </cell>
          <cell r="Q1495" t="str">
            <v>Live</v>
          </cell>
          <cell r="R1495">
            <v>45758.616006944438</v>
          </cell>
          <cell r="S1495" t="str">
            <v>Karen Ramy</v>
          </cell>
          <cell r="T1495">
            <v>45782</v>
          </cell>
          <cell r="U1495" t="str">
            <v>Trish Kalinczok</v>
          </cell>
          <cell r="V1495">
            <v>45809</v>
          </cell>
          <cell r="W1495">
            <v>45852</v>
          </cell>
          <cell r="Y1495">
            <v>45778</v>
          </cell>
          <cell r="AC1495">
            <v>45846</v>
          </cell>
        </row>
        <row r="1496">
          <cell r="I1496" t="str">
            <v>EDI</v>
          </cell>
          <cell r="L1496">
            <v>3906</v>
          </cell>
          <cell r="N1496" t="str">
            <v>Production</v>
          </cell>
          <cell r="O1496" t="str">
            <v>No</v>
          </cell>
          <cell r="Q1496" t="str">
            <v>Live</v>
          </cell>
          <cell r="R1496">
            <v>45758.616006944438</v>
          </cell>
          <cell r="S1496" t="str">
            <v>Karen Ramy</v>
          </cell>
          <cell r="T1496">
            <v>45797</v>
          </cell>
          <cell r="U1496" t="str">
            <v>Trish Kalinczok</v>
          </cell>
          <cell r="V1496">
            <v>45809</v>
          </cell>
          <cell r="W1496">
            <v>45861</v>
          </cell>
          <cell r="Y1496">
            <v>45792</v>
          </cell>
          <cell r="AC1496">
            <v>45860</v>
          </cell>
        </row>
        <row r="1497">
          <cell r="I1497" t="str">
            <v>EDI</v>
          </cell>
          <cell r="L1497">
            <v>3871</v>
          </cell>
          <cell r="N1497" t="str">
            <v>Production</v>
          </cell>
          <cell r="O1497" t="str">
            <v>No</v>
          </cell>
          <cell r="Q1497" t="str">
            <v>Cancelled</v>
          </cell>
          <cell r="R1497">
            <v>45758.615995370368</v>
          </cell>
          <cell r="S1497" t="str">
            <v>Karen Ramy</v>
          </cell>
          <cell r="T1497">
            <v>45782</v>
          </cell>
          <cell r="U1497" t="str">
            <v>Trish Kalinczok</v>
          </cell>
          <cell r="V1497">
            <v>45790</v>
          </cell>
          <cell r="W1497">
            <v>45803</v>
          </cell>
          <cell r="Y1497">
            <v>45778</v>
          </cell>
          <cell r="AC1497">
            <v>45799</v>
          </cell>
        </row>
        <row r="1498">
          <cell r="I1498" t="str">
            <v>EDI</v>
          </cell>
          <cell r="L1498">
            <v>3957</v>
          </cell>
          <cell r="N1498" t="str">
            <v>Production</v>
          </cell>
          <cell r="O1498" t="str">
            <v>No</v>
          </cell>
          <cell r="Q1498" t="str">
            <v>Live</v>
          </cell>
          <cell r="R1498">
            <v>45758.615995370368</v>
          </cell>
          <cell r="S1498" t="str">
            <v>Karen Ramy</v>
          </cell>
          <cell r="T1498">
            <v>45825</v>
          </cell>
          <cell r="U1498" t="str">
            <v>Trish Kalinczok</v>
          </cell>
          <cell r="V1498">
            <v>45833</v>
          </cell>
          <cell r="W1498">
            <v>45845</v>
          </cell>
          <cell r="Y1498">
            <v>45825</v>
          </cell>
          <cell r="AC1498">
            <v>45839</v>
          </cell>
        </row>
        <row r="1499">
          <cell r="I1499" t="str">
            <v>EDI</v>
          </cell>
          <cell r="N1499" t="str">
            <v>Requirements Gathering</v>
          </cell>
          <cell r="O1499" t="str">
            <v>No</v>
          </cell>
          <cell r="Q1499" t="str">
            <v>Cancelled</v>
          </cell>
          <cell r="R1499">
            <v>45757.908877314818</v>
          </cell>
          <cell r="S1499" t="str">
            <v>Lourina Edmon</v>
          </cell>
          <cell r="T1499">
            <v>45761</v>
          </cell>
          <cell r="U1499" t="str">
            <v>Gregory Dubec</v>
          </cell>
        </row>
        <row r="1500">
          <cell r="I1500" t="str">
            <v>EDI</v>
          </cell>
          <cell r="N1500" t="str">
            <v>Requirements Gathering</v>
          </cell>
          <cell r="O1500" t="str">
            <v>No</v>
          </cell>
          <cell r="Q1500" t="str">
            <v>Cancelled</v>
          </cell>
          <cell r="R1500">
            <v>45757.900682870371</v>
          </cell>
          <cell r="S1500" t="str">
            <v>Lourina Edmon</v>
          </cell>
          <cell r="T1500">
            <v>45761</v>
          </cell>
          <cell r="U1500" t="str">
            <v>Gregory Dubec</v>
          </cell>
        </row>
        <row r="1501">
          <cell r="I1501" t="str">
            <v>EDI</v>
          </cell>
          <cell r="N1501" t="str">
            <v>Requirements Gathering</v>
          </cell>
          <cell r="O1501" t="str">
            <v>No</v>
          </cell>
          <cell r="Q1501" t="str">
            <v>Cancelled</v>
          </cell>
          <cell r="R1501">
            <v>45757.728796296287</v>
          </cell>
          <cell r="S1501" t="str">
            <v>Lourina Edmon</v>
          </cell>
          <cell r="T1501">
            <v>45761</v>
          </cell>
          <cell r="U1501" t="str">
            <v>Tyler  Raposa</v>
          </cell>
        </row>
        <row r="1502">
          <cell r="I1502" t="str">
            <v>EDI</v>
          </cell>
          <cell r="L1502">
            <v>3823</v>
          </cell>
          <cell r="N1502" t="str">
            <v>Production</v>
          </cell>
          <cell r="O1502" t="str">
            <v>No</v>
          </cell>
          <cell r="Q1502" t="str">
            <v>Live</v>
          </cell>
          <cell r="R1502">
            <v>45757.678703703707</v>
          </cell>
          <cell r="S1502" t="str">
            <v>Zeyad Khaled</v>
          </cell>
          <cell r="T1502">
            <v>45762</v>
          </cell>
          <cell r="U1502" t="str">
            <v>Trish Kalinczok</v>
          </cell>
          <cell r="V1502">
            <v>45792</v>
          </cell>
          <cell r="W1502">
            <v>45803</v>
          </cell>
          <cell r="Y1502">
            <v>45761</v>
          </cell>
          <cell r="AC1502">
            <v>45799</v>
          </cell>
        </row>
        <row r="1503">
          <cell r="I1503" t="str">
            <v>EDI</v>
          </cell>
          <cell r="L1503">
            <v>3841</v>
          </cell>
          <cell r="N1503" t="str">
            <v>Production</v>
          </cell>
          <cell r="O1503" t="str">
            <v>No</v>
          </cell>
          <cell r="Q1503" t="str">
            <v>Cancelled</v>
          </cell>
          <cell r="R1503">
            <v>45757.657488425917</v>
          </cell>
          <cell r="S1503" t="str">
            <v>Marwan Tawfik</v>
          </cell>
          <cell r="T1503">
            <v>45776</v>
          </cell>
          <cell r="U1503" t="str">
            <v>Randi Frame</v>
          </cell>
          <cell r="V1503">
            <v>45796</v>
          </cell>
          <cell r="W1503">
            <v>45803</v>
          </cell>
          <cell r="Y1503">
            <v>45769</v>
          </cell>
          <cell r="AC1503">
            <v>45799</v>
          </cell>
        </row>
        <row r="1504">
          <cell r="I1504" t="str">
            <v>EDI</v>
          </cell>
          <cell r="L1504">
            <v>3822</v>
          </cell>
          <cell r="N1504" t="str">
            <v>Production</v>
          </cell>
          <cell r="O1504" t="str">
            <v>No</v>
          </cell>
          <cell r="Q1504" t="str">
            <v>Live</v>
          </cell>
          <cell r="R1504">
            <v>45757.557384259257</v>
          </cell>
          <cell r="S1504" t="str">
            <v>Zeyad Khaled</v>
          </cell>
          <cell r="T1504">
            <v>45762</v>
          </cell>
          <cell r="U1504" t="str">
            <v>Trish Kalinczok</v>
          </cell>
          <cell r="V1504">
            <v>45788</v>
          </cell>
          <cell r="W1504">
            <v>45798</v>
          </cell>
          <cell r="Y1504">
            <v>45761</v>
          </cell>
          <cell r="AC1504">
            <v>45798</v>
          </cell>
        </row>
        <row r="1505">
          <cell r="I1505" t="str">
            <v>EDI</v>
          </cell>
          <cell r="L1505">
            <v>3852</v>
          </cell>
          <cell r="N1505" t="str">
            <v>Production</v>
          </cell>
          <cell r="O1505" t="str">
            <v>No</v>
          </cell>
          <cell r="Q1505" t="str">
            <v>Live</v>
          </cell>
          <cell r="R1505">
            <v>45756.769895833328</v>
          </cell>
          <cell r="S1505" t="str">
            <v>Mina Kamil</v>
          </cell>
          <cell r="T1505">
            <v>45771</v>
          </cell>
          <cell r="U1505" t="str">
            <v>Jay Lang</v>
          </cell>
          <cell r="W1505">
            <v>45874</v>
          </cell>
          <cell r="Y1505">
            <v>45770</v>
          </cell>
          <cell r="AC1505">
            <v>45872</v>
          </cell>
        </row>
        <row r="1506">
          <cell r="I1506" t="str">
            <v>EDI</v>
          </cell>
          <cell r="L1506">
            <v>3839</v>
          </cell>
          <cell r="N1506" t="str">
            <v>Production</v>
          </cell>
          <cell r="O1506" t="str">
            <v>No</v>
          </cell>
          <cell r="Q1506" t="str">
            <v>Live</v>
          </cell>
          <cell r="R1506">
            <v>45756.769895833328</v>
          </cell>
          <cell r="S1506" t="str">
            <v>Mina George</v>
          </cell>
          <cell r="T1506">
            <v>45771</v>
          </cell>
          <cell r="U1506" t="str">
            <v>Jay Lang</v>
          </cell>
          <cell r="V1506">
            <v>45778</v>
          </cell>
          <cell r="W1506">
            <v>45792</v>
          </cell>
          <cell r="Y1506">
            <v>45770</v>
          </cell>
          <cell r="AC1506">
            <v>45791</v>
          </cell>
        </row>
        <row r="1507">
          <cell r="I1507" t="str">
            <v>EDI</v>
          </cell>
          <cell r="L1507">
            <v>3851</v>
          </cell>
          <cell r="N1507" t="str">
            <v>Production</v>
          </cell>
          <cell r="O1507" t="str">
            <v>No</v>
          </cell>
          <cell r="Q1507" t="str">
            <v>Live</v>
          </cell>
          <cell r="R1507">
            <v>45756.769884259258</v>
          </cell>
          <cell r="S1507" t="str">
            <v>Mina Kamil</v>
          </cell>
          <cell r="T1507">
            <v>45771</v>
          </cell>
          <cell r="U1507" t="str">
            <v>Jay Lang</v>
          </cell>
          <cell r="W1507">
            <v>45831</v>
          </cell>
          <cell r="Y1507">
            <v>45769</v>
          </cell>
          <cell r="AC1507">
            <v>45825</v>
          </cell>
        </row>
        <row r="1508">
          <cell r="I1508" t="str">
            <v>EDI</v>
          </cell>
          <cell r="L1508">
            <v>3881</v>
          </cell>
          <cell r="N1508" t="str">
            <v>Production</v>
          </cell>
          <cell r="O1508" t="str">
            <v>No</v>
          </cell>
          <cell r="Q1508" t="str">
            <v>Live</v>
          </cell>
          <cell r="R1508">
            <v>45756.733078703714</v>
          </cell>
          <cell r="S1508" t="str">
            <v>Andrew Ramy</v>
          </cell>
          <cell r="T1508">
            <v>45789</v>
          </cell>
          <cell r="U1508" t="str">
            <v>Robbie Schappell</v>
          </cell>
          <cell r="V1508">
            <v>45811</v>
          </cell>
          <cell r="W1508">
            <v>45833</v>
          </cell>
          <cell r="Y1508">
            <v>45787</v>
          </cell>
          <cell r="AC1508">
            <v>45831</v>
          </cell>
        </row>
        <row r="1509">
          <cell r="I1509" t="str">
            <v>EDI</v>
          </cell>
          <cell r="L1509">
            <v>3856</v>
          </cell>
          <cell r="N1509" t="str">
            <v>Production</v>
          </cell>
          <cell r="O1509" t="str">
            <v>No</v>
          </cell>
          <cell r="Q1509" t="str">
            <v>Live</v>
          </cell>
          <cell r="R1509">
            <v>45756.680405092593</v>
          </cell>
          <cell r="S1509" t="str">
            <v>Nada Ashraf</v>
          </cell>
          <cell r="T1509">
            <v>45771</v>
          </cell>
          <cell r="U1509" t="str">
            <v>KJ Ampy</v>
          </cell>
          <cell r="V1509">
            <v>45789</v>
          </cell>
          <cell r="W1509">
            <v>45874</v>
          </cell>
          <cell r="Y1509">
            <v>45770</v>
          </cell>
          <cell r="AC1509">
            <v>45868</v>
          </cell>
        </row>
        <row r="1510">
          <cell r="I1510" t="str">
            <v>EDI</v>
          </cell>
          <cell r="L1510">
            <v>3857</v>
          </cell>
          <cell r="N1510" t="str">
            <v>Production</v>
          </cell>
          <cell r="O1510" t="str">
            <v>No</v>
          </cell>
          <cell r="Q1510" t="str">
            <v>Live</v>
          </cell>
          <cell r="R1510">
            <v>45756.551111111112</v>
          </cell>
          <cell r="S1510" t="str">
            <v>Mirna Azmy</v>
          </cell>
          <cell r="T1510">
            <v>45778</v>
          </cell>
          <cell r="U1510" t="str">
            <v>Rhettsmey Meak</v>
          </cell>
          <cell r="V1510">
            <v>45827</v>
          </cell>
          <cell r="W1510">
            <v>45905</v>
          </cell>
          <cell r="Y1510">
            <v>45771</v>
          </cell>
          <cell r="AC1510">
            <v>45903</v>
          </cell>
        </row>
        <row r="1511">
          <cell r="I1511" t="str">
            <v>EDI</v>
          </cell>
          <cell r="L1511">
            <v>3953</v>
          </cell>
          <cell r="N1511" t="str">
            <v>Production</v>
          </cell>
          <cell r="O1511" t="str">
            <v>No</v>
          </cell>
          <cell r="Q1511" t="str">
            <v>Live</v>
          </cell>
          <cell r="R1511">
            <v>45756.547418981478</v>
          </cell>
          <cell r="S1511" t="str">
            <v>Ahmed Ali</v>
          </cell>
          <cell r="T1511">
            <v>45825</v>
          </cell>
          <cell r="U1511" t="str">
            <v>Rhettsmey Meak</v>
          </cell>
          <cell r="V1511">
            <v>45861</v>
          </cell>
          <cell r="W1511">
            <v>45883</v>
          </cell>
          <cell r="Y1511">
            <v>45824</v>
          </cell>
          <cell r="AC1511">
            <v>45882</v>
          </cell>
        </row>
        <row r="1512">
          <cell r="I1512" t="str">
            <v>EDI</v>
          </cell>
          <cell r="L1512">
            <v>3882</v>
          </cell>
          <cell r="N1512" t="str">
            <v>Production</v>
          </cell>
          <cell r="O1512" t="str">
            <v>No</v>
          </cell>
          <cell r="Q1512" t="str">
            <v>Live</v>
          </cell>
          <cell r="R1512">
            <v>45755.930810185193</v>
          </cell>
          <cell r="S1512" t="str">
            <v>Reem Radwan</v>
          </cell>
          <cell r="T1512">
            <v>45763</v>
          </cell>
          <cell r="U1512" t="str">
            <v>Trish Kalinczok</v>
          </cell>
          <cell r="W1512">
            <v>45831</v>
          </cell>
          <cell r="Y1512">
            <v>45762</v>
          </cell>
          <cell r="AC1512">
            <v>45828</v>
          </cell>
        </row>
        <row r="1513">
          <cell r="I1513" t="str">
            <v>EDI</v>
          </cell>
          <cell r="L1513">
            <v>3821</v>
          </cell>
          <cell r="N1513" t="str">
            <v>Production</v>
          </cell>
          <cell r="O1513" t="str">
            <v>No</v>
          </cell>
          <cell r="Q1513" t="str">
            <v>Cancelled</v>
          </cell>
          <cell r="R1513">
            <v>45755.842951388891</v>
          </cell>
          <cell r="S1513" t="str">
            <v>Karim Tarek</v>
          </cell>
          <cell r="T1513">
            <v>45763</v>
          </cell>
          <cell r="U1513" t="str">
            <v>Tammy Davies</v>
          </cell>
          <cell r="V1513">
            <v>45777</v>
          </cell>
          <cell r="W1513">
            <v>45821</v>
          </cell>
          <cell r="Y1513">
            <v>45761</v>
          </cell>
          <cell r="AC1513">
            <v>45819</v>
          </cell>
        </row>
        <row r="1514">
          <cell r="I1514" t="str">
            <v>EDI</v>
          </cell>
          <cell r="L1514">
            <v>3913</v>
          </cell>
          <cell r="N1514" t="str">
            <v>Production</v>
          </cell>
          <cell r="O1514" t="str">
            <v>No</v>
          </cell>
          <cell r="Q1514" t="str">
            <v>Live</v>
          </cell>
          <cell r="R1514">
            <v>45754.867465277777</v>
          </cell>
          <cell r="S1514" t="str">
            <v>Mirna Azmy</v>
          </cell>
          <cell r="T1514">
            <v>45803</v>
          </cell>
          <cell r="U1514" t="str">
            <v>KJ Ampy</v>
          </cell>
          <cell r="V1514">
            <v>45818</v>
          </cell>
          <cell r="W1514">
            <v>45896</v>
          </cell>
          <cell r="Y1514">
            <v>45799</v>
          </cell>
          <cell r="AC1514">
            <v>45895</v>
          </cell>
        </row>
        <row r="1515">
          <cell r="I1515" t="str">
            <v>EDI</v>
          </cell>
          <cell r="L1515">
            <v>3840</v>
          </cell>
          <cell r="N1515" t="str">
            <v>Production</v>
          </cell>
          <cell r="O1515" t="str">
            <v>No</v>
          </cell>
          <cell r="Q1515" t="str">
            <v>Cancelled</v>
          </cell>
          <cell r="R1515">
            <v>45751.896851851852</v>
          </cell>
          <cell r="S1515" t="str">
            <v>Aya Fathy</v>
          </cell>
          <cell r="T1515">
            <v>45771</v>
          </cell>
          <cell r="U1515" t="str">
            <v>Matt Howell</v>
          </cell>
          <cell r="V1515">
            <v>25569</v>
          </cell>
          <cell r="W1515">
            <v>45798</v>
          </cell>
          <cell r="Y1515">
            <v>45770</v>
          </cell>
          <cell r="AC1515">
            <v>45795</v>
          </cell>
        </row>
        <row r="1516">
          <cell r="I1516" t="str">
            <v>EDI</v>
          </cell>
          <cell r="L1516">
            <v>3843</v>
          </cell>
          <cell r="N1516" t="str">
            <v>Production</v>
          </cell>
          <cell r="O1516" t="str">
            <v>No</v>
          </cell>
          <cell r="Q1516" t="str">
            <v>Cancelled</v>
          </cell>
          <cell r="R1516">
            <v>45751.896851851852</v>
          </cell>
          <cell r="S1516" t="str">
            <v>Mina Adel</v>
          </cell>
          <cell r="T1516">
            <v>45775</v>
          </cell>
          <cell r="U1516" t="str">
            <v>Matt Howell</v>
          </cell>
          <cell r="V1516">
            <v>25569</v>
          </cell>
          <cell r="W1516">
            <v>45799</v>
          </cell>
          <cell r="Y1516">
            <v>45771</v>
          </cell>
          <cell r="AC1516">
            <v>45798</v>
          </cell>
        </row>
        <row r="1517">
          <cell r="I1517" t="str">
            <v>EDI</v>
          </cell>
          <cell r="L1517">
            <v>3846</v>
          </cell>
          <cell r="N1517" t="str">
            <v>Production</v>
          </cell>
          <cell r="O1517" t="str">
            <v>No</v>
          </cell>
          <cell r="Q1517" t="str">
            <v>Live</v>
          </cell>
          <cell r="R1517">
            <v>45750.945844907408</v>
          </cell>
          <cell r="S1517" t="str">
            <v>Omnia Abdelaziz</v>
          </cell>
          <cell r="T1517">
            <v>45762</v>
          </cell>
          <cell r="U1517" t="str">
            <v>Tammy Davies</v>
          </cell>
          <cell r="V1517">
            <v>45946</v>
          </cell>
          <cell r="W1517">
            <v>45960</v>
          </cell>
          <cell r="Y1517">
            <v>45761</v>
          </cell>
          <cell r="AC1517">
            <v>45958</v>
          </cell>
        </row>
        <row r="1518">
          <cell r="I1518" t="str">
            <v>EDI</v>
          </cell>
          <cell r="L1518">
            <v>3943</v>
          </cell>
          <cell r="N1518" t="str">
            <v>Production</v>
          </cell>
          <cell r="O1518" t="str">
            <v>No</v>
          </cell>
          <cell r="Q1518" t="str">
            <v>Live</v>
          </cell>
          <cell r="R1518">
            <v>45750.643125000002</v>
          </cell>
          <cell r="S1518" t="str">
            <v>Mina Kamil</v>
          </cell>
          <cell r="T1518">
            <v>45811</v>
          </cell>
          <cell r="U1518" t="str">
            <v>Jay Lang</v>
          </cell>
          <cell r="V1518">
            <v>45879</v>
          </cell>
          <cell r="W1518">
            <v>46036</v>
          </cell>
          <cell r="Y1518">
            <v>45810</v>
          </cell>
          <cell r="AC1518">
            <v>45910</v>
          </cell>
        </row>
        <row r="1519">
          <cell r="I1519" t="str">
            <v>EDI</v>
          </cell>
          <cell r="L1519">
            <v>3834</v>
          </cell>
          <cell r="N1519" t="str">
            <v>Production</v>
          </cell>
          <cell r="O1519" t="str">
            <v>No</v>
          </cell>
          <cell r="Q1519" t="str">
            <v>Live</v>
          </cell>
          <cell r="R1519">
            <v>45749.853171296287</v>
          </cell>
          <cell r="S1519" t="str">
            <v>Amr Salah</v>
          </cell>
          <cell r="T1519">
            <v>45763</v>
          </cell>
          <cell r="U1519" t="str">
            <v>Hans De Grouw</v>
          </cell>
          <cell r="V1519">
            <v>45777</v>
          </cell>
          <cell r="W1519">
            <v>45804</v>
          </cell>
          <cell r="Y1519">
            <v>45757</v>
          </cell>
          <cell r="AC1519">
            <v>45803</v>
          </cell>
        </row>
        <row r="1520">
          <cell r="I1520" t="str">
            <v>EDI</v>
          </cell>
          <cell r="L1520">
            <v>3817</v>
          </cell>
          <cell r="N1520" t="str">
            <v>Production</v>
          </cell>
          <cell r="O1520" t="str">
            <v>No</v>
          </cell>
          <cell r="Q1520" t="str">
            <v>Cancelled</v>
          </cell>
          <cell r="R1520">
            <v>45748.826319444437</v>
          </cell>
          <cell r="S1520" t="str">
            <v>Reem Radwan</v>
          </cell>
          <cell r="T1520">
            <v>45761</v>
          </cell>
          <cell r="U1520" t="str">
            <v>Trish Kalinczok</v>
          </cell>
          <cell r="V1520">
            <v>45782</v>
          </cell>
          <cell r="W1520">
            <v>45838</v>
          </cell>
          <cell r="Y1520">
            <v>45761</v>
          </cell>
          <cell r="AC1520">
            <v>45834</v>
          </cell>
        </row>
        <row r="1521">
          <cell r="I1521" t="str">
            <v>EDI</v>
          </cell>
          <cell r="L1521">
            <v>3874</v>
          </cell>
          <cell r="N1521" t="str">
            <v>Production</v>
          </cell>
          <cell r="O1521" t="str">
            <v>Everything Benefits</v>
          </cell>
          <cell r="P1521" t="str">
            <v>Production</v>
          </cell>
          <cell r="Q1521" t="str">
            <v>Live</v>
          </cell>
          <cell r="R1521">
            <v>45748.69425925926</v>
          </cell>
          <cell r="S1521" t="str">
            <v>Alaa Yehia</v>
          </cell>
          <cell r="T1521">
            <v>45783</v>
          </cell>
          <cell r="U1521" t="str">
            <v>Sara Johnson</v>
          </cell>
          <cell r="V1521">
            <v>25569</v>
          </cell>
          <cell r="W1521">
            <v>45929</v>
          </cell>
          <cell r="Y1521">
            <v>45778</v>
          </cell>
          <cell r="AC1521">
            <v>45922</v>
          </cell>
        </row>
        <row r="1522">
          <cell r="I1522" t="str">
            <v>EDI</v>
          </cell>
          <cell r="L1522">
            <v>3866</v>
          </cell>
          <cell r="N1522" t="str">
            <v>Production</v>
          </cell>
          <cell r="O1522" t="str">
            <v>Everything Benefits</v>
          </cell>
          <cell r="P1522" t="str">
            <v>Production</v>
          </cell>
          <cell r="Q1522" t="str">
            <v>Live</v>
          </cell>
          <cell r="R1522">
            <v>45748.69425925926</v>
          </cell>
          <cell r="S1522" t="str">
            <v>Alaa Yehia</v>
          </cell>
          <cell r="T1522">
            <v>45783</v>
          </cell>
          <cell r="U1522" t="str">
            <v>Sara Johnson</v>
          </cell>
          <cell r="V1522">
            <v>25569</v>
          </cell>
          <cell r="W1522">
            <v>45833</v>
          </cell>
          <cell r="Y1522">
            <v>45778</v>
          </cell>
          <cell r="AC1522">
            <v>45827</v>
          </cell>
        </row>
        <row r="1523">
          <cell r="I1523" t="str">
            <v>EDI</v>
          </cell>
          <cell r="L1523">
            <v>3835</v>
          </cell>
          <cell r="N1523" t="str">
            <v>Production</v>
          </cell>
          <cell r="O1523" t="str">
            <v>Everything Benefits</v>
          </cell>
          <cell r="P1523" t="str">
            <v>Production</v>
          </cell>
          <cell r="Q1523" t="str">
            <v>Live</v>
          </cell>
          <cell r="R1523">
            <v>45748.69425925926</v>
          </cell>
          <cell r="S1523" t="str">
            <v>Alaa Yehia</v>
          </cell>
          <cell r="T1523">
            <v>45769</v>
          </cell>
          <cell r="U1523" t="str">
            <v>Sara Johnson</v>
          </cell>
          <cell r="V1523">
            <v>45778</v>
          </cell>
          <cell r="W1523">
            <v>45796</v>
          </cell>
          <cell r="Y1523">
            <v>45763</v>
          </cell>
          <cell r="AC1523">
            <v>45791</v>
          </cell>
        </row>
        <row r="1524">
          <cell r="I1524" t="str">
            <v>EDI</v>
          </cell>
          <cell r="L1524">
            <v>3890</v>
          </cell>
          <cell r="N1524" t="str">
            <v>Production</v>
          </cell>
          <cell r="O1524" t="str">
            <v>No</v>
          </cell>
          <cell r="Q1524" t="str">
            <v>Live</v>
          </cell>
          <cell r="R1524">
            <v>45748.683912037042</v>
          </cell>
          <cell r="S1524" t="str">
            <v>Mina George</v>
          </cell>
          <cell r="T1524">
            <v>45791</v>
          </cell>
          <cell r="U1524" t="str">
            <v>Sara Johnson</v>
          </cell>
          <cell r="W1524">
            <v>45798</v>
          </cell>
          <cell r="AC1524">
            <v>45798</v>
          </cell>
        </row>
        <row r="1525">
          <cell r="I1525" t="str">
            <v>EDI</v>
          </cell>
          <cell r="L1525">
            <v>3891</v>
          </cell>
          <cell r="N1525" t="str">
            <v>Production</v>
          </cell>
          <cell r="O1525" t="str">
            <v>No</v>
          </cell>
          <cell r="Q1525" t="str">
            <v>Live</v>
          </cell>
          <cell r="R1525">
            <v>45748.683900462973</v>
          </cell>
          <cell r="S1525" t="str">
            <v>Mina George</v>
          </cell>
          <cell r="T1525">
            <v>45791</v>
          </cell>
          <cell r="U1525" t="str">
            <v>Sara Johnson</v>
          </cell>
          <cell r="W1525">
            <v>45796</v>
          </cell>
          <cell r="AC1525">
            <v>45796</v>
          </cell>
        </row>
        <row r="1526">
          <cell r="I1526" t="str">
            <v>EDI</v>
          </cell>
          <cell r="N1526" t="str">
            <v>Pending Start</v>
          </cell>
          <cell r="O1526" t="str">
            <v>No</v>
          </cell>
          <cell r="Q1526" t="str">
            <v>Cancelled</v>
          </cell>
          <cell r="R1526">
            <v>45748.683900462973</v>
          </cell>
          <cell r="U1526" t="str">
            <v>Sara Johnson</v>
          </cell>
        </row>
        <row r="1527">
          <cell r="I1527" t="str">
            <v>EDI</v>
          </cell>
          <cell r="L1527">
            <v>3977</v>
          </cell>
          <cell r="N1527" t="str">
            <v>Production</v>
          </cell>
          <cell r="O1527" t="str">
            <v>No</v>
          </cell>
          <cell r="Q1527" t="str">
            <v>Live</v>
          </cell>
          <cell r="R1527">
            <v>45748.542268518519</v>
          </cell>
          <cell r="S1527" t="str">
            <v>Mirna Azmy</v>
          </cell>
          <cell r="T1527">
            <v>45833</v>
          </cell>
          <cell r="U1527" t="str">
            <v>Rhettsmey Meak</v>
          </cell>
          <cell r="V1527">
            <v>45834</v>
          </cell>
          <cell r="W1527">
            <v>45870</v>
          </cell>
          <cell r="Y1527">
            <v>45833</v>
          </cell>
          <cell r="AC1527">
            <v>45851</v>
          </cell>
        </row>
        <row r="1528">
          <cell r="I1528" t="str">
            <v>EDI</v>
          </cell>
          <cell r="L1528">
            <v>3877</v>
          </cell>
          <cell r="N1528" t="str">
            <v>Production</v>
          </cell>
          <cell r="O1528" t="str">
            <v>No</v>
          </cell>
          <cell r="Q1528" t="str">
            <v>Live</v>
          </cell>
          <cell r="R1528">
            <v>45748.540578703702</v>
          </cell>
          <cell r="S1528" t="str">
            <v>Ahmed Ali</v>
          </cell>
          <cell r="T1528">
            <v>45789</v>
          </cell>
          <cell r="U1528" t="str">
            <v>Rhettsmey Meak</v>
          </cell>
          <cell r="V1528">
            <v>45812</v>
          </cell>
          <cell r="W1528">
            <v>45851</v>
          </cell>
          <cell r="Y1528">
            <v>45787</v>
          </cell>
          <cell r="AC1528">
            <v>45848</v>
          </cell>
        </row>
        <row r="1529">
          <cell r="I1529" t="str">
            <v>EDI</v>
          </cell>
          <cell r="L1529">
            <v>3830</v>
          </cell>
          <cell r="N1529" t="str">
            <v>Production</v>
          </cell>
          <cell r="O1529" t="str">
            <v>No</v>
          </cell>
          <cell r="Q1529" t="str">
            <v>Live</v>
          </cell>
          <cell r="R1529">
            <v>45748.538634259261</v>
          </cell>
          <cell r="S1529" t="str">
            <v>Ahmed Ali</v>
          </cell>
          <cell r="T1529">
            <v>45771</v>
          </cell>
          <cell r="U1529" t="str">
            <v>Rhettsmey Meak</v>
          </cell>
          <cell r="V1529">
            <v>45789</v>
          </cell>
          <cell r="W1529">
            <v>45809</v>
          </cell>
          <cell r="Y1529">
            <v>45769</v>
          </cell>
          <cell r="AC1529">
            <v>45806</v>
          </cell>
        </row>
        <row r="1530">
          <cell r="I1530" t="str">
            <v>EDI</v>
          </cell>
          <cell r="L1530">
            <v>3849</v>
          </cell>
          <cell r="N1530" t="str">
            <v>Production</v>
          </cell>
          <cell r="O1530" t="str">
            <v>No</v>
          </cell>
          <cell r="Q1530" t="str">
            <v>Live</v>
          </cell>
          <cell r="R1530">
            <v>45747.820196759261</v>
          </cell>
          <cell r="S1530" t="str">
            <v>Karen Ramy</v>
          </cell>
          <cell r="T1530">
            <v>45776</v>
          </cell>
          <cell r="U1530" t="str">
            <v>Tammy Davies</v>
          </cell>
          <cell r="V1530">
            <v>45802</v>
          </cell>
          <cell r="W1530">
            <v>45860</v>
          </cell>
          <cell r="Y1530">
            <v>45772</v>
          </cell>
          <cell r="AC1530">
            <v>45853</v>
          </cell>
        </row>
        <row r="1531">
          <cell r="I1531" t="str">
            <v>EDI</v>
          </cell>
          <cell r="L1531">
            <v>3820</v>
          </cell>
          <cell r="N1531" t="str">
            <v>Production</v>
          </cell>
          <cell r="O1531" t="str">
            <v>No</v>
          </cell>
          <cell r="Q1531" t="str">
            <v>Live</v>
          </cell>
          <cell r="R1531">
            <v>45747.647314814807</v>
          </cell>
          <cell r="S1531" t="str">
            <v>Alaa Yehia</v>
          </cell>
          <cell r="T1531">
            <v>45763</v>
          </cell>
          <cell r="U1531" t="str">
            <v>Rhettsmey Meak</v>
          </cell>
          <cell r="V1531">
            <v>45770</v>
          </cell>
          <cell r="W1531">
            <v>45894</v>
          </cell>
          <cell r="Y1531">
            <v>45762</v>
          </cell>
          <cell r="AC1531">
            <v>45889</v>
          </cell>
        </row>
        <row r="1532">
          <cell r="I1532" t="str">
            <v>EDI</v>
          </cell>
          <cell r="L1532">
            <v>3876</v>
          </cell>
          <cell r="N1532" t="str">
            <v>Production</v>
          </cell>
          <cell r="O1532" t="str">
            <v>No</v>
          </cell>
          <cell r="Q1532" t="str">
            <v>Live</v>
          </cell>
          <cell r="R1532">
            <v>45747.645358796297</v>
          </cell>
          <cell r="S1532" t="str">
            <v>Reem Radwan</v>
          </cell>
          <cell r="T1532">
            <v>45784</v>
          </cell>
          <cell r="U1532" t="str">
            <v>Rhettsmey Meak</v>
          </cell>
          <cell r="V1532">
            <v>45853</v>
          </cell>
          <cell r="W1532">
            <v>45911</v>
          </cell>
          <cell r="Y1532">
            <v>45781</v>
          </cell>
          <cell r="AC1532">
            <v>45909</v>
          </cell>
        </row>
        <row r="1533">
          <cell r="I1533" t="str">
            <v>EDI</v>
          </cell>
          <cell r="N1533" t="str">
            <v>Requirements Gathering</v>
          </cell>
          <cell r="O1533" t="str">
            <v>No</v>
          </cell>
          <cell r="Q1533" t="str">
            <v>Cancelled</v>
          </cell>
          <cell r="R1533">
            <v>45744.886643518519</v>
          </cell>
          <cell r="S1533" t="str">
            <v>Sandra Adel</v>
          </cell>
          <cell r="T1533">
            <v>45749</v>
          </cell>
          <cell r="U1533" t="str">
            <v>Carolina Tanoue</v>
          </cell>
        </row>
        <row r="1534">
          <cell r="I1534" t="str">
            <v>EDI</v>
          </cell>
          <cell r="L1534">
            <v>3848</v>
          </cell>
          <cell r="N1534" t="str">
            <v>Production</v>
          </cell>
          <cell r="O1534" t="str">
            <v>No</v>
          </cell>
          <cell r="Q1534" t="str">
            <v>Cancelled</v>
          </cell>
          <cell r="R1534">
            <v>45744.834108796298</v>
          </cell>
          <cell r="S1534" t="str">
            <v>Karen Ramy</v>
          </cell>
          <cell r="T1534">
            <v>45775</v>
          </cell>
          <cell r="U1534" t="str">
            <v>Tyler  Raposa</v>
          </cell>
          <cell r="V1534">
            <v>45805</v>
          </cell>
          <cell r="W1534">
            <v>45817</v>
          </cell>
          <cell r="Y1534">
            <v>45771</v>
          </cell>
          <cell r="AC1534">
            <v>45812</v>
          </cell>
        </row>
        <row r="1535">
          <cell r="I1535" t="str">
            <v>EDI</v>
          </cell>
          <cell r="L1535">
            <v>3819</v>
          </cell>
          <cell r="N1535" t="str">
            <v>Production</v>
          </cell>
          <cell r="O1535" t="str">
            <v>No</v>
          </cell>
          <cell r="Q1535" t="str">
            <v>Live</v>
          </cell>
          <cell r="R1535">
            <v>45744.834108796298</v>
          </cell>
          <cell r="S1535" t="str">
            <v>Karen Ramy</v>
          </cell>
          <cell r="T1535">
            <v>45761</v>
          </cell>
          <cell r="U1535" t="str">
            <v>Tyler  Raposa</v>
          </cell>
          <cell r="V1535">
            <v>45799</v>
          </cell>
          <cell r="W1535">
            <v>45845</v>
          </cell>
          <cell r="Y1535">
            <v>45761</v>
          </cell>
          <cell r="AC1535">
            <v>45839</v>
          </cell>
        </row>
        <row r="1536">
          <cell r="I1536" t="str">
            <v>EDI</v>
          </cell>
          <cell r="L1536">
            <v>3838</v>
          </cell>
          <cell r="N1536" t="str">
            <v>Production</v>
          </cell>
          <cell r="O1536" t="str">
            <v>No</v>
          </cell>
          <cell r="Q1536" t="str">
            <v>Live</v>
          </cell>
          <cell r="R1536">
            <v>45744.776817129627</v>
          </cell>
          <cell r="S1536" t="str">
            <v>Karen Ramy</v>
          </cell>
          <cell r="T1536">
            <v>45771</v>
          </cell>
          <cell r="U1536" t="str">
            <v>Trish Kalinczok</v>
          </cell>
          <cell r="V1536">
            <v>45811</v>
          </cell>
          <cell r="W1536">
            <v>45901</v>
          </cell>
          <cell r="Y1536">
            <v>45769</v>
          </cell>
          <cell r="AC1536">
            <v>45900</v>
          </cell>
        </row>
        <row r="1537">
          <cell r="I1537" t="str">
            <v>EDI</v>
          </cell>
          <cell r="L1537">
            <v>4058</v>
          </cell>
          <cell r="N1537" t="str">
            <v>Production</v>
          </cell>
          <cell r="O1537" t="str">
            <v>No</v>
          </cell>
          <cell r="Q1537" t="str">
            <v>Live</v>
          </cell>
          <cell r="R1537">
            <v>45743.991331018522</v>
          </cell>
          <cell r="S1537" t="str">
            <v>Marwan Tawfik</v>
          </cell>
          <cell r="T1537">
            <v>45883</v>
          </cell>
          <cell r="U1537" t="str">
            <v>Hans De Grouw</v>
          </cell>
          <cell r="V1537">
            <v>45937</v>
          </cell>
          <cell r="W1537">
            <v>46037</v>
          </cell>
          <cell r="AC1537">
            <v>46035</v>
          </cell>
        </row>
        <row r="1538">
          <cell r="I1538" t="str">
            <v>EDI</v>
          </cell>
          <cell r="L1538">
            <v>3893</v>
          </cell>
          <cell r="N1538" t="str">
            <v>Production</v>
          </cell>
          <cell r="O1538" t="str">
            <v>No</v>
          </cell>
          <cell r="Q1538" t="str">
            <v>Live</v>
          </cell>
          <cell r="R1538">
            <v>45743.991331018522</v>
          </cell>
          <cell r="S1538" t="str">
            <v>Aya Fathy</v>
          </cell>
          <cell r="T1538">
            <v>45792</v>
          </cell>
          <cell r="U1538" t="str">
            <v>Hans De Grouw</v>
          </cell>
          <cell r="V1538">
            <v>45846</v>
          </cell>
          <cell r="W1538">
            <v>45855</v>
          </cell>
          <cell r="Y1538">
            <v>45791</v>
          </cell>
          <cell r="AC1538">
            <v>45854</v>
          </cell>
        </row>
        <row r="1539">
          <cell r="I1539" t="str">
            <v>EDI</v>
          </cell>
          <cell r="L1539">
            <v>3860</v>
          </cell>
          <cell r="N1539" t="str">
            <v>Production</v>
          </cell>
          <cell r="O1539" t="str">
            <v>No</v>
          </cell>
          <cell r="Q1539" t="str">
            <v>Live</v>
          </cell>
          <cell r="R1539">
            <v>45743.991319444453</v>
          </cell>
          <cell r="S1539" t="str">
            <v>Aya Fathy</v>
          </cell>
          <cell r="T1539">
            <v>45778</v>
          </cell>
          <cell r="U1539" t="str">
            <v>Hans De Grouw</v>
          </cell>
          <cell r="V1539">
            <v>45786</v>
          </cell>
          <cell r="W1539">
            <v>45946</v>
          </cell>
          <cell r="Y1539">
            <v>45776</v>
          </cell>
          <cell r="AC1539">
            <v>45939</v>
          </cell>
        </row>
        <row r="1540">
          <cell r="I1540" t="str">
            <v>EDI</v>
          </cell>
          <cell r="L1540">
            <v>3816</v>
          </cell>
          <cell r="N1540" t="str">
            <v>Production</v>
          </cell>
          <cell r="O1540" t="str">
            <v>No</v>
          </cell>
          <cell r="Q1540" t="str">
            <v>Live</v>
          </cell>
          <cell r="R1540">
            <v>45742.85</v>
          </cell>
          <cell r="S1540" t="str">
            <v>Noha Moustafa</v>
          </cell>
          <cell r="T1540">
            <v>45761</v>
          </cell>
          <cell r="U1540" t="str">
            <v>Trish Kalinczok</v>
          </cell>
          <cell r="V1540">
            <v>45791</v>
          </cell>
          <cell r="W1540">
            <v>45922</v>
          </cell>
          <cell r="Y1540">
            <v>45761</v>
          </cell>
          <cell r="AC1540">
            <v>45921</v>
          </cell>
        </row>
        <row r="1541">
          <cell r="I1541" t="str">
            <v>EDI</v>
          </cell>
          <cell r="L1541">
            <v>3815</v>
          </cell>
          <cell r="N1541" t="str">
            <v>Production</v>
          </cell>
          <cell r="O1541" t="str">
            <v>No</v>
          </cell>
          <cell r="Q1541" t="str">
            <v>Live</v>
          </cell>
          <cell r="R1541">
            <v>45742.85</v>
          </cell>
          <cell r="S1541" t="str">
            <v>Noha Moustafa</v>
          </cell>
          <cell r="T1541">
            <v>45756</v>
          </cell>
          <cell r="U1541" t="str">
            <v>Trish Kalinczok</v>
          </cell>
          <cell r="V1541">
            <v>25569</v>
          </cell>
          <cell r="W1541">
            <v>25569</v>
          </cell>
          <cell r="Y1541">
            <v>45756</v>
          </cell>
          <cell r="AC1541">
            <v>46016</v>
          </cell>
        </row>
        <row r="1542">
          <cell r="I1542" t="str">
            <v>EDI</v>
          </cell>
          <cell r="L1542">
            <v>3941</v>
          </cell>
          <cell r="N1542" t="str">
            <v>Production</v>
          </cell>
          <cell r="O1542" t="str">
            <v>No</v>
          </cell>
          <cell r="Q1542" t="str">
            <v>Live</v>
          </cell>
          <cell r="R1542">
            <v>45742.578310185178</v>
          </cell>
          <cell r="S1542" t="str">
            <v>Andrew Ramy</v>
          </cell>
          <cell r="T1542">
            <v>45820</v>
          </cell>
          <cell r="U1542" t="str">
            <v>Rhettsmey Meak</v>
          </cell>
          <cell r="V1542">
            <v>45839</v>
          </cell>
          <cell r="W1542">
            <v>45924</v>
          </cell>
          <cell r="Y1542">
            <v>45819</v>
          </cell>
          <cell r="AC1542">
            <v>45923</v>
          </cell>
        </row>
        <row r="1543">
          <cell r="I1543" t="str">
            <v>EDI</v>
          </cell>
          <cell r="L1543">
            <v>3867</v>
          </cell>
          <cell r="N1543" t="str">
            <v>Production</v>
          </cell>
          <cell r="O1543" t="str">
            <v>No</v>
          </cell>
          <cell r="Q1543" t="str">
            <v>Live</v>
          </cell>
          <cell r="R1543">
            <v>45742.573946759258</v>
          </cell>
          <cell r="S1543" t="str">
            <v>Andrew Ramy</v>
          </cell>
          <cell r="T1543">
            <v>45783</v>
          </cell>
          <cell r="U1543" t="str">
            <v>Rhettsmey Meak</v>
          </cell>
          <cell r="V1543">
            <v>45792</v>
          </cell>
          <cell r="W1543">
            <v>45912</v>
          </cell>
          <cell r="Y1543">
            <v>45782</v>
          </cell>
          <cell r="AC1543">
            <v>45912</v>
          </cell>
        </row>
        <row r="1544">
          <cell r="I1544" t="str">
            <v>EDI</v>
          </cell>
          <cell r="L1544">
            <v>3825</v>
          </cell>
          <cell r="N1544" t="str">
            <v>Testing</v>
          </cell>
          <cell r="O1544" t="str">
            <v>No</v>
          </cell>
          <cell r="Q1544" t="str">
            <v>Cancelled</v>
          </cell>
          <cell r="R1544">
            <v>45741.823472222219</v>
          </cell>
          <cell r="S1544" t="str">
            <v>Nada Ashraf</v>
          </cell>
          <cell r="T1544">
            <v>45761</v>
          </cell>
          <cell r="U1544" t="str">
            <v>Gregory Dubec</v>
          </cell>
          <cell r="V1544">
            <v>45784</v>
          </cell>
          <cell r="Y1544">
            <v>45757</v>
          </cell>
        </row>
        <row r="1545">
          <cell r="I1545" t="str">
            <v>EDI</v>
          </cell>
          <cell r="N1545" t="str">
            <v>Requirements Gathering</v>
          </cell>
          <cell r="O1545" t="str">
            <v>No</v>
          </cell>
          <cell r="Q1545" t="str">
            <v>Cancelled</v>
          </cell>
          <cell r="R1545">
            <v>45741.823472222219</v>
          </cell>
          <cell r="S1545" t="str">
            <v>Sandra Adel</v>
          </cell>
          <cell r="T1545">
            <v>45742</v>
          </cell>
          <cell r="U1545" t="str">
            <v>Gregory Dubec</v>
          </cell>
        </row>
        <row r="1546">
          <cell r="I1546" t="str">
            <v>EDI</v>
          </cell>
          <cell r="L1546">
            <v>3864</v>
          </cell>
          <cell r="N1546" t="str">
            <v>Production</v>
          </cell>
          <cell r="O1546" t="str">
            <v>No</v>
          </cell>
          <cell r="Q1546" t="str">
            <v>Live</v>
          </cell>
          <cell r="R1546">
            <v>45740.872233796297</v>
          </cell>
          <cell r="S1546" t="str">
            <v>Aya Fathy</v>
          </cell>
          <cell r="T1546">
            <v>45782</v>
          </cell>
          <cell r="U1546" t="str">
            <v>Gregory Dubec</v>
          </cell>
          <cell r="V1546">
            <v>45789</v>
          </cell>
          <cell r="W1546">
            <v>45925</v>
          </cell>
          <cell r="Y1546">
            <v>45778</v>
          </cell>
          <cell r="AC1546">
            <v>45921</v>
          </cell>
        </row>
        <row r="1547">
          <cell r="I1547" t="str">
            <v>EDI</v>
          </cell>
          <cell r="N1547" t="str">
            <v>Pending Start</v>
          </cell>
          <cell r="O1547" t="str">
            <v>No</v>
          </cell>
          <cell r="Q1547" t="str">
            <v>Cancelled</v>
          </cell>
          <cell r="R1547">
            <v>45740.872233796297</v>
          </cell>
          <cell r="U1547" t="str">
            <v>Gregory Dubec</v>
          </cell>
        </row>
        <row r="1548">
          <cell r="I1548" t="str">
            <v>EDI</v>
          </cell>
          <cell r="N1548" t="str">
            <v>Pending Start</v>
          </cell>
          <cell r="O1548" t="str">
            <v>No</v>
          </cell>
          <cell r="Q1548" t="str">
            <v>Cancelled</v>
          </cell>
          <cell r="R1548">
            <v>45740.872233796297</v>
          </cell>
          <cell r="U1548" t="str">
            <v>Gregory Dubec</v>
          </cell>
        </row>
        <row r="1549">
          <cell r="I1549" t="str">
            <v>EDI</v>
          </cell>
          <cell r="L1549">
            <v>3808</v>
          </cell>
          <cell r="N1549" t="str">
            <v>Production</v>
          </cell>
          <cell r="O1549" t="str">
            <v>No</v>
          </cell>
          <cell r="Q1549" t="str">
            <v>Live</v>
          </cell>
          <cell r="R1549">
            <v>45740.656851851847</v>
          </cell>
          <cell r="S1549" t="str">
            <v>Nada Ashraf</v>
          </cell>
          <cell r="T1549">
            <v>45753</v>
          </cell>
          <cell r="U1549" t="str">
            <v>Rhettsmey Meak</v>
          </cell>
          <cell r="V1549">
            <v>45774</v>
          </cell>
          <cell r="W1549">
            <v>45980</v>
          </cell>
          <cell r="Y1549">
            <v>45741</v>
          </cell>
          <cell r="AC1549">
            <v>45978</v>
          </cell>
        </row>
        <row r="1550">
          <cell r="I1550" t="str">
            <v>EDI</v>
          </cell>
          <cell r="N1550" t="str">
            <v>Requirements Gathering</v>
          </cell>
          <cell r="O1550" t="str">
            <v>No</v>
          </cell>
          <cell r="Q1550" t="str">
            <v>Cancelled</v>
          </cell>
          <cell r="R1550">
            <v>45740.654398148137</v>
          </cell>
          <cell r="S1550" t="str">
            <v>Abdulrahman Tarek</v>
          </cell>
          <cell r="T1550">
            <v>45741</v>
          </cell>
          <cell r="U1550" t="str">
            <v>Rhettsmey Meak</v>
          </cell>
        </row>
        <row r="1551">
          <cell r="I1551" t="str">
            <v>EDI</v>
          </cell>
          <cell r="L1551">
            <v>3824</v>
          </cell>
          <cell r="N1551" t="str">
            <v>Production</v>
          </cell>
          <cell r="O1551" t="str">
            <v>No</v>
          </cell>
          <cell r="Q1551" t="str">
            <v>Cancelled</v>
          </cell>
          <cell r="R1551">
            <v>45740.649259259262</v>
          </cell>
          <cell r="S1551" t="str">
            <v>Nada Ashraf</v>
          </cell>
          <cell r="T1551">
            <v>45756</v>
          </cell>
          <cell r="U1551" t="str">
            <v>Rhettsmey Meak</v>
          </cell>
          <cell r="V1551">
            <v>45818</v>
          </cell>
          <cell r="W1551">
            <v>45961</v>
          </cell>
          <cell r="Y1551">
            <v>45755</v>
          </cell>
          <cell r="AC1551">
            <v>45959</v>
          </cell>
        </row>
        <row r="1552">
          <cell r="I1552" t="str">
            <v>EDI</v>
          </cell>
          <cell r="L1552">
            <v>3827</v>
          </cell>
          <cell r="N1552" t="str">
            <v>Production</v>
          </cell>
          <cell r="O1552" t="str">
            <v>No</v>
          </cell>
          <cell r="Q1552" t="str">
            <v>Live</v>
          </cell>
          <cell r="R1552">
            <v>45740.64435185185</v>
          </cell>
          <cell r="S1552" t="str">
            <v>Marwan Tawfik</v>
          </cell>
          <cell r="T1552">
            <v>45769</v>
          </cell>
          <cell r="U1552" t="str">
            <v>Rhettsmey Meak</v>
          </cell>
          <cell r="V1552">
            <v>45796</v>
          </cell>
          <cell r="W1552">
            <v>45840</v>
          </cell>
          <cell r="Y1552">
            <v>45766</v>
          </cell>
          <cell r="AC1552">
            <v>45833</v>
          </cell>
        </row>
        <row r="1553">
          <cell r="I1553" t="str">
            <v>EDI</v>
          </cell>
          <cell r="L1553">
            <v>3845</v>
          </cell>
          <cell r="N1553" t="str">
            <v>Production</v>
          </cell>
          <cell r="O1553" t="str">
            <v>No</v>
          </cell>
          <cell r="Q1553" t="str">
            <v>Live</v>
          </cell>
          <cell r="R1553">
            <v>45740.602824074071</v>
          </cell>
          <cell r="S1553" t="str">
            <v>Omnia Abdelaziz</v>
          </cell>
          <cell r="T1553">
            <v>45771</v>
          </cell>
          <cell r="U1553" t="str">
            <v>Gregory Dubec</v>
          </cell>
          <cell r="V1553">
            <v>45799</v>
          </cell>
          <cell r="W1553">
            <v>45847</v>
          </cell>
          <cell r="Y1553">
            <v>45771</v>
          </cell>
          <cell r="AC1553">
            <v>45833</v>
          </cell>
        </row>
        <row r="1554">
          <cell r="I1554" t="str">
            <v>EDI</v>
          </cell>
          <cell r="L1554">
            <v>3802</v>
          </cell>
          <cell r="N1554" t="str">
            <v>Production</v>
          </cell>
          <cell r="O1554" t="str">
            <v>No</v>
          </cell>
          <cell r="Q1554" t="str">
            <v>Live</v>
          </cell>
          <cell r="R1554">
            <v>45737.740185185183</v>
          </cell>
          <cell r="S1554" t="str">
            <v>Reem Radwan</v>
          </cell>
          <cell r="T1554">
            <v>45750</v>
          </cell>
          <cell r="U1554" t="str">
            <v>Trish Kalinczok</v>
          </cell>
          <cell r="V1554">
            <v>45762</v>
          </cell>
          <cell r="W1554">
            <v>45790</v>
          </cell>
          <cell r="Y1554">
            <v>45743</v>
          </cell>
          <cell r="AC1554">
            <v>45788</v>
          </cell>
        </row>
        <row r="1555">
          <cell r="I1555" t="str">
            <v>EDI</v>
          </cell>
          <cell r="L1555">
            <v>3803</v>
          </cell>
          <cell r="N1555" t="str">
            <v>Production</v>
          </cell>
          <cell r="O1555" t="str">
            <v>No</v>
          </cell>
          <cell r="Q1555" t="str">
            <v>Live</v>
          </cell>
          <cell r="R1555">
            <v>45737.691840277781</v>
          </cell>
          <cell r="S1555" t="str">
            <v>Reem Radwan</v>
          </cell>
          <cell r="T1555">
            <v>45750</v>
          </cell>
          <cell r="U1555" t="str">
            <v>Trish Kalinczok</v>
          </cell>
          <cell r="V1555">
            <v>45776</v>
          </cell>
          <cell r="W1555">
            <v>45845</v>
          </cell>
          <cell r="Y1555">
            <v>45742</v>
          </cell>
          <cell r="AC1555">
            <v>45841</v>
          </cell>
        </row>
        <row r="1556">
          <cell r="I1556" t="str">
            <v>EDI</v>
          </cell>
          <cell r="L1556">
            <v>3811</v>
          </cell>
          <cell r="N1556" t="str">
            <v>Production</v>
          </cell>
          <cell r="O1556" t="str">
            <v>No</v>
          </cell>
          <cell r="Q1556" t="str">
            <v>Live</v>
          </cell>
          <cell r="R1556">
            <v>45737.619050925918</v>
          </cell>
          <cell r="S1556" t="str">
            <v>Karen Ramy</v>
          </cell>
          <cell r="T1556">
            <v>45753</v>
          </cell>
          <cell r="U1556" t="str">
            <v>Trish Kalinczok</v>
          </cell>
          <cell r="V1556">
            <v>45777</v>
          </cell>
          <cell r="W1556">
            <v>45803</v>
          </cell>
          <cell r="Y1556">
            <v>45742</v>
          </cell>
          <cell r="AC1556">
            <v>45796</v>
          </cell>
        </row>
        <row r="1557">
          <cell r="I1557" t="str">
            <v>EDI</v>
          </cell>
          <cell r="L1557">
            <v>3800</v>
          </cell>
          <cell r="N1557" t="str">
            <v>Production</v>
          </cell>
          <cell r="O1557" t="str">
            <v>No</v>
          </cell>
          <cell r="Q1557" t="str">
            <v>Live</v>
          </cell>
          <cell r="R1557">
            <v>45737.610625000001</v>
          </cell>
          <cell r="S1557" t="str">
            <v>Alaa Yehia</v>
          </cell>
          <cell r="T1557">
            <v>45753</v>
          </cell>
          <cell r="U1557" t="str">
            <v>Trish Kalinczok</v>
          </cell>
          <cell r="V1557">
            <v>45754</v>
          </cell>
          <cell r="W1557">
            <v>45768</v>
          </cell>
          <cell r="Y1557">
            <v>45743</v>
          </cell>
          <cell r="AC1557">
            <v>45763</v>
          </cell>
        </row>
        <row r="1558">
          <cell r="I1558" t="str">
            <v>EDI</v>
          </cell>
          <cell r="N1558" t="str">
            <v>Requirements Gathering</v>
          </cell>
          <cell r="O1558" t="str">
            <v>No</v>
          </cell>
          <cell r="Q1558" t="str">
            <v>Cancelled</v>
          </cell>
          <cell r="R1558">
            <v>45737.610625000001</v>
          </cell>
          <cell r="S1558" t="str">
            <v>Abdulrahman Tarek</v>
          </cell>
          <cell r="T1558">
            <v>45740</v>
          </cell>
          <cell r="U1558" t="str">
            <v>Trish Kalinczok</v>
          </cell>
        </row>
        <row r="1559">
          <cell r="I1559" t="str">
            <v>EDI</v>
          </cell>
          <cell r="L1559">
            <v>3992</v>
          </cell>
          <cell r="N1559" t="str">
            <v>Production</v>
          </cell>
          <cell r="O1559" t="str">
            <v>No</v>
          </cell>
          <cell r="Q1559" t="str">
            <v>Live</v>
          </cell>
          <cell r="R1559">
            <v>45737.603090277778</v>
          </cell>
          <cell r="S1559" t="str">
            <v>Zeyad Khaled</v>
          </cell>
          <cell r="T1559">
            <v>45838</v>
          </cell>
          <cell r="U1559" t="str">
            <v>Rhettsmey Meak</v>
          </cell>
          <cell r="V1559">
            <v>45847</v>
          </cell>
          <cell r="W1559">
            <v>45961</v>
          </cell>
          <cell r="Y1559">
            <v>45837</v>
          </cell>
          <cell r="AC1559">
            <v>45960</v>
          </cell>
        </row>
        <row r="1560">
          <cell r="I1560" t="str">
            <v>EDI</v>
          </cell>
          <cell r="L1560">
            <v>3797</v>
          </cell>
          <cell r="N1560" t="str">
            <v>Production</v>
          </cell>
          <cell r="O1560" t="str">
            <v>No</v>
          </cell>
          <cell r="Q1560" t="str">
            <v>Live</v>
          </cell>
          <cell r="R1560">
            <v>45735.88921296296</v>
          </cell>
          <cell r="S1560" t="str">
            <v>Aya Fathy</v>
          </cell>
          <cell r="T1560">
            <v>45743</v>
          </cell>
          <cell r="U1560" t="str">
            <v>Tammy Davies</v>
          </cell>
          <cell r="V1560">
            <v>25569</v>
          </cell>
          <cell r="W1560">
            <v>45790</v>
          </cell>
          <cell r="Y1560">
            <v>45741</v>
          </cell>
          <cell r="AC1560">
            <v>45786</v>
          </cell>
        </row>
        <row r="1561">
          <cell r="I1561" t="str">
            <v>EDI</v>
          </cell>
          <cell r="N1561" t="str">
            <v>Requirements Gathering</v>
          </cell>
          <cell r="O1561" t="str">
            <v>No</v>
          </cell>
          <cell r="Q1561" t="str">
            <v>Cancelled</v>
          </cell>
          <cell r="R1561">
            <v>45735.742881944447</v>
          </cell>
          <cell r="S1561" t="str">
            <v>Sandra Adel</v>
          </cell>
          <cell r="T1561">
            <v>45736</v>
          </cell>
          <cell r="U1561" t="str">
            <v>Gregory Dubec</v>
          </cell>
        </row>
        <row r="1562">
          <cell r="I1562" t="str">
            <v>EDI</v>
          </cell>
          <cell r="N1562" t="str">
            <v>Dataset Validation</v>
          </cell>
          <cell r="O1562" t="str">
            <v>No</v>
          </cell>
          <cell r="Q1562" t="str">
            <v>Cancelled</v>
          </cell>
          <cell r="R1562">
            <v>45735.74287037037</v>
          </cell>
          <cell r="S1562" t="str">
            <v>Mina Kamil</v>
          </cell>
          <cell r="T1562">
            <v>45743</v>
          </cell>
          <cell r="U1562" t="str">
            <v>Gregory Dubec</v>
          </cell>
          <cell r="Y1562">
            <v>45740</v>
          </cell>
        </row>
        <row r="1563">
          <cell r="I1563" t="str">
            <v>EDI</v>
          </cell>
          <cell r="L1563">
            <v>3798</v>
          </cell>
          <cell r="N1563" t="str">
            <v>Production</v>
          </cell>
          <cell r="O1563" t="str">
            <v>No</v>
          </cell>
          <cell r="Q1563" t="str">
            <v>Live</v>
          </cell>
          <cell r="R1563">
            <v>45735.702164351853</v>
          </cell>
          <cell r="S1563" t="str">
            <v>Karim Tarek</v>
          </cell>
          <cell r="T1563">
            <v>45750</v>
          </cell>
          <cell r="U1563" t="str">
            <v>Rhettsmey Meak</v>
          </cell>
          <cell r="V1563">
            <v>45755</v>
          </cell>
          <cell r="W1563">
            <v>45771</v>
          </cell>
          <cell r="Y1563">
            <v>45748</v>
          </cell>
          <cell r="AC1563">
            <v>45770</v>
          </cell>
        </row>
        <row r="1564">
          <cell r="I1564" t="str">
            <v>EDI</v>
          </cell>
          <cell r="N1564" t="str">
            <v>Pending Start</v>
          </cell>
          <cell r="O1564" t="str">
            <v>No</v>
          </cell>
          <cell r="Q1564" t="str">
            <v>Cancelled</v>
          </cell>
          <cell r="R1564">
            <v>45735.608460648153</v>
          </cell>
          <cell r="U1564" t="str">
            <v>Rhettsmey Meak</v>
          </cell>
        </row>
        <row r="1565">
          <cell r="I1565" t="str">
            <v>EDI</v>
          </cell>
          <cell r="L1565">
            <v>3865</v>
          </cell>
          <cell r="N1565" t="str">
            <v>Production</v>
          </cell>
          <cell r="O1565" t="str">
            <v>No</v>
          </cell>
          <cell r="Q1565" t="str">
            <v>Live</v>
          </cell>
          <cell r="R1565">
            <v>45734.826296296298</v>
          </cell>
          <cell r="S1565" t="str">
            <v>Aya Fathy</v>
          </cell>
          <cell r="T1565">
            <v>45782</v>
          </cell>
          <cell r="U1565" t="str">
            <v>Tyler  Raposa</v>
          </cell>
          <cell r="V1565">
            <v>45809</v>
          </cell>
          <cell r="W1565">
            <v>45919</v>
          </cell>
          <cell r="Y1565">
            <v>45778</v>
          </cell>
          <cell r="AC1565">
            <v>45914</v>
          </cell>
        </row>
        <row r="1566">
          <cell r="I1566" t="str">
            <v>EDI</v>
          </cell>
          <cell r="L1566">
            <v>3795</v>
          </cell>
          <cell r="N1566" t="str">
            <v>Production</v>
          </cell>
          <cell r="O1566" t="str">
            <v>No</v>
          </cell>
          <cell r="Q1566" t="str">
            <v>Live</v>
          </cell>
          <cell r="R1566">
            <v>45734.701041666667</v>
          </cell>
          <cell r="S1566" t="str">
            <v>Mirna Azmy</v>
          </cell>
          <cell r="T1566">
            <v>45742</v>
          </cell>
          <cell r="U1566" t="str">
            <v>Tyler  Raposa</v>
          </cell>
          <cell r="V1566">
            <v>45770</v>
          </cell>
          <cell r="W1566">
            <v>45924</v>
          </cell>
          <cell r="Y1566">
            <v>45736</v>
          </cell>
          <cell r="AC1566">
            <v>45911</v>
          </cell>
        </row>
        <row r="1567">
          <cell r="I1567" t="str">
            <v>EDI</v>
          </cell>
          <cell r="L1567">
            <v>3812</v>
          </cell>
          <cell r="N1567" t="str">
            <v>Testing</v>
          </cell>
          <cell r="O1567" t="str">
            <v>No</v>
          </cell>
          <cell r="Q1567" t="str">
            <v>Cancelled</v>
          </cell>
          <cell r="R1567">
            <v>45734.62190972222</v>
          </cell>
          <cell r="S1567" t="str">
            <v>Andrew Ramy</v>
          </cell>
          <cell r="T1567">
            <v>45756</v>
          </cell>
          <cell r="U1567" t="str">
            <v>Joel Costanzo</v>
          </cell>
          <cell r="Y1567">
            <v>45756</v>
          </cell>
        </row>
        <row r="1568">
          <cell r="I1568" t="str">
            <v>EDI</v>
          </cell>
          <cell r="L1568">
            <v>3828</v>
          </cell>
          <cell r="N1568" t="str">
            <v>Testing</v>
          </cell>
          <cell r="O1568" t="str">
            <v>No</v>
          </cell>
          <cell r="Q1568" t="str">
            <v>Cancelled</v>
          </cell>
          <cell r="R1568">
            <v>45734.620092592602</v>
          </cell>
          <cell r="S1568" t="str">
            <v>Reem Radwan</v>
          </cell>
          <cell r="T1568">
            <v>45769</v>
          </cell>
          <cell r="U1568" t="str">
            <v>Joel Costanzo</v>
          </cell>
          <cell r="V1568">
            <v>45783</v>
          </cell>
          <cell r="Y1568">
            <v>45763</v>
          </cell>
        </row>
        <row r="1569">
          <cell r="I1569" t="str">
            <v>EDI</v>
          </cell>
          <cell r="L1569">
            <v>3799</v>
          </cell>
          <cell r="N1569" t="str">
            <v>Production</v>
          </cell>
          <cell r="O1569" t="str">
            <v>No</v>
          </cell>
          <cell r="Q1569" t="str">
            <v>Live</v>
          </cell>
          <cell r="R1569">
            <v>45733.742048611108</v>
          </cell>
          <cell r="S1569" t="str">
            <v>Karim Tarek</v>
          </cell>
          <cell r="T1569">
            <v>45750</v>
          </cell>
          <cell r="U1569" t="str">
            <v>Robbie Schappell</v>
          </cell>
          <cell r="V1569">
            <v>45769</v>
          </cell>
          <cell r="W1569">
            <v>45785</v>
          </cell>
          <cell r="Y1569">
            <v>45743</v>
          </cell>
          <cell r="AC1569">
            <v>45783</v>
          </cell>
        </row>
        <row r="1570">
          <cell r="I1570" t="str">
            <v>EDI</v>
          </cell>
          <cell r="L1570">
            <v>3796</v>
          </cell>
          <cell r="N1570" t="str">
            <v>Production</v>
          </cell>
          <cell r="O1570" t="str">
            <v>No</v>
          </cell>
          <cell r="Q1570" t="str">
            <v>Live</v>
          </cell>
          <cell r="R1570">
            <v>45733.705474537041</v>
          </cell>
          <cell r="S1570" t="str">
            <v>Karen Ramy</v>
          </cell>
          <cell r="T1570">
            <v>45742</v>
          </cell>
          <cell r="U1570" t="str">
            <v>Trish Kalinczok</v>
          </cell>
          <cell r="V1570">
            <v>45761</v>
          </cell>
          <cell r="W1570">
            <v>45775</v>
          </cell>
          <cell r="Y1570">
            <v>45736</v>
          </cell>
          <cell r="AC1570">
            <v>45770</v>
          </cell>
        </row>
        <row r="1571">
          <cell r="I1571" t="str">
            <v>EDI</v>
          </cell>
          <cell r="L1571">
            <v>3793</v>
          </cell>
          <cell r="N1571" t="str">
            <v>Production</v>
          </cell>
          <cell r="O1571" t="str">
            <v>No</v>
          </cell>
          <cell r="Q1571" t="str">
            <v>Live</v>
          </cell>
          <cell r="R1571">
            <v>45730.717858796299</v>
          </cell>
          <cell r="S1571" t="str">
            <v>Karim Tarek</v>
          </cell>
          <cell r="T1571">
            <v>45741</v>
          </cell>
          <cell r="U1571" t="str">
            <v>Tammy Davies</v>
          </cell>
          <cell r="V1571">
            <v>45763</v>
          </cell>
          <cell r="W1571">
            <v>45790</v>
          </cell>
          <cell r="Y1571">
            <v>45739</v>
          </cell>
          <cell r="AC1571">
            <v>45789</v>
          </cell>
        </row>
        <row r="1572">
          <cell r="I1572" t="str">
            <v>EDI</v>
          </cell>
          <cell r="N1572" t="str">
            <v>Requirements Gathering</v>
          </cell>
          <cell r="O1572" t="str">
            <v>No</v>
          </cell>
          <cell r="Q1572" t="str">
            <v>Cancelled</v>
          </cell>
          <cell r="R1572">
            <v>45730.717858796299</v>
          </cell>
          <cell r="S1572" t="str">
            <v>Sandra Adel</v>
          </cell>
          <cell r="T1572">
            <v>45733</v>
          </cell>
          <cell r="U1572" t="str">
            <v>Tammy Davies</v>
          </cell>
        </row>
        <row r="1573">
          <cell r="I1573" t="str">
            <v>EDI</v>
          </cell>
          <cell r="N1573" t="str">
            <v>Requirements Gathering</v>
          </cell>
          <cell r="O1573" t="str">
            <v>No</v>
          </cell>
          <cell r="Q1573" t="str">
            <v>Cancelled</v>
          </cell>
          <cell r="R1573">
            <v>45730.717858796299</v>
          </cell>
          <cell r="S1573" t="str">
            <v>Abdulrahman Tarek</v>
          </cell>
          <cell r="T1573">
            <v>45733</v>
          </cell>
          <cell r="U1573" t="str">
            <v>Tammy Davies</v>
          </cell>
        </row>
        <row r="1574">
          <cell r="I1574" t="str">
            <v>EDI</v>
          </cell>
          <cell r="L1574">
            <v>3790</v>
          </cell>
          <cell r="N1574" t="str">
            <v>Production</v>
          </cell>
          <cell r="O1574" t="str">
            <v>No</v>
          </cell>
          <cell r="Q1574" t="str">
            <v>Cancelled</v>
          </cell>
          <cell r="R1574">
            <v>45727.84270833333</v>
          </cell>
          <cell r="S1574" t="str">
            <v>Ahmed Ali</v>
          </cell>
          <cell r="T1574">
            <v>45741</v>
          </cell>
          <cell r="U1574" t="str">
            <v>Matt Howell</v>
          </cell>
          <cell r="V1574">
            <v>45761</v>
          </cell>
          <cell r="W1574">
            <v>45792</v>
          </cell>
          <cell r="Y1574">
            <v>45728</v>
          </cell>
          <cell r="AC1574">
            <v>45789</v>
          </cell>
        </row>
        <row r="1575">
          <cell r="I1575" t="str">
            <v>EDI</v>
          </cell>
          <cell r="L1575">
            <v>3774</v>
          </cell>
          <cell r="N1575" t="str">
            <v>Production</v>
          </cell>
          <cell r="O1575" t="str">
            <v>No</v>
          </cell>
          <cell r="Q1575" t="str">
            <v>Live</v>
          </cell>
          <cell r="R1575">
            <v>45727.114201388889</v>
          </cell>
          <cell r="S1575" t="str">
            <v>Mirna Azmy</v>
          </cell>
          <cell r="T1575">
            <v>45735</v>
          </cell>
          <cell r="U1575" t="str">
            <v>Robbie Schappell</v>
          </cell>
          <cell r="V1575">
            <v>45740</v>
          </cell>
          <cell r="W1575">
            <v>45747</v>
          </cell>
          <cell r="Y1575">
            <v>45732</v>
          </cell>
          <cell r="AC1575">
            <v>45743</v>
          </cell>
        </row>
        <row r="1576">
          <cell r="I1576" t="str">
            <v>EDI</v>
          </cell>
          <cell r="L1576">
            <v>3807</v>
          </cell>
          <cell r="N1576" t="str">
            <v>Production</v>
          </cell>
          <cell r="O1576" t="str">
            <v>No</v>
          </cell>
          <cell r="Q1576" t="str">
            <v>Live</v>
          </cell>
          <cell r="R1576">
            <v>45726.838159722232</v>
          </cell>
          <cell r="S1576" t="str">
            <v>Nada Ashraf</v>
          </cell>
          <cell r="T1576">
            <v>45741</v>
          </cell>
          <cell r="U1576" t="str">
            <v>Trish Kalinczok</v>
          </cell>
          <cell r="V1576">
            <v>45769</v>
          </cell>
          <cell r="W1576">
            <v>45925</v>
          </cell>
          <cell r="Y1576">
            <v>45737</v>
          </cell>
          <cell r="AC1576">
            <v>45923</v>
          </cell>
        </row>
        <row r="1577">
          <cell r="I1577" t="str">
            <v>EDI</v>
          </cell>
          <cell r="L1577">
            <v>3779</v>
          </cell>
          <cell r="N1577" t="str">
            <v>Production</v>
          </cell>
          <cell r="O1577" t="str">
            <v>No</v>
          </cell>
          <cell r="Q1577" t="str">
            <v>Live</v>
          </cell>
          <cell r="R1577">
            <v>45726.707662037043</v>
          </cell>
          <cell r="S1577" t="str">
            <v>Ahmed Ali</v>
          </cell>
          <cell r="T1577">
            <v>45735</v>
          </cell>
          <cell r="U1577" t="str">
            <v>Rhettsmey Meak</v>
          </cell>
          <cell r="V1577">
            <v>45756</v>
          </cell>
          <cell r="W1577">
            <v>45800</v>
          </cell>
          <cell r="Y1577">
            <v>45732</v>
          </cell>
          <cell r="AC1577">
            <v>45799</v>
          </cell>
        </row>
        <row r="1578">
          <cell r="I1578" t="str">
            <v>EDI</v>
          </cell>
          <cell r="L1578">
            <v>3844</v>
          </cell>
          <cell r="N1578" t="str">
            <v>Production</v>
          </cell>
          <cell r="O1578" t="str">
            <v>No</v>
          </cell>
          <cell r="Q1578" t="str">
            <v>Live</v>
          </cell>
          <cell r="R1578">
            <v>45726.693657407413</v>
          </cell>
          <cell r="S1578" t="str">
            <v>Omnia Abdelaziz</v>
          </cell>
          <cell r="T1578">
            <v>45771</v>
          </cell>
          <cell r="U1578" t="str">
            <v>Robbie Schappell</v>
          </cell>
          <cell r="V1578">
            <v>45790</v>
          </cell>
          <cell r="W1578">
            <v>45799</v>
          </cell>
          <cell r="Y1578">
            <v>45770</v>
          </cell>
          <cell r="AC1578">
            <v>45791</v>
          </cell>
        </row>
        <row r="1579">
          <cell r="I1579" t="str">
            <v>EDI</v>
          </cell>
          <cell r="L1579">
            <v>3767</v>
          </cell>
          <cell r="N1579" t="str">
            <v>Production</v>
          </cell>
          <cell r="O1579" t="str">
            <v>No</v>
          </cell>
          <cell r="Q1579" t="str">
            <v>Live</v>
          </cell>
          <cell r="R1579">
            <v>45726.640023148153</v>
          </cell>
          <cell r="S1579" t="str">
            <v>Reem Radwan</v>
          </cell>
          <cell r="T1579">
            <v>45733</v>
          </cell>
          <cell r="U1579" t="str">
            <v>Trish Kalinczok</v>
          </cell>
          <cell r="V1579">
            <v>45760</v>
          </cell>
          <cell r="W1579">
            <v>45761</v>
          </cell>
          <cell r="Y1579">
            <v>45727</v>
          </cell>
          <cell r="AC1579">
            <v>45782</v>
          </cell>
        </row>
        <row r="1580">
          <cell r="I1580" t="str">
            <v>EDI</v>
          </cell>
          <cell r="L1580">
            <v>3784</v>
          </cell>
          <cell r="N1580" t="str">
            <v>Production</v>
          </cell>
          <cell r="O1580" t="str">
            <v>No</v>
          </cell>
          <cell r="Q1580" t="str">
            <v>Live</v>
          </cell>
          <cell r="R1580">
            <v>45723.709201388891</v>
          </cell>
          <cell r="S1580" t="str">
            <v>Zeyad Khaled</v>
          </cell>
          <cell r="T1580">
            <v>45735</v>
          </cell>
          <cell r="U1580" t="str">
            <v>Robbie Schappell</v>
          </cell>
          <cell r="V1580">
            <v>45756</v>
          </cell>
          <cell r="W1580">
            <v>45804</v>
          </cell>
          <cell r="Y1580">
            <v>45732</v>
          </cell>
          <cell r="AC1580">
            <v>45799</v>
          </cell>
        </row>
        <row r="1581">
          <cell r="I1581" t="str">
            <v>EDI</v>
          </cell>
          <cell r="L1581">
            <v>3771</v>
          </cell>
          <cell r="N1581" t="str">
            <v>Production</v>
          </cell>
          <cell r="O1581" t="str">
            <v>No</v>
          </cell>
          <cell r="Q1581" t="str">
            <v>Live</v>
          </cell>
          <cell r="R1581">
            <v>45722.87431712963</v>
          </cell>
          <cell r="S1581" t="str">
            <v>Mirna Azmy</v>
          </cell>
          <cell r="T1581">
            <v>45734</v>
          </cell>
          <cell r="U1581" t="str">
            <v>Trish Kalinczok</v>
          </cell>
          <cell r="V1581">
            <v>45791</v>
          </cell>
          <cell r="W1581">
            <v>45853</v>
          </cell>
          <cell r="Y1581">
            <v>45728</v>
          </cell>
          <cell r="AC1581">
            <v>45853</v>
          </cell>
        </row>
        <row r="1582">
          <cell r="I1582" t="str">
            <v>EDI</v>
          </cell>
          <cell r="L1582">
            <v>3804</v>
          </cell>
          <cell r="N1582" t="str">
            <v>Production</v>
          </cell>
          <cell r="O1582" t="str">
            <v>No</v>
          </cell>
          <cell r="Q1582" t="str">
            <v>Live</v>
          </cell>
          <cell r="R1582">
            <v>45722.76289351852</v>
          </cell>
          <cell r="S1582" t="str">
            <v>Nada Ashraf</v>
          </cell>
          <cell r="T1582">
            <v>45741</v>
          </cell>
          <cell r="U1582" t="str">
            <v>Trish Kalinczok</v>
          </cell>
          <cell r="V1582">
            <v>45754</v>
          </cell>
          <cell r="W1582">
            <v>45806</v>
          </cell>
          <cell r="Y1582">
            <v>45737</v>
          </cell>
          <cell r="AC1582">
            <v>45802</v>
          </cell>
        </row>
        <row r="1583">
          <cell r="I1583" t="str">
            <v>EDI</v>
          </cell>
          <cell r="L1583">
            <v>3775</v>
          </cell>
          <cell r="N1583" t="str">
            <v>Production</v>
          </cell>
          <cell r="O1583" t="str">
            <v>No</v>
          </cell>
          <cell r="Q1583" t="str">
            <v>Live</v>
          </cell>
          <cell r="R1583">
            <v>45722.76289351852</v>
          </cell>
          <cell r="S1583" t="str">
            <v>Alaa Yehia</v>
          </cell>
          <cell r="T1583">
            <v>45734</v>
          </cell>
          <cell r="U1583" t="str">
            <v>Trish Kalinczok</v>
          </cell>
          <cell r="V1583">
            <v>45745</v>
          </cell>
          <cell r="W1583">
            <v>45761</v>
          </cell>
          <cell r="Y1583">
            <v>45732</v>
          </cell>
          <cell r="AC1583">
            <v>45760</v>
          </cell>
        </row>
        <row r="1584">
          <cell r="I1584" t="str">
            <v>EDI</v>
          </cell>
          <cell r="N1584" t="str">
            <v>Requirements Gathering</v>
          </cell>
          <cell r="O1584" t="str">
            <v>No</v>
          </cell>
          <cell r="Q1584" t="str">
            <v>Cancelled</v>
          </cell>
          <cell r="R1584">
            <v>45722.762881944444</v>
          </cell>
          <cell r="S1584" t="str">
            <v>Abdulrahman Tarek</v>
          </cell>
          <cell r="T1584">
            <v>45726</v>
          </cell>
          <cell r="U1584" t="str">
            <v>Trish Kalinczok</v>
          </cell>
        </row>
        <row r="1585">
          <cell r="I1585" t="str">
            <v>EDI</v>
          </cell>
          <cell r="L1585">
            <v>3794</v>
          </cell>
          <cell r="N1585" t="str">
            <v>Production</v>
          </cell>
          <cell r="O1585" t="str">
            <v>No</v>
          </cell>
          <cell r="Q1585" t="str">
            <v>Cancelled</v>
          </cell>
          <cell r="R1585">
            <v>45722.756006944437</v>
          </cell>
          <cell r="S1585" t="str">
            <v>Mirna Azmy</v>
          </cell>
          <cell r="T1585">
            <v>45741</v>
          </cell>
          <cell r="U1585" t="str">
            <v>Jay Lang</v>
          </cell>
          <cell r="V1585">
            <v>45797</v>
          </cell>
          <cell r="W1585">
            <v>45890</v>
          </cell>
          <cell r="Y1585">
            <v>45735</v>
          </cell>
          <cell r="AC1585">
            <v>45889</v>
          </cell>
        </row>
        <row r="1586">
          <cell r="I1586" t="str">
            <v>EDI</v>
          </cell>
          <cell r="L1586">
            <v>3783</v>
          </cell>
          <cell r="N1586" t="str">
            <v>Production</v>
          </cell>
          <cell r="O1586" t="str">
            <v>No</v>
          </cell>
          <cell r="Q1586" t="str">
            <v>Live</v>
          </cell>
          <cell r="R1586">
            <v>45722.664467592593</v>
          </cell>
          <cell r="S1586" t="str">
            <v>Mirna Azmy</v>
          </cell>
          <cell r="T1586">
            <v>45736</v>
          </cell>
          <cell r="U1586" t="str">
            <v>Jay Lang</v>
          </cell>
          <cell r="V1586">
            <v>45790</v>
          </cell>
          <cell r="W1586">
            <v>45883</v>
          </cell>
          <cell r="Y1586">
            <v>45735</v>
          </cell>
          <cell r="AC1586">
            <v>45881</v>
          </cell>
        </row>
        <row r="1587">
          <cell r="I1587" t="str">
            <v>EDI</v>
          </cell>
          <cell r="L1587">
            <v>3762</v>
          </cell>
          <cell r="N1587" t="str">
            <v>Production</v>
          </cell>
          <cell r="O1587" t="str">
            <v>No</v>
          </cell>
          <cell r="Q1587" t="str">
            <v>Live</v>
          </cell>
          <cell r="R1587">
            <v>45722.664467592593</v>
          </cell>
          <cell r="S1587" t="str">
            <v>Karim Tarek</v>
          </cell>
          <cell r="T1587">
            <v>45733</v>
          </cell>
          <cell r="U1587" t="str">
            <v>Jay Lang</v>
          </cell>
          <cell r="V1587">
            <v>45735</v>
          </cell>
          <cell r="W1587">
            <v>45771</v>
          </cell>
          <cell r="Y1587">
            <v>45728</v>
          </cell>
          <cell r="AC1587">
            <v>45769</v>
          </cell>
        </row>
        <row r="1588">
          <cell r="I1588" t="str">
            <v>EDI</v>
          </cell>
          <cell r="L1588">
            <v>3761</v>
          </cell>
          <cell r="N1588" t="str">
            <v>Production</v>
          </cell>
          <cell r="O1588" t="str">
            <v>No</v>
          </cell>
          <cell r="Q1588" t="str">
            <v>Live</v>
          </cell>
          <cell r="R1588">
            <v>45722.664467592593</v>
          </cell>
          <cell r="S1588" t="str">
            <v>Karim Tarek</v>
          </cell>
          <cell r="T1588">
            <v>45733</v>
          </cell>
          <cell r="U1588" t="str">
            <v>Jay Lang</v>
          </cell>
          <cell r="V1588">
            <v>45743</v>
          </cell>
          <cell r="W1588">
            <v>45764</v>
          </cell>
          <cell r="Y1588">
            <v>45728</v>
          </cell>
          <cell r="AC1588">
            <v>45763</v>
          </cell>
        </row>
        <row r="1589">
          <cell r="I1589" t="str">
            <v>EDI</v>
          </cell>
          <cell r="L1589">
            <v>3770</v>
          </cell>
          <cell r="N1589" t="str">
            <v>Production</v>
          </cell>
          <cell r="O1589" t="str">
            <v>No</v>
          </cell>
          <cell r="Q1589" t="str">
            <v>Live</v>
          </cell>
          <cell r="R1589">
            <v>45722.615543981483</v>
          </cell>
          <cell r="S1589" t="str">
            <v>Nada Ashraf</v>
          </cell>
          <cell r="T1589">
            <v>45734</v>
          </cell>
          <cell r="U1589" t="str">
            <v>Rhettsmey Meak</v>
          </cell>
          <cell r="V1589">
            <v>45741</v>
          </cell>
          <cell r="W1589">
            <v>25569</v>
          </cell>
          <cell r="Y1589">
            <v>45732</v>
          </cell>
          <cell r="AC1589">
            <v>45770</v>
          </cell>
        </row>
        <row r="1590">
          <cell r="I1590" t="str">
            <v>EDI</v>
          </cell>
          <cell r="L1590">
            <v>3810</v>
          </cell>
          <cell r="N1590" t="str">
            <v>Production</v>
          </cell>
          <cell r="O1590" t="str">
            <v>No</v>
          </cell>
          <cell r="Q1590" t="str">
            <v>Live</v>
          </cell>
          <cell r="R1590">
            <v>45722.086643518523</v>
          </cell>
          <cell r="S1590" t="str">
            <v>Aya Fathy</v>
          </cell>
          <cell r="T1590">
            <v>45755</v>
          </cell>
          <cell r="U1590" t="str">
            <v>Hans De Grouw</v>
          </cell>
          <cell r="V1590">
            <v>45756</v>
          </cell>
          <cell r="W1590">
            <v>45792</v>
          </cell>
          <cell r="Y1590">
            <v>45755</v>
          </cell>
          <cell r="AC1590">
            <v>45786</v>
          </cell>
        </row>
        <row r="1591">
          <cell r="I1591" t="str">
            <v>EDI</v>
          </cell>
          <cell r="L1591">
            <v>3787</v>
          </cell>
          <cell r="N1591" t="str">
            <v>Production</v>
          </cell>
          <cell r="O1591" t="str">
            <v>No</v>
          </cell>
          <cell r="Q1591" t="str">
            <v>Live</v>
          </cell>
          <cell r="R1591">
            <v>45721.911874999998</v>
          </cell>
          <cell r="S1591" t="str">
            <v>Aya Fathy</v>
          </cell>
          <cell r="T1591">
            <v>45729</v>
          </cell>
          <cell r="U1591" t="str">
            <v>Scott Henrehan</v>
          </cell>
          <cell r="V1591">
            <v>45753</v>
          </cell>
          <cell r="W1591">
            <v>45786</v>
          </cell>
          <cell r="Y1591">
            <v>45727</v>
          </cell>
          <cell r="AC1591">
            <v>45782</v>
          </cell>
        </row>
        <row r="1592">
          <cell r="I1592" t="str">
            <v>EDI</v>
          </cell>
          <cell r="L1592">
            <v>3756</v>
          </cell>
          <cell r="N1592" t="str">
            <v>Production</v>
          </cell>
          <cell r="O1592" t="str">
            <v>No</v>
          </cell>
          <cell r="Q1592" t="str">
            <v>Live</v>
          </cell>
          <cell r="R1592">
            <v>45721.740833333337</v>
          </cell>
          <cell r="S1592" t="str">
            <v>Nada Ashraf</v>
          </cell>
          <cell r="T1592">
            <v>45729</v>
          </cell>
          <cell r="U1592" t="str">
            <v>Robbie Schappell</v>
          </cell>
          <cell r="V1592">
            <v>45741</v>
          </cell>
          <cell r="W1592">
            <v>45757</v>
          </cell>
          <cell r="Y1592">
            <v>45727</v>
          </cell>
          <cell r="AC1592">
            <v>45755</v>
          </cell>
        </row>
        <row r="1593">
          <cell r="I1593" t="str">
            <v>EDI</v>
          </cell>
          <cell r="L1593">
            <v>3763</v>
          </cell>
          <cell r="N1593" t="str">
            <v>Production</v>
          </cell>
          <cell r="O1593" t="str">
            <v>No</v>
          </cell>
          <cell r="Q1593" t="str">
            <v>Cancelled</v>
          </cell>
          <cell r="R1593">
            <v>45720.866863425923</v>
          </cell>
          <cell r="S1593" t="str">
            <v>Mirna Azmy</v>
          </cell>
          <cell r="T1593">
            <v>45733</v>
          </cell>
          <cell r="U1593" t="str">
            <v>Trish Kalinczok</v>
          </cell>
          <cell r="V1593">
            <v>45741</v>
          </cell>
          <cell r="W1593">
            <v>45750</v>
          </cell>
          <cell r="Y1593">
            <v>45729</v>
          </cell>
          <cell r="AC1593">
            <v>45757</v>
          </cell>
        </row>
        <row r="1594">
          <cell r="I1594" t="str">
            <v>EDI</v>
          </cell>
          <cell r="L1594">
            <v>3758</v>
          </cell>
          <cell r="N1594" t="str">
            <v>Production</v>
          </cell>
          <cell r="O1594" t="str">
            <v>No</v>
          </cell>
          <cell r="Q1594" t="str">
            <v>Live</v>
          </cell>
          <cell r="R1594">
            <v>45720.683923611112</v>
          </cell>
          <cell r="S1594" t="str">
            <v>Ahmed Ali</v>
          </cell>
          <cell r="T1594">
            <v>45728</v>
          </cell>
          <cell r="U1594" t="str">
            <v>Rhettsmey Meak</v>
          </cell>
          <cell r="V1594">
            <v>45743</v>
          </cell>
          <cell r="W1594">
            <v>45933</v>
          </cell>
          <cell r="Y1594">
            <v>45725</v>
          </cell>
          <cell r="AC1594">
            <v>45932</v>
          </cell>
        </row>
        <row r="1595">
          <cell r="I1595" t="str">
            <v>EDI</v>
          </cell>
          <cell r="L1595">
            <v>3792</v>
          </cell>
          <cell r="N1595" t="str">
            <v>Mapping</v>
          </cell>
          <cell r="O1595" t="str">
            <v>No</v>
          </cell>
          <cell r="Q1595" t="str">
            <v>Cancelled</v>
          </cell>
          <cell r="R1595">
            <v>45720.68240740741</v>
          </cell>
          <cell r="S1595" t="str">
            <v>Karim Tarek</v>
          </cell>
          <cell r="T1595">
            <v>45741</v>
          </cell>
          <cell r="U1595" t="str">
            <v>Rhettsmey Meak</v>
          </cell>
          <cell r="Y1595">
            <v>45740</v>
          </cell>
        </row>
        <row r="1596">
          <cell r="I1596" t="str">
            <v>EDI</v>
          </cell>
          <cell r="L1596">
            <v>3759</v>
          </cell>
          <cell r="N1596" t="str">
            <v>Production</v>
          </cell>
          <cell r="O1596" t="str">
            <v>No</v>
          </cell>
          <cell r="Q1596" t="str">
            <v>Live</v>
          </cell>
          <cell r="R1596">
            <v>45720.681423611109</v>
          </cell>
          <cell r="S1596" t="str">
            <v>Ahmed Ali</v>
          </cell>
          <cell r="T1596">
            <v>45728</v>
          </cell>
          <cell r="U1596" t="str">
            <v>Rhettsmey Meak</v>
          </cell>
          <cell r="V1596">
            <v>45741</v>
          </cell>
          <cell r="W1596">
            <v>45938</v>
          </cell>
          <cell r="Y1596">
            <v>45727</v>
          </cell>
          <cell r="AC1596">
            <v>45936</v>
          </cell>
        </row>
        <row r="1597">
          <cell r="I1597" t="str">
            <v>EDI</v>
          </cell>
          <cell r="L1597">
            <v>3863</v>
          </cell>
          <cell r="N1597" t="str">
            <v>Testing</v>
          </cell>
          <cell r="O1597" t="str">
            <v>No</v>
          </cell>
          <cell r="Q1597" t="str">
            <v>Cancelled</v>
          </cell>
          <cell r="R1597">
            <v>45719.78738425926</v>
          </cell>
          <cell r="S1597" t="str">
            <v>Ahmed Ali</v>
          </cell>
          <cell r="T1597">
            <v>46014</v>
          </cell>
          <cell r="U1597" t="str">
            <v>Carolina Tanoue</v>
          </cell>
          <cell r="V1597">
            <v>45803</v>
          </cell>
          <cell r="Y1597">
            <v>45772</v>
          </cell>
        </row>
        <row r="1598">
          <cell r="I1598" t="str">
            <v>EDI</v>
          </cell>
          <cell r="L1598">
            <v>3836</v>
          </cell>
          <cell r="N1598" t="str">
            <v>Production</v>
          </cell>
          <cell r="O1598" t="str">
            <v>No</v>
          </cell>
          <cell r="Q1598" t="str">
            <v>Live</v>
          </cell>
          <cell r="R1598">
            <v>45719.752881944441</v>
          </cell>
          <cell r="S1598" t="str">
            <v>Karen Ramy</v>
          </cell>
          <cell r="T1598">
            <v>45769</v>
          </cell>
          <cell r="U1598" t="str">
            <v>Robbie Schappell</v>
          </cell>
          <cell r="V1598">
            <v>45800</v>
          </cell>
          <cell r="W1598">
            <v>45912</v>
          </cell>
          <cell r="Y1598">
            <v>45763</v>
          </cell>
          <cell r="AC1598">
            <v>45908</v>
          </cell>
        </row>
        <row r="1599">
          <cell r="I1599" t="str">
            <v>EDI</v>
          </cell>
          <cell r="L1599">
            <v>3837</v>
          </cell>
          <cell r="N1599" t="str">
            <v>Production</v>
          </cell>
          <cell r="O1599" t="str">
            <v>No</v>
          </cell>
          <cell r="Q1599" t="str">
            <v>Live</v>
          </cell>
          <cell r="R1599">
            <v>45719.749340277784</v>
          </cell>
          <cell r="S1599" t="str">
            <v>Karen Ramy</v>
          </cell>
          <cell r="T1599">
            <v>45771</v>
          </cell>
          <cell r="U1599" t="str">
            <v>Robbie Schappell</v>
          </cell>
          <cell r="V1599">
            <v>45791</v>
          </cell>
          <cell r="W1599">
            <v>45897</v>
          </cell>
          <cell r="Y1599">
            <v>45770</v>
          </cell>
          <cell r="AC1599">
            <v>45894</v>
          </cell>
        </row>
        <row r="1600">
          <cell r="I1600" t="str">
            <v>EDI</v>
          </cell>
          <cell r="L1600">
            <v>3776</v>
          </cell>
          <cell r="N1600" t="str">
            <v>Production</v>
          </cell>
          <cell r="O1600" t="str">
            <v>No</v>
          </cell>
          <cell r="Q1600" t="str">
            <v>Cancelled</v>
          </cell>
          <cell r="R1600">
            <v>45719.691678240742</v>
          </cell>
          <cell r="S1600" t="str">
            <v>Andrew Ramy</v>
          </cell>
          <cell r="T1600">
            <v>45729</v>
          </cell>
          <cell r="U1600" t="str">
            <v>Joel Costanzo</v>
          </cell>
          <cell r="V1600">
            <v>45736</v>
          </cell>
          <cell r="W1600">
            <v>45803</v>
          </cell>
          <cell r="Y1600">
            <v>45723</v>
          </cell>
          <cell r="AC1600">
            <v>45802</v>
          </cell>
        </row>
        <row r="1601">
          <cell r="I1601" t="str">
            <v>EDI</v>
          </cell>
          <cell r="L1601">
            <v>3769</v>
          </cell>
          <cell r="N1601" t="str">
            <v>Production</v>
          </cell>
          <cell r="O1601" t="str">
            <v>No</v>
          </cell>
          <cell r="Q1601" t="str">
            <v>Live</v>
          </cell>
          <cell r="R1601">
            <v>45716.728229166663</v>
          </cell>
          <cell r="S1601" t="str">
            <v>Reem Radwan</v>
          </cell>
          <cell r="T1601">
            <v>45733</v>
          </cell>
          <cell r="U1601" t="str">
            <v>Trish Kalinczok</v>
          </cell>
          <cell r="V1601">
            <v>45762</v>
          </cell>
          <cell r="W1601">
            <v>45789</v>
          </cell>
          <cell r="Y1601">
            <v>45725</v>
          </cell>
          <cell r="AC1601">
            <v>45788</v>
          </cell>
        </row>
        <row r="1602">
          <cell r="I1602" t="str">
            <v>EDI</v>
          </cell>
          <cell r="N1602" t="str">
            <v>Pending Start</v>
          </cell>
          <cell r="O1602" t="str">
            <v>No</v>
          </cell>
          <cell r="Q1602" t="str">
            <v>Cancelled</v>
          </cell>
          <cell r="R1602">
            <v>45716.705648148149</v>
          </cell>
          <cell r="U1602" t="str">
            <v>Tammy Davies</v>
          </cell>
        </row>
        <row r="1603">
          <cell r="I1603" t="str">
            <v>EDI</v>
          </cell>
          <cell r="L1603">
            <v>3785</v>
          </cell>
          <cell r="N1603" t="str">
            <v>Production</v>
          </cell>
          <cell r="O1603" t="str">
            <v>No</v>
          </cell>
          <cell r="Q1603" t="str">
            <v>Live</v>
          </cell>
          <cell r="R1603">
            <v>45716.70275462963</v>
          </cell>
          <cell r="S1603" t="str">
            <v>Marwan Tawfik</v>
          </cell>
          <cell r="T1603">
            <v>45728</v>
          </cell>
          <cell r="U1603" t="str">
            <v>Rhettsmey Meak</v>
          </cell>
          <cell r="V1603">
            <v>45803</v>
          </cell>
          <cell r="W1603">
            <v>46010</v>
          </cell>
          <cell r="Y1603">
            <v>45725</v>
          </cell>
          <cell r="AC1603">
            <v>46005</v>
          </cell>
        </row>
        <row r="1604">
          <cell r="I1604" t="str">
            <v>EDI</v>
          </cell>
          <cell r="L1604">
            <v>3884</v>
          </cell>
          <cell r="N1604" t="str">
            <v>Production</v>
          </cell>
          <cell r="O1604" t="str">
            <v>No</v>
          </cell>
          <cell r="Q1604" t="str">
            <v>Live</v>
          </cell>
          <cell r="R1604">
            <v>45716.69672453704</v>
          </cell>
          <cell r="S1604" t="str">
            <v>Mina George</v>
          </cell>
          <cell r="T1604">
            <v>45834</v>
          </cell>
          <cell r="U1604" t="str">
            <v>Rhettsmey Meak</v>
          </cell>
          <cell r="V1604">
            <v>45854</v>
          </cell>
          <cell r="W1604">
            <v>45890</v>
          </cell>
          <cell r="Y1604">
            <v>45790</v>
          </cell>
          <cell r="AC1604">
            <v>45889</v>
          </cell>
        </row>
        <row r="1605">
          <cell r="I1605" t="str">
            <v>EDI</v>
          </cell>
          <cell r="L1605">
            <v>3786</v>
          </cell>
          <cell r="N1605" t="str">
            <v>Production</v>
          </cell>
          <cell r="O1605" t="str">
            <v>No</v>
          </cell>
          <cell r="Q1605" t="str">
            <v>Cancelled</v>
          </cell>
          <cell r="R1605">
            <v>45716.666446759264</v>
          </cell>
          <cell r="S1605" t="str">
            <v>Marwan Tawfik</v>
          </cell>
          <cell r="T1605">
            <v>45733</v>
          </cell>
          <cell r="U1605" t="str">
            <v>Rhettsmey Meak</v>
          </cell>
          <cell r="V1605">
            <v>45776</v>
          </cell>
          <cell r="W1605">
            <v>45821</v>
          </cell>
          <cell r="Y1605">
            <v>45732</v>
          </cell>
          <cell r="AC1605">
            <v>45820</v>
          </cell>
        </row>
        <row r="1606">
          <cell r="I1606" t="str">
            <v>EDI</v>
          </cell>
          <cell r="L1606">
            <v>3782</v>
          </cell>
          <cell r="N1606" t="str">
            <v>Production</v>
          </cell>
          <cell r="O1606" t="str">
            <v>No</v>
          </cell>
          <cell r="Q1606" t="str">
            <v>Live</v>
          </cell>
          <cell r="R1606">
            <v>45716.592222222222</v>
          </cell>
          <cell r="S1606" t="str">
            <v>Omnia Abdelaziz</v>
          </cell>
          <cell r="T1606">
            <v>45733</v>
          </cell>
          <cell r="U1606" t="str">
            <v>Tammy Davies</v>
          </cell>
          <cell r="V1606">
            <v>45757</v>
          </cell>
          <cell r="W1606">
            <v>45763</v>
          </cell>
          <cell r="Y1606">
            <v>45732</v>
          </cell>
          <cell r="AC1606">
            <v>45761</v>
          </cell>
        </row>
        <row r="1607">
          <cell r="I1607" t="str">
            <v>EDI</v>
          </cell>
          <cell r="L1607">
            <v>3749</v>
          </cell>
          <cell r="N1607" t="str">
            <v>Production</v>
          </cell>
          <cell r="O1607" t="str">
            <v>No</v>
          </cell>
          <cell r="Q1607" t="str">
            <v>Cancelled</v>
          </cell>
          <cell r="R1607">
            <v>45715.899722222217</v>
          </cell>
          <cell r="S1607" t="str">
            <v>Dina Medhat</v>
          </cell>
          <cell r="T1607">
            <v>45727</v>
          </cell>
          <cell r="U1607" t="str">
            <v>Hans De Grouw</v>
          </cell>
          <cell r="V1607">
            <v>45743</v>
          </cell>
          <cell r="W1607">
            <v>45953</v>
          </cell>
          <cell r="AC1607">
            <v>45949</v>
          </cell>
        </row>
        <row r="1608">
          <cell r="I1608" t="str">
            <v>EDI</v>
          </cell>
          <cell r="L1608">
            <v>3749</v>
          </cell>
          <cell r="N1608" t="str">
            <v>Production</v>
          </cell>
          <cell r="O1608" t="str">
            <v>No</v>
          </cell>
          <cell r="Q1608" t="str">
            <v>Cancelled</v>
          </cell>
          <cell r="R1608">
            <v>45715.896921296298</v>
          </cell>
          <cell r="S1608" t="str">
            <v>Dina Medhat</v>
          </cell>
          <cell r="T1608">
            <v>45727</v>
          </cell>
          <cell r="U1608" t="str">
            <v>Hans De Grouw</v>
          </cell>
          <cell r="V1608">
            <v>45743</v>
          </cell>
          <cell r="W1608">
            <v>45953</v>
          </cell>
          <cell r="AC1608">
            <v>45949</v>
          </cell>
        </row>
        <row r="1609">
          <cell r="I1609" t="str">
            <v>EDI</v>
          </cell>
          <cell r="L1609">
            <v>3749</v>
          </cell>
          <cell r="N1609" t="str">
            <v>Production</v>
          </cell>
          <cell r="O1609" t="str">
            <v>No</v>
          </cell>
          <cell r="Q1609" t="str">
            <v>Cancelled</v>
          </cell>
          <cell r="R1609">
            <v>45715.894409722219</v>
          </cell>
          <cell r="S1609" t="str">
            <v>Dina Medhat</v>
          </cell>
          <cell r="T1609">
            <v>45727</v>
          </cell>
          <cell r="U1609" t="str">
            <v>Hans De Grouw</v>
          </cell>
          <cell r="V1609">
            <v>45743</v>
          </cell>
          <cell r="W1609">
            <v>45953</v>
          </cell>
          <cell r="AC1609">
            <v>45949</v>
          </cell>
        </row>
        <row r="1610">
          <cell r="I1610" t="str">
            <v>EDI</v>
          </cell>
          <cell r="L1610">
            <v>3780</v>
          </cell>
          <cell r="N1610" t="str">
            <v>Production</v>
          </cell>
          <cell r="O1610" t="str">
            <v>No</v>
          </cell>
          <cell r="Q1610" t="str">
            <v>Live</v>
          </cell>
          <cell r="R1610">
            <v>45715.879687499997</v>
          </cell>
          <cell r="S1610" t="str">
            <v>Omnia Abdelaziz</v>
          </cell>
          <cell r="T1610">
            <v>45733</v>
          </cell>
          <cell r="U1610" t="str">
            <v>Robbie Schappell</v>
          </cell>
          <cell r="V1610">
            <v>45756</v>
          </cell>
          <cell r="W1610">
            <v>45761</v>
          </cell>
          <cell r="Y1610">
            <v>45732</v>
          </cell>
          <cell r="AC1610">
            <v>45756</v>
          </cell>
        </row>
        <row r="1611">
          <cell r="I1611" t="str">
            <v>EDI</v>
          </cell>
          <cell r="L1611">
            <v>3749</v>
          </cell>
          <cell r="N1611" t="str">
            <v>Production</v>
          </cell>
          <cell r="O1611" t="str">
            <v>No</v>
          </cell>
          <cell r="Q1611" t="str">
            <v>Cancelled</v>
          </cell>
          <cell r="R1611">
            <v>45715.877754629633</v>
          </cell>
          <cell r="S1611" t="str">
            <v>Dina Medhat</v>
          </cell>
          <cell r="T1611">
            <v>45727</v>
          </cell>
          <cell r="U1611" t="str">
            <v>Hans De Grouw</v>
          </cell>
          <cell r="V1611">
            <v>45743</v>
          </cell>
          <cell r="W1611">
            <v>45953</v>
          </cell>
          <cell r="AC1611">
            <v>45949</v>
          </cell>
        </row>
        <row r="1612">
          <cell r="I1612" t="str">
            <v>EDI</v>
          </cell>
          <cell r="L1612">
            <v>3749</v>
          </cell>
          <cell r="N1612" t="str">
            <v>Production</v>
          </cell>
          <cell r="O1612" t="str">
            <v>No</v>
          </cell>
          <cell r="Q1612" t="str">
            <v>Cancelled</v>
          </cell>
          <cell r="R1612">
            <v>45715.875428240739</v>
          </cell>
          <cell r="S1612" t="str">
            <v>Dina Medhat</v>
          </cell>
          <cell r="T1612">
            <v>45727</v>
          </cell>
          <cell r="U1612" t="str">
            <v>Hans De Grouw</v>
          </cell>
          <cell r="V1612">
            <v>45743</v>
          </cell>
          <cell r="W1612">
            <v>45953</v>
          </cell>
          <cell r="AC1612">
            <v>45949</v>
          </cell>
        </row>
        <row r="1613">
          <cell r="I1613" t="str">
            <v>EDI</v>
          </cell>
          <cell r="L1613">
            <v>3749</v>
          </cell>
          <cell r="N1613" t="str">
            <v>Production</v>
          </cell>
          <cell r="O1613" t="str">
            <v>No</v>
          </cell>
          <cell r="Q1613" t="str">
            <v>Cancelled</v>
          </cell>
          <cell r="R1613">
            <v>45715.87222222222</v>
          </cell>
          <cell r="S1613" t="str">
            <v>Dina Medhat</v>
          </cell>
          <cell r="T1613">
            <v>45727</v>
          </cell>
          <cell r="U1613" t="str">
            <v>Hans De Grouw</v>
          </cell>
          <cell r="V1613">
            <v>45743</v>
          </cell>
          <cell r="W1613">
            <v>45953</v>
          </cell>
          <cell r="AC1613">
            <v>45949</v>
          </cell>
        </row>
        <row r="1614">
          <cell r="I1614" t="str">
            <v>EDI</v>
          </cell>
          <cell r="L1614">
            <v>3749</v>
          </cell>
          <cell r="N1614" t="str">
            <v>Production</v>
          </cell>
          <cell r="O1614" t="str">
            <v>No</v>
          </cell>
          <cell r="Q1614" t="str">
            <v>Cancelled</v>
          </cell>
          <cell r="R1614">
            <v>45715.869814814818</v>
          </cell>
          <cell r="S1614" t="str">
            <v>Dina Medhat</v>
          </cell>
          <cell r="T1614">
            <v>45727</v>
          </cell>
          <cell r="U1614" t="str">
            <v>Hans De Grouw</v>
          </cell>
          <cell r="V1614">
            <v>45743</v>
          </cell>
          <cell r="W1614">
            <v>45953</v>
          </cell>
          <cell r="AC1614">
            <v>45949</v>
          </cell>
        </row>
        <row r="1615">
          <cell r="I1615" t="str">
            <v>EDI</v>
          </cell>
          <cell r="L1615">
            <v>3749</v>
          </cell>
          <cell r="N1615" t="str">
            <v>Production</v>
          </cell>
          <cell r="O1615" t="str">
            <v>No</v>
          </cell>
          <cell r="Q1615" t="str">
            <v>Cancelled</v>
          </cell>
          <cell r="R1615">
            <v>45715.864386574067</v>
          </cell>
          <cell r="S1615" t="str">
            <v>Karim Tarek</v>
          </cell>
          <cell r="T1615">
            <v>45726</v>
          </cell>
          <cell r="U1615" t="str">
            <v>Hans De Grouw</v>
          </cell>
          <cell r="V1615">
            <v>45743</v>
          </cell>
          <cell r="W1615">
            <v>45953</v>
          </cell>
          <cell r="AC1615">
            <v>45949</v>
          </cell>
        </row>
        <row r="1616">
          <cell r="I1616" t="str">
            <v>EDI</v>
          </cell>
          <cell r="L1616">
            <v>3749</v>
          </cell>
          <cell r="N1616" t="str">
            <v>Production</v>
          </cell>
          <cell r="O1616" t="str">
            <v>No</v>
          </cell>
          <cell r="Q1616" t="str">
            <v>Cancelled</v>
          </cell>
          <cell r="R1616">
            <v>45715.862129629633</v>
          </cell>
          <cell r="S1616" t="str">
            <v>Dina Medhat</v>
          </cell>
          <cell r="T1616">
            <v>45727</v>
          </cell>
          <cell r="U1616" t="str">
            <v>Hans De Grouw</v>
          </cell>
          <cell r="V1616">
            <v>45743</v>
          </cell>
          <cell r="W1616">
            <v>45953</v>
          </cell>
          <cell r="AC1616">
            <v>45949</v>
          </cell>
        </row>
        <row r="1617">
          <cell r="I1617" t="str">
            <v>EDI</v>
          </cell>
          <cell r="L1617">
            <v>3749</v>
          </cell>
          <cell r="N1617" t="str">
            <v>Production</v>
          </cell>
          <cell r="O1617" t="str">
            <v>No</v>
          </cell>
          <cell r="Q1617" t="str">
            <v>Cancelled</v>
          </cell>
          <cell r="R1617">
            <v>45715.8591087963</v>
          </cell>
          <cell r="S1617" t="str">
            <v>Dina Medhat</v>
          </cell>
          <cell r="T1617">
            <v>45727</v>
          </cell>
          <cell r="U1617" t="str">
            <v>Hans De Grouw</v>
          </cell>
          <cell r="V1617">
            <v>45743</v>
          </cell>
          <cell r="W1617">
            <v>45953</v>
          </cell>
          <cell r="AC1617">
            <v>45949</v>
          </cell>
        </row>
        <row r="1618">
          <cell r="I1618" t="str">
            <v>EDI</v>
          </cell>
          <cell r="L1618">
            <v>3749</v>
          </cell>
          <cell r="N1618" t="str">
            <v>Production</v>
          </cell>
          <cell r="O1618" t="str">
            <v>No</v>
          </cell>
          <cell r="Q1618" t="str">
            <v>Cancelled</v>
          </cell>
          <cell r="R1618">
            <v>45715.855451388888</v>
          </cell>
          <cell r="S1618" t="str">
            <v>Dina Medhat</v>
          </cell>
          <cell r="T1618">
            <v>45727</v>
          </cell>
          <cell r="U1618" t="str">
            <v>Hans De Grouw</v>
          </cell>
          <cell r="V1618">
            <v>45743</v>
          </cell>
          <cell r="W1618">
            <v>45953</v>
          </cell>
          <cell r="AC1618">
            <v>45949</v>
          </cell>
        </row>
        <row r="1619">
          <cell r="I1619" t="str">
            <v>EDI</v>
          </cell>
          <cell r="N1619" t="str">
            <v>Requirements Gathering</v>
          </cell>
          <cell r="O1619" t="str">
            <v>No</v>
          </cell>
          <cell r="Q1619" t="str">
            <v>Cancelled</v>
          </cell>
          <cell r="R1619">
            <v>45714.736712962957</v>
          </cell>
          <cell r="S1619" t="str">
            <v>Lourina Edmon</v>
          </cell>
          <cell r="T1619">
            <v>45715</v>
          </cell>
          <cell r="U1619" t="str">
            <v>Tammy Davies</v>
          </cell>
        </row>
        <row r="1620">
          <cell r="I1620" t="str">
            <v>EDI</v>
          </cell>
          <cell r="L1620">
            <v>3778</v>
          </cell>
          <cell r="N1620" t="str">
            <v>Testing</v>
          </cell>
          <cell r="O1620" t="str">
            <v>No</v>
          </cell>
          <cell r="Q1620" t="str">
            <v>Cancelled</v>
          </cell>
          <cell r="R1620">
            <v>45714.736701388887</v>
          </cell>
          <cell r="S1620" t="str">
            <v>Zeyad Khaled</v>
          </cell>
          <cell r="T1620">
            <v>45733</v>
          </cell>
          <cell r="U1620" t="str">
            <v>Tammy Davies</v>
          </cell>
          <cell r="V1620">
            <v>45783</v>
          </cell>
          <cell r="Y1620">
            <v>45732</v>
          </cell>
        </row>
        <row r="1621">
          <cell r="I1621" t="str">
            <v>EDI</v>
          </cell>
          <cell r="L1621">
            <v>3777</v>
          </cell>
          <cell r="N1621" t="str">
            <v>Requirements Gathering</v>
          </cell>
          <cell r="O1621" t="str">
            <v>No</v>
          </cell>
          <cell r="Q1621" t="str">
            <v>Cancelled</v>
          </cell>
          <cell r="R1621">
            <v>45714.736701388887</v>
          </cell>
          <cell r="S1621" t="str">
            <v>Lourina Edmon</v>
          </cell>
          <cell r="T1621">
            <v>45797</v>
          </cell>
          <cell r="U1621" t="str">
            <v>Tammy Davies</v>
          </cell>
          <cell r="Y1621">
            <v>45732</v>
          </cell>
        </row>
        <row r="1622">
          <cell r="I1622" t="str">
            <v>EDI</v>
          </cell>
          <cell r="L1622">
            <v>3757</v>
          </cell>
          <cell r="N1622" t="str">
            <v>Production</v>
          </cell>
          <cell r="O1622" t="str">
            <v>No</v>
          </cell>
          <cell r="Q1622" t="str">
            <v>Live</v>
          </cell>
          <cell r="R1622">
            <v>45714.669953703713</v>
          </cell>
          <cell r="S1622" t="str">
            <v>Mina Kamil</v>
          </cell>
          <cell r="T1622">
            <v>45728</v>
          </cell>
          <cell r="U1622" t="str">
            <v>Tammy Davies</v>
          </cell>
          <cell r="V1622">
            <v>46028</v>
          </cell>
          <cell r="W1622">
            <v>25569</v>
          </cell>
          <cell r="Y1622">
            <v>45718</v>
          </cell>
          <cell r="AC1622">
            <v>45840</v>
          </cell>
        </row>
        <row r="1623">
          <cell r="I1623" t="str">
            <v>EDI</v>
          </cell>
          <cell r="L1623">
            <v>3772</v>
          </cell>
          <cell r="N1623" t="str">
            <v>Production</v>
          </cell>
          <cell r="O1623" t="str">
            <v>No</v>
          </cell>
          <cell r="Q1623" t="str">
            <v>Live</v>
          </cell>
          <cell r="R1623">
            <v>45714.64949074074</v>
          </cell>
          <cell r="S1623" t="str">
            <v>Noha Moustafa</v>
          </cell>
          <cell r="T1623">
            <v>45729</v>
          </cell>
          <cell r="U1623" t="str">
            <v>Rhettsmey Meak</v>
          </cell>
          <cell r="V1623">
            <v>45770</v>
          </cell>
          <cell r="W1623">
            <v>45793</v>
          </cell>
          <cell r="Y1623">
            <v>45728</v>
          </cell>
          <cell r="AC1623">
            <v>45789</v>
          </cell>
        </row>
        <row r="1624">
          <cell r="I1624" t="str">
            <v>EDI</v>
          </cell>
          <cell r="L1624">
            <v>3728</v>
          </cell>
          <cell r="N1624" t="str">
            <v>Production</v>
          </cell>
          <cell r="O1624" t="str">
            <v>No</v>
          </cell>
          <cell r="Q1624" t="str">
            <v>Live</v>
          </cell>
          <cell r="R1624">
            <v>45714.630347222221</v>
          </cell>
          <cell r="S1624" t="str">
            <v>Reem Radwan</v>
          </cell>
          <cell r="T1624">
            <v>45721</v>
          </cell>
          <cell r="U1624" t="str">
            <v>Ron Anderson</v>
          </cell>
          <cell r="V1624">
            <v>45763</v>
          </cell>
          <cell r="W1624">
            <v>45768</v>
          </cell>
          <cell r="Y1624">
            <v>45716</v>
          </cell>
          <cell r="AC1624">
            <v>45763</v>
          </cell>
        </row>
        <row r="1625">
          <cell r="I1625" t="str">
            <v>EDI</v>
          </cell>
          <cell r="L1625">
            <v>3960</v>
          </cell>
          <cell r="N1625" t="str">
            <v>Production</v>
          </cell>
          <cell r="O1625" t="str">
            <v>No</v>
          </cell>
          <cell r="Q1625" t="str">
            <v>Live</v>
          </cell>
          <cell r="R1625">
            <v>45714.630335648151</v>
          </cell>
          <cell r="S1625" t="str">
            <v>Reem Radwan</v>
          </cell>
          <cell r="T1625">
            <v>45827</v>
          </cell>
          <cell r="U1625" t="str">
            <v>Ron Anderson</v>
          </cell>
          <cell r="V1625">
            <v>45851</v>
          </cell>
          <cell r="W1625">
            <v>45978</v>
          </cell>
          <cell r="Y1625">
            <v>45826</v>
          </cell>
          <cell r="AC1625">
            <v>45972</v>
          </cell>
        </row>
        <row r="1626">
          <cell r="I1626" t="str">
            <v>EDI</v>
          </cell>
          <cell r="L1626">
            <v>3729</v>
          </cell>
          <cell r="N1626" t="str">
            <v>Production</v>
          </cell>
          <cell r="O1626" t="str">
            <v>No</v>
          </cell>
          <cell r="Q1626" t="str">
            <v>Live</v>
          </cell>
          <cell r="R1626">
            <v>45714.630335648151</v>
          </cell>
          <cell r="S1626" t="str">
            <v>Reem Radwan</v>
          </cell>
          <cell r="T1626">
            <v>45721</v>
          </cell>
          <cell r="U1626" t="str">
            <v>Ron Anderson</v>
          </cell>
          <cell r="V1626">
            <v>45756</v>
          </cell>
          <cell r="W1626">
            <v>45789</v>
          </cell>
          <cell r="Y1626">
            <v>45716</v>
          </cell>
          <cell r="AC1626">
            <v>45789</v>
          </cell>
        </row>
        <row r="1627">
          <cell r="I1627" t="str">
            <v>EDI</v>
          </cell>
          <cell r="L1627">
            <v>3732</v>
          </cell>
          <cell r="N1627" t="str">
            <v>Production</v>
          </cell>
          <cell r="O1627" t="str">
            <v>No</v>
          </cell>
          <cell r="Q1627" t="str">
            <v>Live</v>
          </cell>
          <cell r="R1627">
            <v>45714.630335648151</v>
          </cell>
          <cell r="S1627" t="str">
            <v>Reem Radwan</v>
          </cell>
          <cell r="T1627">
            <v>45721</v>
          </cell>
          <cell r="U1627" t="str">
            <v>Ron Anderson</v>
          </cell>
          <cell r="V1627">
            <v>45785</v>
          </cell>
          <cell r="W1627">
            <v>45796</v>
          </cell>
          <cell r="Y1627">
            <v>45719</v>
          </cell>
          <cell r="AC1627">
            <v>45793</v>
          </cell>
        </row>
        <row r="1628">
          <cell r="I1628" t="str">
            <v>EDI</v>
          </cell>
          <cell r="L1628">
            <v>3809</v>
          </cell>
          <cell r="N1628" t="str">
            <v>Production</v>
          </cell>
          <cell r="O1628" t="str">
            <v>No</v>
          </cell>
          <cell r="Q1628" t="str">
            <v>Live</v>
          </cell>
          <cell r="R1628">
            <v>45713.675578703696</v>
          </cell>
          <cell r="S1628" t="str">
            <v>Mina George</v>
          </cell>
          <cell r="T1628">
            <v>45754</v>
          </cell>
          <cell r="U1628" t="str">
            <v>Hans De Grouw</v>
          </cell>
          <cell r="V1628">
            <v>45778</v>
          </cell>
          <cell r="W1628">
            <v>45869</v>
          </cell>
          <cell r="Y1628">
            <v>45753</v>
          </cell>
          <cell r="AC1628">
            <v>45867</v>
          </cell>
        </row>
        <row r="1629">
          <cell r="I1629" t="str">
            <v>EDI</v>
          </cell>
          <cell r="L1629">
            <v>3806</v>
          </cell>
          <cell r="N1629" t="str">
            <v>Production</v>
          </cell>
          <cell r="O1629" t="str">
            <v>No</v>
          </cell>
          <cell r="Q1629" t="str">
            <v>Live</v>
          </cell>
          <cell r="R1629">
            <v>45713.668668981481</v>
          </cell>
          <cell r="S1629" t="str">
            <v>Mirna Azmy</v>
          </cell>
          <cell r="T1629">
            <v>45754</v>
          </cell>
          <cell r="U1629" t="str">
            <v>Hans De Grouw</v>
          </cell>
          <cell r="V1629">
            <v>45806</v>
          </cell>
          <cell r="W1629">
            <v>45876</v>
          </cell>
          <cell r="Y1629">
            <v>45753</v>
          </cell>
          <cell r="AC1629">
            <v>45873</v>
          </cell>
        </row>
        <row r="1630">
          <cell r="I1630" t="str">
            <v>EDI</v>
          </cell>
          <cell r="L1630">
            <v>3709</v>
          </cell>
          <cell r="N1630" t="str">
            <v>Production</v>
          </cell>
          <cell r="O1630" t="str">
            <v>No</v>
          </cell>
          <cell r="Q1630" t="str">
            <v>Live</v>
          </cell>
          <cell r="R1630">
            <v>45713.666805555556</v>
          </cell>
          <cell r="S1630" t="str">
            <v>Omnia Abdelaziz</v>
          </cell>
          <cell r="T1630">
            <v>45757</v>
          </cell>
          <cell r="U1630" t="str">
            <v>Hans De Grouw</v>
          </cell>
          <cell r="V1630">
            <v>45775</v>
          </cell>
          <cell r="W1630">
            <v>45799</v>
          </cell>
          <cell r="Y1630">
            <v>45756</v>
          </cell>
          <cell r="AC1630">
            <v>45796</v>
          </cell>
        </row>
        <row r="1631">
          <cell r="I1631" t="str">
            <v>EDI</v>
          </cell>
          <cell r="L1631">
            <v>3747</v>
          </cell>
          <cell r="N1631" t="str">
            <v>Production</v>
          </cell>
          <cell r="O1631" t="str">
            <v>No</v>
          </cell>
          <cell r="Q1631" t="str">
            <v>Live</v>
          </cell>
          <cell r="R1631">
            <v>45713.665289351848</v>
          </cell>
          <cell r="S1631" t="str">
            <v>Mina Kamil</v>
          </cell>
          <cell r="T1631">
            <v>45721</v>
          </cell>
          <cell r="U1631" t="str">
            <v>Hans De Grouw</v>
          </cell>
          <cell r="W1631">
            <v>45820</v>
          </cell>
          <cell r="Y1631">
            <v>45715</v>
          </cell>
          <cell r="AC1631">
            <v>45818</v>
          </cell>
        </row>
        <row r="1632">
          <cell r="I1632" t="str">
            <v>EDI</v>
          </cell>
          <cell r="L1632">
            <v>3805</v>
          </cell>
          <cell r="N1632" t="str">
            <v>Production</v>
          </cell>
          <cell r="O1632" t="str">
            <v>No</v>
          </cell>
          <cell r="Q1632" t="str">
            <v>Live</v>
          </cell>
          <cell r="R1632">
            <v>45713.661192129628</v>
          </cell>
          <cell r="S1632" t="str">
            <v>Mina Adel</v>
          </cell>
          <cell r="T1632">
            <v>45754</v>
          </cell>
          <cell r="U1632" t="str">
            <v>Hans De Grouw</v>
          </cell>
          <cell r="V1632">
            <v>45795</v>
          </cell>
          <cell r="W1632">
            <v>45799</v>
          </cell>
          <cell r="Y1632">
            <v>45753</v>
          </cell>
          <cell r="AC1632">
            <v>45795</v>
          </cell>
        </row>
        <row r="1633">
          <cell r="I1633" t="str">
            <v>EDI</v>
          </cell>
          <cell r="L1633">
            <v>3745</v>
          </cell>
          <cell r="N1633" t="str">
            <v>Production</v>
          </cell>
          <cell r="O1633" t="str">
            <v>No</v>
          </cell>
          <cell r="Q1633" t="str">
            <v>Live</v>
          </cell>
          <cell r="R1633">
            <v>45712.965289351851</v>
          </cell>
          <cell r="S1633" t="str">
            <v>Mina Kamil</v>
          </cell>
          <cell r="T1633">
            <v>45721</v>
          </cell>
          <cell r="U1633" t="str">
            <v>Hans De Grouw</v>
          </cell>
          <cell r="W1633">
            <v>45757</v>
          </cell>
          <cell r="Y1633">
            <v>45715</v>
          </cell>
          <cell r="AC1633">
            <v>45753</v>
          </cell>
        </row>
        <row r="1634">
          <cell r="I1634" t="str">
            <v>EDI</v>
          </cell>
          <cell r="L1634">
            <v>3746</v>
          </cell>
          <cell r="N1634" t="str">
            <v>Testing</v>
          </cell>
          <cell r="O1634" t="str">
            <v>No</v>
          </cell>
          <cell r="Q1634" t="str">
            <v>Cancelled</v>
          </cell>
          <cell r="R1634">
            <v>45712.965289351851</v>
          </cell>
          <cell r="S1634" t="str">
            <v>Mina Kamil</v>
          </cell>
          <cell r="T1634">
            <v>45721</v>
          </cell>
          <cell r="U1634" t="str">
            <v>Hans De Grouw</v>
          </cell>
          <cell r="Y1634">
            <v>45715</v>
          </cell>
        </row>
        <row r="1635">
          <cell r="I1635" t="str">
            <v>EDI</v>
          </cell>
          <cell r="L1635">
            <v>3768</v>
          </cell>
          <cell r="N1635" t="str">
            <v>Production</v>
          </cell>
          <cell r="O1635" t="str">
            <v>No</v>
          </cell>
          <cell r="Q1635" t="str">
            <v>Live</v>
          </cell>
          <cell r="R1635">
            <v>45712.724490740737</v>
          </cell>
          <cell r="S1635" t="str">
            <v>Omnia Abdelaziz</v>
          </cell>
          <cell r="T1635">
            <v>45728</v>
          </cell>
          <cell r="U1635" t="str">
            <v>Trish Kalinczok</v>
          </cell>
          <cell r="V1635">
            <v>45742</v>
          </cell>
          <cell r="W1635">
            <v>45831</v>
          </cell>
          <cell r="Y1635">
            <v>45723</v>
          </cell>
          <cell r="AC1635">
            <v>45866</v>
          </cell>
        </row>
        <row r="1636">
          <cell r="I1636" t="str">
            <v>EDI</v>
          </cell>
          <cell r="L1636">
            <v>3765</v>
          </cell>
          <cell r="N1636" t="str">
            <v>Production</v>
          </cell>
          <cell r="O1636" t="str">
            <v>No</v>
          </cell>
          <cell r="Q1636" t="str">
            <v>Live</v>
          </cell>
          <cell r="R1636">
            <v>45712.723703703698</v>
          </cell>
          <cell r="S1636" t="str">
            <v>Omnia Abdelaziz</v>
          </cell>
          <cell r="T1636">
            <v>45728</v>
          </cell>
          <cell r="U1636" t="str">
            <v>Trish Kalinczok</v>
          </cell>
          <cell r="V1636">
            <v>45742</v>
          </cell>
          <cell r="W1636">
            <v>45817</v>
          </cell>
          <cell r="Y1636">
            <v>45723</v>
          </cell>
          <cell r="AC1636">
            <v>45809</v>
          </cell>
        </row>
        <row r="1637">
          <cell r="I1637" t="str">
            <v>EDI</v>
          </cell>
          <cell r="L1637">
            <v>3801</v>
          </cell>
          <cell r="N1637" t="str">
            <v>Production</v>
          </cell>
          <cell r="O1637" t="str">
            <v>No</v>
          </cell>
          <cell r="Q1637" t="str">
            <v>Live</v>
          </cell>
          <cell r="R1637">
            <v>45712.723692129628</v>
          </cell>
          <cell r="S1637" t="str">
            <v>Andrew Ramy</v>
          </cell>
          <cell r="T1637">
            <v>45741</v>
          </cell>
          <cell r="U1637" t="str">
            <v>Trish Kalinczok</v>
          </cell>
          <cell r="V1637">
            <v>45762</v>
          </cell>
          <cell r="W1637">
            <v>45817</v>
          </cell>
          <cell r="Y1637">
            <v>45737</v>
          </cell>
          <cell r="AC1637">
            <v>45811</v>
          </cell>
        </row>
        <row r="1638">
          <cell r="I1638" t="str">
            <v>EDI</v>
          </cell>
          <cell r="L1638">
            <v>3760</v>
          </cell>
          <cell r="N1638" t="str">
            <v>Production</v>
          </cell>
          <cell r="O1638" t="str">
            <v>No</v>
          </cell>
          <cell r="Q1638" t="str">
            <v>Live</v>
          </cell>
          <cell r="R1638">
            <v>45712.723692129628</v>
          </cell>
          <cell r="S1638" t="str">
            <v>Mina Adel</v>
          </cell>
          <cell r="T1638">
            <v>45729</v>
          </cell>
          <cell r="U1638" t="str">
            <v>Trish Kalinczok</v>
          </cell>
          <cell r="V1638">
            <v>45742</v>
          </cell>
          <cell r="W1638">
            <v>45763</v>
          </cell>
          <cell r="Y1638">
            <v>45723</v>
          </cell>
          <cell r="AC1638">
            <v>45762</v>
          </cell>
        </row>
        <row r="1639">
          <cell r="I1639" t="str">
            <v>EDI</v>
          </cell>
          <cell r="L1639">
            <v>3781</v>
          </cell>
          <cell r="N1639" t="str">
            <v>Production</v>
          </cell>
          <cell r="O1639" t="str">
            <v>No</v>
          </cell>
          <cell r="Q1639" t="str">
            <v>Cancelled</v>
          </cell>
          <cell r="R1639">
            <v>45709.709618055553</v>
          </cell>
          <cell r="S1639" t="str">
            <v>Marwan Tawfik</v>
          </cell>
          <cell r="T1639">
            <v>45728</v>
          </cell>
          <cell r="U1639" t="str">
            <v>Trish Kalinczok</v>
          </cell>
          <cell r="V1639">
            <v>45795</v>
          </cell>
          <cell r="W1639">
            <v>45866</v>
          </cell>
          <cell r="Y1639">
            <v>45715</v>
          </cell>
          <cell r="AC1639">
            <v>45860</v>
          </cell>
        </row>
        <row r="1640">
          <cell r="I1640" t="str">
            <v>EDI</v>
          </cell>
          <cell r="L1640">
            <v>3703</v>
          </cell>
          <cell r="N1640" t="str">
            <v>Production</v>
          </cell>
          <cell r="O1640" t="str">
            <v>No</v>
          </cell>
          <cell r="Q1640" t="str">
            <v>Cancelled</v>
          </cell>
          <cell r="R1640">
            <v>45709.001574074071</v>
          </cell>
          <cell r="S1640" t="str">
            <v>Dina Medhat</v>
          </cell>
          <cell r="T1640">
            <v>45715</v>
          </cell>
          <cell r="U1640" t="str">
            <v>Hans De Grouw</v>
          </cell>
          <cell r="V1640">
            <v>45722</v>
          </cell>
          <cell r="W1640">
            <v>45736</v>
          </cell>
          <cell r="AC1640">
            <v>45778</v>
          </cell>
        </row>
        <row r="1641">
          <cell r="I1641" t="str">
            <v>EDI</v>
          </cell>
          <cell r="L1641">
            <v>3703</v>
          </cell>
          <cell r="N1641" t="str">
            <v>Production</v>
          </cell>
          <cell r="O1641" t="str">
            <v>No</v>
          </cell>
          <cell r="Q1641" t="str">
            <v>Cancelled</v>
          </cell>
          <cell r="R1641">
            <v>45708.999826388892</v>
          </cell>
          <cell r="S1641" t="str">
            <v>Dina Medhat</v>
          </cell>
          <cell r="T1641">
            <v>45715</v>
          </cell>
          <cell r="U1641" t="str">
            <v>Hans De Grouw</v>
          </cell>
          <cell r="V1641">
            <v>45722</v>
          </cell>
          <cell r="W1641">
            <v>45736</v>
          </cell>
          <cell r="AC1641">
            <v>45778</v>
          </cell>
        </row>
        <row r="1642">
          <cell r="I1642" t="str">
            <v>EDI</v>
          </cell>
          <cell r="L1642">
            <v>3703</v>
          </cell>
          <cell r="N1642" t="str">
            <v>Production</v>
          </cell>
          <cell r="O1642" t="str">
            <v>No</v>
          </cell>
          <cell r="Q1642" t="str">
            <v>Cancelled</v>
          </cell>
          <cell r="R1642">
            <v>45708.996574074074</v>
          </cell>
          <cell r="S1642" t="str">
            <v>Dina Medhat</v>
          </cell>
          <cell r="T1642">
            <v>45715</v>
          </cell>
          <cell r="U1642" t="str">
            <v>Hans De Grouw</v>
          </cell>
          <cell r="V1642">
            <v>45722</v>
          </cell>
          <cell r="W1642">
            <v>45736</v>
          </cell>
          <cell r="AC1642">
            <v>45778</v>
          </cell>
        </row>
        <row r="1643">
          <cell r="I1643" t="str">
            <v>EDI</v>
          </cell>
          <cell r="L1643">
            <v>3703</v>
          </cell>
          <cell r="N1643" t="str">
            <v>Production</v>
          </cell>
          <cell r="O1643" t="str">
            <v>No</v>
          </cell>
          <cell r="Q1643" t="str">
            <v>Cancelled</v>
          </cell>
          <cell r="R1643">
            <v>45708.993750000001</v>
          </cell>
          <cell r="S1643" t="str">
            <v>Dina Medhat</v>
          </cell>
          <cell r="T1643">
            <v>45715</v>
          </cell>
          <cell r="U1643" t="str">
            <v>Hans De Grouw</v>
          </cell>
          <cell r="V1643">
            <v>45722</v>
          </cell>
          <cell r="W1643">
            <v>45736</v>
          </cell>
          <cell r="AC1643">
            <v>45778</v>
          </cell>
        </row>
        <row r="1644">
          <cell r="I1644" t="str">
            <v>EDI</v>
          </cell>
          <cell r="L1644">
            <v>3703</v>
          </cell>
          <cell r="N1644" t="str">
            <v>Production</v>
          </cell>
          <cell r="O1644" t="str">
            <v>No</v>
          </cell>
          <cell r="Q1644" t="str">
            <v>Cancelled</v>
          </cell>
          <cell r="R1644">
            <v>45708.990601851852</v>
          </cell>
          <cell r="S1644" t="str">
            <v>Dina Medhat</v>
          </cell>
          <cell r="T1644">
            <v>45715</v>
          </cell>
          <cell r="U1644" t="str">
            <v>Hans De Grouw</v>
          </cell>
          <cell r="V1644">
            <v>45722</v>
          </cell>
          <cell r="W1644">
            <v>45736</v>
          </cell>
          <cell r="AC1644">
            <v>45778</v>
          </cell>
        </row>
        <row r="1645">
          <cell r="I1645" t="str">
            <v>EDI</v>
          </cell>
          <cell r="L1645">
            <v>3703</v>
          </cell>
          <cell r="N1645" t="str">
            <v>Production</v>
          </cell>
          <cell r="O1645" t="str">
            <v>No</v>
          </cell>
          <cell r="Q1645" t="str">
            <v>Cancelled</v>
          </cell>
          <cell r="R1645">
            <v>45708.987951388888</v>
          </cell>
          <cell r="S1645" t="str">
            <v>Dina Medhat</v>
          </cell>
          <cell r="T1645">
            <v>45715</v>
          </cell>
          <cell r="U1645" t="str">
            <v>Hans De Grouw</v>
          </cell>
          <cell r="V1645">
            <v>45722</v>
          </cell>
          <cell r="W1645">
            <v>45736</v>
          </cell>
          <cell r="AC1645">
            <v>45778</v>
          </cell>
        </row>
        <row r="1646">
          <cell r="I1646" t="str">
            <v>EDI</v>
          </cell>
          <cell r="L1646">
            <v>3703</v>
          </cell>
          <cell r="N1646" t="str">
            <v>Production</v>
          </cell>
          <cell r="O1646" t="str">
            <v>No</v>
          </cell>
          <cell r="Q1646" t="str">
            <v>Cancelled</v>
          </cell>
          <cell r="R1646">
            <v>45708.983703703707</v>
          </cell>
          <cell r="S1646" t="str">
            <v>Dina Medhat</v>
          </cell>
          <cell r="T1646">
            <v>45716</v>
          </cell>
          <cell r="U1646" t="str">
            <v>Hans De Grouw</v>
          </cell>
          <cell r="V1646">
            <v>45722</v>
          </cell>
          <cell r="W1646">
            <v>45736</v>
          </cell>
          <cell r="AC1646">
            <v>45778</v>
          </cell>
        </row>
        <row r="1647">
          <cell r="I1647" t="str">
            <v>EDI</v>
          </cell>
          <cell r="L1647">
            <v>3703</v>
          </cell>
          <cell r="N1647" t="str">
            <v>Production</v>
          </cell>
          <cell r="O1647" t="str">
            <v>No</v>
          </cell>
          <cell r="Q1647" t="str">
            <v>Cancelled</v>
          </cell>
          <cell r="R1647">
            <v>45708.98170138889</v>
          </cell>
          <cell r="S1647" t="str">
            <v>Dina Medhat</v>
          </cell>
          <cell r="T1647">
            <v>45715</v>
          </cell>
          <cell r="U1647" t="str">
            <v>Hans De Grouw</v>
          </cell>
          <cell r="V1647">
            <v>45722</v>
          </cell>
          <cell r="W1647">
            <v>45736</v>
          </cell>
          <cell r="AC1647">
            <v>45778</v>
          </cell>
        </row>
        <row r="1648">
          <cell r="I1648" t="str">
            <v>EDI</v>
          </cell>
          <cell r="L1648">
            <v>3703</v>
          </cell>
          <cell r="N1648" t="str">
            <v>Production</v>
          </cell>
          <cell r="O1648" t="str">
            <v>No</v>
          </cell>
          <cell r="Q1648" t="str">
            <v>Cancelled</v>
          </cell>
          <cell r="R1648">
            <v>45708.978854166657</v>
          </cell>
          <cell r="S1648" t="str">
            <v>Dina Medhat</v>
          </cell>
          <cell r="T1648">
            <v>45715</v>
          </cell>
          <cell r="U1648" t="str">
            <v>Hans De Grouw</v>
          </cell>
          <cell r="V1648">
            <v>45722</v>
          </cell>
          <cell r="W1648">
            <v>45736</v>
          </cell>
          <cell r="AC1648">
            <v>45778</v>
          </cell>
        </row>
        <row r="1649">
          <cell r="I1649" t="str">
            <v>EDI</v>
          </cell>
          <cell r="L1649">
            <v>3703</v>
          </cell>
          <cell r="N1649" t="str">
            <v>Production</v>
          </cell>
          <cell r="O1649" t="str">
            <v>No</v>
          </cell>
          <cell r="Q1649" t="str">
            <v>Cancelled</v>
          </cell>
          <cell r="R1649">
            <v>45708.975590277783</v>
          </cell>
          <cell r="S1649" t="str">
            <v>Dina Medhat</v>
          </cell>
          <cell r="T1649">
            <v>45715</v>
          </cell>
          <cell r="U1649" t="str">
            <v>Hans De Grouw</v>
          </cell>
          <cell r="V1649">
            <v>45722</v>
          </cell>
          <cell r="W1649">
            <v>45736</v>
          </cell>
          <cell r="AC1649">
            <v>45778</v>
          </cell>
        </row>
        <row r="1650">
          <cell r="I1650" t="str">
            <v>EDI</v>
          </cell>
          <cell r="L1650">
            <v>3703</v>
          </cell>
          <cell r="N1650" t="str">
            <v>Production</v>
          </cell>
          <cell r="O1650" t="str">
            <v>No</v>
          </cell>
          <cell r="Q1650" t="str">
            <v>Cancelled</v>
          </cell>
          <cell r="R1650">
            <v>45708.953009259261</v>
          </cell>
          <cell r="S1650" t="str">
            <v>Mina Adel</v>
          </cell>
          <cell r="T1650">
            <v>45715</v>
          </cell>
          <cell r="U1650" t="str">
            <v>Hans De Grouw</v>
          </cell>
          <cell r="V1650">
            <v>45722</v>
          </cell>
          <cell r="W1650">
            <v>45736</v>
          </cell>
          <cell r="Y1650">
            <v>45714</v>
          </cell>
          <cell r="AC1650">
            <v>45733</v>
          </cell>
        </row>
        <row r="1651">
          <cell r="I1651" t="str">
            <v>EDI</v>
          </cell>
          <cell r="L1651">
            <v>3733</v>
          </cell>
          <cell r="N1651" t="str">
            <v>Production</v>
          </cell>
          <cell r="O1651" t="str">
            <v>No</v>
          </cell>
          <cell r="Q1651" t="str">
            <v>Live</v>
          </cell>
          <cell r="R1651">
            <v>45708.682673611111</v>
          </cell>
          <cell r="S1651" t="str">
            <v>Joseph Atef</v>
          </cell>
          <cell r="T1651">
            <v>45721</v>
          </cell>
          <cell r="U1651" t="str">
            <v>Hans De Grouw</v>
          </cell>
          <cell r="V1651">
            <v>45734</v>
          </cell>
          <cell r="W1651">
            <v>45757</v>
          </cell>
          <cell r="Y1651">
            <v>45718</v>
          </cell>
          <cell r="AC1651">
            <v>45755</v>
          </cell>
        </row>
        <row r="1652">
          <cell r="I1652" t="str">
            <v>EDI</v>
          </cell>
          <cell r="L1652">
            <v>3723</v>
          </cell>
          <cell r="N1652" t="str">
            <v>Production</v>
          </cell>
          <cell r="O1652" t="str">
            <v>No</v>
          </cell>
          <cell r="Q1652" t="str">
            <v>Live</v>
          </cell>
          <cell r="R1652">
            <v>45708.682673611111</v>
          </cell>
          <cell r="S1652" t="str">
            <v>Karim Tarek</v>
          </cell>
          <cell r="T1652">
            <v>45777</v>
          </cell>
          <cell r="U1652" t="str">
            <v>Hans De Grouw</v>
          </cell>
          <cell r="V1652">
            <v>45741</v>
          </cell>
          <cell r="W1652">
            <v>45855</v>
          </cell>
          <cell r="Y1652">
            <v>45718</v>
          </cell>
          <cell r="AC1652">
            <v>45851</v>
          </cell>
        </row>
        <row r="1653">
          <cell r="I1653" t="str">
            <v>EDI</v>
          </cell>
          <cell r="L1653">
            <v>3730</v>
          </cell>
          <cell r="N1653" t="str">
            <v>Production</v>
          </cell>
          <cell r="O1653" t="str">
            <v>No</v>
          </cell>
          <cell r="Q1653" t="str">
            <v>Live</v>
          </cell>
          <cell r="R1653">
            <v>45708.662060185183</v>
          </cell>
          <cell r="S1653" t="str">
            <v>Karim Tarek</v>
          </cell>
          <cell r="T1653">
            <v>45931</v>
          </cell>
          <cell r="U1653" t="str">
            <v>Rhettsmey Meak</v>
          </cell>
          <cell r="V1653">
            <v>45735</v>
          </cell>
          <cell r="W1653">
            <v>45975</v>
          </cell>
          <cell r="Y1653">
            <v>45715</v>
          </cell>
          <cell r="AC1653">
            <v>45974</v>
          </cell>
        </row>
        <row r="1654">
          <cell r="I1654" t="str">
            <v>EDI</v>
          </cell>
          <cell r="L1654">
            <v>3755</v>
          </cell>
          <cell r="N1654" t="str">
            <v>Production</v>
          </cell>
          <cell r="O1654" t="str">
            <v>No</v>
          </cell>
          <cell r="Q1654" t="str">
            <v>Live</v>
          </cell>
          <cell r="R1654">
            <v>45708.660011574073</v>
          </cell>
          <cell r="S1654" t="str">
            <v>Andrew Ramy</v>
          </cell>
          <cell r="T1654">
            <v>45721</v>
          </cell>
          <cell r="U1654" t="str">
            <v>Rhettsmey Meak</v>
          </cell>
          <cell r="V1654">
            <v>45754</v>
          </cell>
          <cell r="W1654">
            <v>45814</v>
          </cell>
          <cell r="Y1654">
            <v>45718</v>
          </cell>
          <cell r="AC1654">
            <v>45812</v>
          </cell>
        </row>
        <row r="1655">
          <cell r="I1655" t="str">
            <v>EDI</v>
          </cell>
          <cell r="L1655">
            <v>3731</v>
          </cell>
          <cell r="N1655" t="str">
            <v>Production</v>
          </cell>
          <cell r="O1655" t="str">
            <v>No</v>
          </cell>
          <cell r="Q1655" t="str">
            <v>Live</v>
          </cell>
          <cell r="R1655">
            <v>45708.658807870372</v>
          </cell>
          <cell r="S1655" t="str">
            <v>Aya Fathy</v>
          </cell>
          <cell r="T1655">
            <v>45721</v>
          </cell>
          <cell r="U1655" t="str">
            <v>Rhettsmey Meak</v>
          </cell>
          <cell r="V1655">
            <v>45727</v>
          </cell>
          <cell r="W1655">
            <v>45744</v>
          </cell>
          <cell r="Y1655">
            <v>45712</v>
          </cell>
          <cell r="AC1655">
            <v>45742</v>
          </cell>
        </row>
        <row r="1656">
          <cell r="I1656" t="str">
            <v>EDI</v>
          </cell>
          <cell r="L1656">
            <v>3744</v>
          </cell>
          <cell r="N1656" t="str">
            <v>Production</v>
          </cell>
          <cell r="O1656" t="str">
            <v>No</v>
          </cell>
          <cell r="Q1656" t="str">
            <v>Live</v>
          </cell>
          <cell r="R1656">
            <v>45708.657199074078</v>
          </cell>
          <cell r="S1656" t="str">
            <v>Aya Fathy</v>
          </cell>
          <cell r="T1656">
            <v>45721</v>
          </cell>
          <cell r="U1656" t="str">
            <v>Rhettsmey Meak</v>
          </cell>
          <cell r="W1656">
            <v>45725</v>
          </cell>
          <cell r="Y1656">
            <v>45715</v>
          </cell>
          <cell r="AC1656">
            <v>45741</v>
          </cell>
        </row>
        <row r="1657">
          <cell r="I1657" t="str">
            <v>EDI</v>
          </cell>
          <cell r="L1657">
            <v>3722</v>
          </cell>
          <cell r="N1657" t="str">
            <v>Production</v>
          </cell>
          <cell r="O1657" t="str">
            <v>Everything Benefits</v>
          </cell>
          <cell r="P1657" t="str">
            <v>Production</v>
          </cell>
          <cell r="Q1657" t="str">
            <v>Live</v>
          </cell>
          <cell r="R1657">
            <v>45708.634756944448</v>
          </cell>
          <cell r="S1657" t="str">
            <v>Alaa Yehia</v>
          </cell>
          <cell r="T1657">
            <v>45720</v>
          </cell>
          <cell r="U1657" t="str">
            <v>Scott Henrehan</v>
          </cell>
          <cell r="V1657">
            <v>45726</v>
          </cell>
          <cell r="W1657">
            <v>45789</v>
          </cell>
          <cell r="Y1657">
            <v>45719</v>
          </cell>
          <cell r="AC1657">
            <v>45784</v>
          </cell>
        </row>
        <row r="1658">
          <cell r="I1658" t="str">
            <v>EDI</v>
          </cell>
          <cell r="L1658">
            <v>3739</v>
          </cell>
          <cell r="N1658" t="str">
            <v>Production</v>
          </cell>
          <cell r="O1658" t="str">
            <v>No</v>
          </cell>
          <cell r="Q1658" t="str">
            <v>Cancelled</v>
          </cell>
          <cell r="R1658">
            <v>45708.623668981483</v>
          </cell>
          <cell r="S1658" t="str">
            <v>Hazem Rostom</v>
          </cell>
          <cell r="T1658">
            <v>45721</v>
          </cell>
          <cell r="U1658" t="str">
            <v>Rhettsmey Meak</v>
          </cell>
          <cell r="V1658">
            <v>45755</v>
          </cell>
          <cell r="W1658">
            <v>45814</v>
          </cell>
          <cell r="Y1658">
            <v>45719</v>
          </cell>
          <cell r="AC1658">
            <v>45812</v>
          </cell>
        </row>
        <row r="1659">
          <cell r="I1659" t="str">
            <v>EDI</v>
          </cell>
          <cell r="L1659">
            <v>3740</v>
          </cell>
          <cell r="N1659" t="str">
            <v>Production</v>
          </cell>
          <cell r="O1659" t="str">
            <v>No</v>
          </cell>
          <cell r="Q1659" t="str">
            <v>Live</v>
          </cell>
          <cell r="R1659">
            <v>45708.587222222217</v>
          </cell>
          <cell r="S1659" t="str">
            <v>Mina Adel</v>
          </cell>
          <cell r="T1659">
            <v>45778</v>
          </cell>
          <cell r="U1659" t="str">
            <v>Rhettsmey Meak</v>
          </cell>
          <cell r="V1659">
            <v>45753</v>
          </cell>
          <cell r="W1659">
            <v>45789</v>
          </cell>
          <cell r="Y1659">
            <v>45712</v>
          </cell>
          <cell r="AC1659">
            <v>45785</v>
          </cell>
        </row>
        <row r="1660">
          <cell r="I1660" t="str">
            <v>EDI</v>
          </cell>
          <cell r="L1660">
            <v>3724</v>
          </cell>
          <cell r="N1660" t="str">
            <v>Production</v>
          </cell>
          <cell r="O1660" t="str">
            <v>No</v>
          </cell>
          <cell r="Q1660" t="str">
            <v>Live</v>
          </cell>
          <cell r="R1660">
            <v>45707.90283564815</v>
          </cell>
          <cell r="S1660" t="str">
            <v>Ahmed Ali</v>
          </cell>
          <cell r="T1660">
            <v>45721</v>
          </cell>
          <cell r="U1660" t="str">
            <v>Gregory Dubec</v>
          </cell>
          <cell r="V1660">
            <v>45736</v>
          </cell>
          <cell r="W1660">
            <v>45764</v>
          </cell>
          <cell r="Y1660">
            <v>45712</v>
          </cell>
          <cell r="AC1660">
            <v>45762</v>
          </cell>
        </row>
        <row r="1661">
          <cell r="I1661" t="str">
            <v>EDI</v>
          </cell>
          <cell r="L1661">
            <v>3735</v>
          </cell>
          <cell r="N1661" t="str">
            <v>Production</v>
          </cell>
          <cell r="O1661" t="str">
            <v>No</v>
          </cell>
          <cell r="Q1661" t="str">
            <v>Cancelled</v>
          </cell>
          <cell r="R1661">
            <v>45707.713159722232</v>
          </cell>
          <cell r="S1661" t="str">
            <v>Marwan Tawfik</v>
          </cell>
          <cell r="T1661">
            <v>45721</v>
          </cell>
          <cell r="U1661" t="str">
            <v>Trish Kalinczok</v>
          </cell>
          <cell r="V1661">
            <v>45754</v>
          </cell>
          <cell r="W1661">
            <v>45769</v>
          </cell>
          <cell r="Y1661">
            <v>45713</v>
          </cell>
          <cell r="AC1661">
            <v>45769</v>
          </cell>
        </row>
        <row r="1662">
          <cell r="I1662" t="str">
            <v>EDI</v>
          </cell>
          <cell r="L1662">
            <v>3695</v>
          </cell>
          <cell r="N1662" t="str">
            <v>Production</v>
          </cell>
          <cell r="O1662" t="str">
            <v>No</v>
          </cell>
          <cell r="Q1662" t="str">
            <v>Cancelled</v>
          </cell>
          <cell r="R1662">
            <v>45707.706388888888</v>
          </cell>
          <cell r="S1662" t="str">
            <v>Reem Radwan</v>
          </cell>
          <cell r="T1662">
            <v>45711</v>
          </cell>
          <cell r="U1662" t="str">
            <v>Rhettsmey Meak</v>
          </cell>
          <cell r="V1662">
            <v>45725</v>
          </cell>
          <cell r="W1662">
            <v>45737</v>
          </cell>
          <cell r="AC1662">
            <v>45734</v>
          </cell>
        </row>
        <row r="1663">
          <cell r="I1663" t="str">
            <v>EDI</v>
          </cell>
          <cell r="L1663">
            <v>3726</v>
          </cell>
          <cell r="N1663" t="str">
            <v>Production</v>
          </cell>
          <cell r="O1663" t="str">
            <v>No</v>
          </cell>
          <cell r="Q1663" t="str">
            <v>Cancelled</v>
          </cell>
          <cell r="R1663">
            <v>45706.949583333328</v>
          </cell>
          <cell r="S1663" t="str">
            <v>Ahmed Ali</v>
          </cell>
          <cell r="T1663">
            <v>45721</v>
          </cell>
          <cell r="U1663" t="str">
            <v>Trish Kalinczok</v>
          </cell>
          <cell r="V1663">
            <v>45741</v>
          </cell>
          <cell r="W1663">
            <v>45803</v>
          </cell>
          <cell r="Y1663">
            <v>45715</v>
          </cell>
          <cell r="AC1663">
            <v>45796</v>
          </cell>
        </row>
        <row r="1664">
          <cell r="I1664" t="str">
            <v>Forms</v>
          </cell>
          <cell r="L1664" t="str">
            <v>[3698]</v>
          </cell>
          <cell r="N1664" t="str">
            <v>Testing</v>
          </cell>
          <cell r="O1664" t="str">
            <v>Everything Benefits</v>
          </cell>
          <cell r="P1664" t="str">
            <v>Migration Testing</v>
          </cell>
          <cell r="Q1664" t="str">
            <v>Cancelled</v>
          </cell>
          <cell r="R1664">
            <v>45706.699108796303</v>
          </cell>
          <cell r="S1664" t="str">
            <v>Reem Radwan</v>
          </cell>
          <cell r="T1664">
            <v>45713</v>
          </cell>
          <cell r="U1664" t="str">
            <v>Trish Kalinczok</v>
          </cell>
        </row>
        <row r="1665">
          <cell r="I1665" t="str">
            <v>EDI</v>
          </cell>
          <cell r="L1665">
            <v>3753</v>
          </cell>
          <cell r="N1665" t="str">
            <v>Production</v>
          </cell>
          <cell r="O1665" t="str">
            <v>No</v>
          </cell>
          <cell r="Q1665" t="str">
            <v>Live</v>
          </cell>
          <cell r="R1665">
            <v>45705.958773148152</v>
          </cell>
          <cell r="S1665" t="str">
            <v>Omnia Abdelaziz</v>
          </cell>
          <cell r="T1665">
            <v>45728</v>
          </cell>
          <cell r="U1665" t="str">
            <v>Gregory Dubec</v>
          </cell>
          <cell r="V1665">
            <v>45755</v>
          </cell>
          <cell r="W1665">
            <v>45813</v>
          </cell>
          <cell r="Y1665">
            <v>45723</v>
          </cell>
          <cell r="AC1665">
            <v>45809</v>
          </cell>
        </row>
        <row r="1666">
          <cell r="I1666" t="str">
            <v>EDI</v>
          </cell>
          <cell r="L1666">
            <v>3736</v>
          </cell>
          <cell r="N1666" t="str">
            <v>Production</v>
          </cell>
          <cell r="O1666" t="str">
            <v>No</v>
          </cell>
          <cell r="Q1666" t="str">
            <v>Cancelled</v>
          </cell>
          <cell r="R1666">
            <v>45705.909004629633</v>
          </cell>
          <cell r="S1666" t="str">
            <v>Marwan Tawfik</v>
          </cell>
          <cell r="T1666">
            <v>45721</v>
          </cell>
          <cell r="U1666" t="str">
            <v>Trish Kalinczok</v>
          </cell>
          <cell r="V1666">
            <v>45763</v>
          </cell>
          <cell r="W1666">
            <v>45826</v>
          </cell>
          <cell r="Y1666">
            <v>45718</v>
          </cell>
          <cell r="AC1666">
            <v>45806</v>
          </cell>
        </row>
        <row r="1667">
          <cell r="I1667" t="str">
            <v>Forms</v>
          </cell>
          <cell r="L1667" t="str">
            <v>[3690]</v>
          </cell>
          <cell r="N1667" t="str">
            <v>Testing</v>
          </cell>
          <cell r="O1667" t="str">
            <v>Everything Benefits</v>
          </cell>
          <cell r="P1667" t="str">
            <v>Migration Testing</v>
          </cell>
          <cell r="Q1667" t="str">
            <v>Cancelled</v>
          </cell>
          <cell r="R1667">
            <v>45705.808715277781</v>
          </cell>
          <cell r="S1667" t="str">
            <v>Mirna Azmy</v>
          </cell>
          <cell r="T1667">
            <v>45706</v>
          </cell>
          <cell r="U1667" t="str">
            <v>Trish Kalinczok</v>
          </cell>
        </row>
        <row r="1668">
          <cell r="I1668" t="str">
            <v>Forms</v>
          </cell>
          <cell r="L1668" t="str">
            <v>[3686]</v>
          </cell>
          <cell r="N1668" t="str">
            <v>Testing</v>
          </cell>
          <cell r="O1668" t="str">
            <v>Everything Benefits</v>
          </cell>
          <cell r="P1668" t="str">
            <v>Phase 1 - Map Built</v>
          </cell>
          <cell r="Q1668" t="str">
            <v>Cancelled</v>
          </cell>
          <cell r="R1668">
            <v>45705.808715277781</v>
          </cell>
          <cell r="S1668" t="str">
            <v>Omnia Abdelaziz</v>
          </cell>
          <cell r="T1668">
            <v>45707</v>
          </cell>
          <cell r="U1668" t="str">
            <v>Trish Kalinczok</v>
          </cell>
        </row>
        <row r="1669">
          <cell r="I1669" t="str">
            <v>Forms</v>
          </cell>
          <cell r="L1669" t="str">
            <v>[3699]</v>
          </cell>
          <cell r="N1669" t="str">
            <v>Testing</v>
          </cell>
          <cell r="O1669" t="str">
            <v>Everything Benefits</v>
          </cell>
          <cell r="P1669" t="str">
            <v>Migration Testing</v>
          </cell>
          <cell r="Q1669" t="str">
            <v>Cancelled</v>
          </cell>
          <cell r="R1669">
            <v>45705.788402777784</v>
          </cell>
          <cell r="S1669" t="str">
            <v>Karim Tarek</v>
          </cell>
          <cell r="T1669">
            <v>45711</v>
          </cell>
          <cell r="U1669" t="str">
            <v>Trish Kalinczok</v>
          </cell>
        </row>
        <row r="1670">
          <cell r="I1670" t="str">
            <v>Forms</v>
          </cell>
          <cell r="L1670" t="str">
            <v>[3689]</v>
          </cell>
          <cell r="N1670" t="str">
            <v>Testing</v>
          </cell>
          <cell r="O1670" t="str">
            <v>Everything Benefits</v>
          </cell>
          <cell r="P1670" t="str">
            <v>Map Under Review</v>
          </cell>
          <cell r="Q1670" t="str">
            <v>Cancelled</v>
          </cell>
          <cell r="R1670">
            <v>45705.778969907413</v>
          </cell>
          <cell r="S1670" t="str">
            <v>Marwan Tawfik</v>
          </cell>
          <cell r="T1670">
            <v>45706</v>
          </cell>
          <cell r="U1670" t="str">
            <v>Trish Kalinczok</v>
          </cell>
        </row>
        <row r="1671">
          <cell r="I1671" t="str">
            <v>Forms</v>
          </cell>
          <cell r="L1671" t="str">
            <v>[3680]</v>
          </cell>
          <cell r="N1671" t="str">
            <v>Testing</v>
          </cell>
          <cell r="O1671" t="str">
            <v>Everything Benefits</v>
          </cell>
          <cell r="P1671" t="str">
            <v>Phase 3</v>
          </cell>
          <cell r="Q1671" t="str">
            <v>Cancelled</v>
          </cell>
          <cell r="R1671">
            <v>45705.769131944442</v>
          </cell>
          <cell r="S1671" t="str">
            <v>Mina Kamil</v>
          </cell>
          <cell r="T1671">
            <v>45706</v>
          </cell>
          <cell r="U1671" t="str">
            <v>Trish Kalinczok</v>
          </cell>
        </row>
        <row r="1672">
          <cell r="I1672" t="str">
            <v>EDI</v>
          </cell>
          <cell r="L1672">
            <v>3738</v>
          </cell>
          <cell r="N1672" t="str">
            <v>Production</v>
          </cell>
          <cell r="O1672" t="str">
            <v>No</v>
          </cell>
          <cell r="Q1672" t="str">
            <v>Live</v>
          </cell>
          <cell r="R1672">
            <v>45705.732592592591</v>
          </cell>
          <cell r="S1672" t="str">
            <v>Zeyad Khaled</v>
          </cell>
          <cell r="T1672">
            <v>45721</v>
          </cell>
          <cell r="U1672" t="str">
            <v>Robbie Schappell</v>
          </cell>
          <cell r="V1672">
            <v>45743</v>
          </cell>
          <cell r="W1672">
            <v>45859</v>
          </cell>
          <cell r="Y1672">
            <v>45713</v>
          </cell>
          <cell r="AC1672">
            <v>45859</v>
          </cell>
        </row>
        <row r="1673">
          <cell r="I1673" t="str">
            <v>EDI</v>
          </cell>
          <cell r="L1673">
            <v>3737</v>
          </cell>
          <cell r="N1673" t="str">
            <v>Production</v>
          </cell>
          <cell r="O1673" t="str">
            <v>No</v>
          </cell>
          <cell r="Q1673" t="str">
            <v>Live</v>
          </cell>
          <cell r="R1673">
            <v>45705.547268518523</v>
          </cell>
          <cell r="S1673" t="str">
            <v>Zeyad Khaled</v>
          </cell>
          <cell r="T1673">
            <v>45721</v>
          </cell>
          <cell r="U1673" t="str">
            <v>Angie Winter</v>
          </cell>
          <cell r="V1673">
            <v>45753</v>
          </cell>
          <cell r="W1673">
            <v>45786</v>
          </cell>
          <cell r="Y1673">
            <v>45713</v>
          </cell>
          <cell r="AC1673">
            <v>45783</v>
          </cell>
        </row>
        <row r="1674">
          <cell r="I1674" t="str">
            <v>EDI</v>
          </cell>
          <cell r="L1674">
            <v>3741</v>
          </cell>
          <cell r="N1674" t="str">
            <v>Production</v>
          </cell>
          <cell r="O1674" t="str">
            <v>No</v>
          </cell>
          <cell r="Q1674" t="str">
            <v>Live</v>
          </cell>
          <cell r="R1674">
            <v>45702.903009259258</v>
          </cell>
          <cell r="S1674" t="str">
            <v>Mina George</v>
          </cell>
          <cell r="T1674">
            <v>45720</v>
          </cell>
          <cell r="U1674" t="str">
            <v>Trish Kalinczok</v>
          </cell>
          <cell r="V1674">
            <v>25569</v>
          </cell>
          <cell r="W1674">
            <v>45784</v>
          </cell>
          <cell r="Y1674">
            <v>45715</v>
          </cell>
          <cell r="AC1674">
            <v>45784</v>
          </cell>
        </row>
        <row r="1675">
          <cell r="I1675" t="str">
            <v>EDI</v>
          </cell>
          <cell r="L1675">
            <v>3725</v>
          </cell>
          <cell r="N1675" t="str">
            <v>Production</v>
          </cell>
          <cell r="O1675" t="str">
            <v>No</v>
          </cell>
          <cell r="Q1675" t="str">
            <v>Cancelled</v>
          </cell>
          <cell r="R1675">
            <v>45702.890625</v>
          </cell>
          <cell r="S1675" t="str">
            <v>Omnia Abdelaziz</v>
          </cell>
          <cell r="T1675">
            <v>45721</v>
          </cell>
          <cell r="U1675" t="str">
            <v>Amy Bergstrom</v>
          </cell>
          <cell r="V1675">
            <v>45777</v>
          </cell>
          <cell r="W1675">
            <v>45998</v>
          </cell>
          <cell r="Y1675">
            <v>45711</v>
          </cell>
          <cell r="AC1675">
            <v>45996</v>
          </cell>
        </row>
        <row r="1676">
          <cell r="I1676" t="str">
            <v>EDI</v>
          </cell>
          <cell r="L1676">
            <v>3788</v>
          </cell>
          <cell r="N1676" t="str">
            <v>Production</v>
          </cell>
          <cell r="O1676" t="str">
            <v>No</v>
          </cell>
          <cell r="Q1676" t="str">
            <v>Cancelled</v>
          </cell>
          <cell r="R1676">
            <v>45702.860949074071</v>
          </cell>
          <cell r="S1676" t="str">
            <v>Mirna Azmy</v>
          </cell>
          <cell r="T1676">
            <v>45740</v>
          </cell>
          <cell r="U1676" t="str">
            <v>Tammy Davies</v>
          </cell>
          <cell r="V1676">
            <v>45753</v>
          </cell>
          <cell r="W1676">
            <v>45796</v>
          </cell>
          <cell r="Y1676">
            <v>45737</v>
          </cell>
          <cell r="AC1676">
            <v>45789</v>
          </cell>
        </row>
        <row r="1677">
          <cell r="I1677" t="str">
            <v>EDI</v>
          </cell>
          <cell r="L1677">
            <v>3727</v>
          </cell>
          <cell r="N1677" t="str">
            <v>Production</v>
          </cell>
          <cell r="O1677" t="str">
            <v>No</v>
          </cell>
          <cell r="Q1677" t="str">
            <v>Cancelled</v>
          </cell>
          <cell r="R1677">
            <v>45702.636516203696</v>
          </cell>
          <cell r="S1677" t="str">
            <v>Omnia Abdelaziz</v>
          </cell>
          <cell r="T1677">
            <v>45721</v>
          </cell>
          <cell r="U1677" t="str">
            <v>Gregory Dubec</v>
          </cell>
          <cell r="V1677">
            <v>45721</v>
          </cell>
          <cell r="W1677">
            <v>45729</v>
          </cell>
          <cell r="Y1677">
            <v>45706</v>
          </cell>
          <cell r="AC1677">
            <v>45726</v>
          </cell>
        </row>
        <row r="1678">
          <cell r="I1678" t="str">
            <v>EDI</v>
          </cell>
          <cell r="L1678">
            <v>3711</v>
          </cell>
          <cell r="N1678" t="str">
            <v>Production</v>
          </cell>
          <cell r="O1678" t="str">
            <v>No</v>
          </cell>
          <cell r="Q1678" t="str">
            <v>Cancelled</v>
          </cell>
          <cell r="R1678">
            <v>45701.857291666667</v>
          </cell>
          <cell r="S1678" t="str">
            <v>Mina Kamil</v>
          </cell>
          <cell r="T1678">
            <v>45715</v>
          </cell>
          <cell r="U1678" t="str">
            <v>Gregory Dubec</v>
          </cell>
          <cell r="W1678">
            <v>25569</v>
          </cell>
          <cell r="Y1678">
            <v>45713</v>
          </cell>
          <cell r="AC1678">
            <v>45823</v>
          </cell>
        </row>
        <row r="1679">
          <cell r="I1679" t="str">
            <v>EDI</v>
          </cell>
          <cell r="L1679">
            <v>3818</v>
          </cell>
          <cell r="N1679" t="str">
            <v>Production</v>
          </cell>
          <cell r="O1679" t="str">
            <v>No</v>
          </cell>
          <cell r="Q1679" t="str">
            <v>Live</v>
          </cell>
          <cell r="R1679">
            <v>45701.575358796297</v>
          </cell>
          <cell r="S1679" t="str">
            <v>Noha Moustafa</v>
          </cell>
          <cell r="T1679">
            <v>45776</v>
          </cell>
          <cell r="U1679" t="str">
            <v>Tammy Davies</v>
          </cell>
          <cell r="V1679">
            <v>45806</v>
          </cell>
          <cell r="W1679">
            <v>45818</v>
          </cell>
          <cell r="Y1679">
            <v>45771</v>
          </cell>
          <cell r="AC1679">
            <v>45812</v>
          </cell>
        </row>
        <row r="1680">
          <cell r="I1680" t="str">
            <v>EDI</v>
          </cell>
          <cell r="L1680">
            <v>3707</v>
          </cell>
          <cell r="N1680" t="str">
            <v>Production</v>
          </cell>
          <cell r="O1680" t="str">
            <v>No</v>
          </cell>
          <cell r="Q1680" t="str">
            <v>Live</v>
          </cell>
          <cell r="R1680">
            <v>45700.90519675926</v>
          </cell>
          <cell r="S1680" t="str">
            <v>Ahmed Ali</v>
          </cell>
          <cell r="T1680">
            <v>45715</v>
          </cell>
          <cell r="U1680" t="str">
            <v>Scott Henrehan</v>
          </cell>
          <cell r="V1680">
            <v>45725</v>
          </cell>
          <cell r="W1680">
            <v>45803</v>
          </cell>
          <cell r="Y1680">
            <v>45706</v>
          </cell>
          <cell r="AC1680">
            <v>45802</v>
          </cell>
        </row>
        <row r="1681">
          <cell r="I1681" t="str">
            <v>EDI</v>
          </cell>
          <cell r="L1681">
            <v>3854</v>
          </cell>
          <cell r="N1681" t="str">
            <v>Testing</v>
          </cell>
          <cell r="O1681" t="str">
            <v>No</v>
          </cell>
          <cell r="Q1681" t="str">
            <v>In Progress</v>
          </cell>
          <cell r="R1681">
            <v>45700.90519675926</v>
          </cell>
          <cell r="S1681" t="str">
            <v>Ahmed Ali</v>
          </cell>
          <cell r="T1681">
            <v>45778</v>
          </cell>
          <cell r="U1681" t="str">
            <v>Scott Henrehan</v>
          </cell>
          <cell r="V1681">
            <v>25569</v>
          </cell>
          <cell r="Y1681">
            <v>45777</v>
          </cell>
        </row>
        <row r="1682">
          <cell r="I1682" t="str">
            <v>EDI</v>
          </cell>
          <cell r="L1682">
            <v>3706</v>
          </cell>
          <cell r="N1682" t="str">
            <v>Production</v>
          </cell>
          <cell r="O1682" t="str">
            <v>No</v>
          </cell>
          <cell r="Q1682" t="str">
            <v>Live</v>
          </cell>
          <cell r="R1682">
            <v>45700.90519675926</v>
          </cell>
          <cell r="S1682" t="str">
            <v>Ahmed Ali</v>
          </cell>
          <cell r="T1682">
            <v>45715</v>
          </cell>
          <cell r="U1682" t="str">
            <v>Scott Henrehan</v>
          </cell>
          <cell r="V1682">
            <v>45725</v>
          </cell>
          <cell r="W1682">
            <v>45782</v>
          </cell>
          <cell r="Y1682">
            <v>45706</v>
          </cell>
          <cell r="AC1682">
            <v>45778</v>
          </cell>
        </row>
        <row r="1683">
          <cell r="I1683" t="str">
            <v>EDI</v>
          </cell>
          <cell r="L1683">
            <v>3748</v>
          </cell>
          <cell r="N1683" t="str">
            <v>Production</v>
          </cell>
          <cell r="O1683" t="str">
            <v>No</v>
          </cell>
          <cell r="Q1683" t="str">
            <v>Live</v>
          </cell>
          <cell r="R1683">
            <v>45700.858506944453</v>
          </cell>
          <cell r="S1683" t="str">
            <v>Karim Tarek</v>
          </cell>
          <cell r="T1683">
            <v>45727</v>
          </cell>
          <cell r="U1683" t="str">
            <v>Tammy Davies</v>
          </cell>
          <cell r="V1683">
            <v>45748</v>
          </cell>
          <cell r="W1683">
            <v>45764</v>
          </cell>
          <cell r="Y1683">
            <v>45725</v>
          </cell>
          <cell r="AC1683">
            <v>45760</v>
          </cell>
        </row>
        <row r="1684">
          <cell r="I1684" t="str">
            <v>EDI</v>
          </cell>
          <cell r="L1684">
            <v>3720</v>
          </cell>
          <cell r="N1684" t="str">
            <v>Production</v>
          </cell>
          <cell r="O1684" t="str">
            <v>No</v>
          </cell>
          <cell r="Q1684" t="str">
            <v>Live</v>
          </cell>
          <cell r="R1684">
            <v>45700.858506944453</v>
          </cell>
          <cell r="S1684" t="str">
            <v>Zeyad Khaled</v>
          </cell>
          <cell r="T1684">
            <v>45715</v>
          </cell>
          <cell r="U1684" t="str">
            <v>Tammy Davies</v>
          </cell>
          <cell r="V1684">
            <v>45726</v>
          </cell>
          <cell r="W1684">
            <v>45740</v>
          </cell>
          <cell r="Y1684">
            <v>45706</v>
          </cell>
          <cell r="AC1684">
            <v>45740</v>
          </cell>
        </row>
        <row r="1685">
          <cell r="I1685" t="str">
            <v>EDI</v>
          </cell>
          <cell r="N1685" t="str">
            <v>Requirements Gathering</v>
          </cell>
          <cell r="O1685" t="str">
            <v>No</v>
          </cell>
          <cell r="Q1685" t="str">
            <v>Cancelled</v>
          </cell>
          <cell r="R1685">
            <v>45700.858506944453</v>
          </cell>
          <cell r="S1685" t="str">
            <v>Lourina Edmon</v>
          </cell>
          <cell r="T1685">
            <v>45701</v>
          </cell>
          <cell r="U1685" t="str">
            <v>Tammy Davies</v>
          </cell>
        </row>
        <row r="1686">
          <cell r="I1686" t="str">
            <v>EDI</v>
          </cell>
          <cell r="L1686">
            <v>3705</v>
          </cell>
          <cell r="N1686" t="str">
            <v>Production</v>
          </cell>
          <cell r="O1686" t="str">
            <v>No</v>
          </cell>
          <cell r="Q1686" t="str">
            <v>Live</v>
          </cell>
          <cell r="R1686">
            <v>45700.858495370368</v>
          </cell>
          <cell r="S1686" t="str">
            <v>Zeyad Khaled</v>
          </cell>
          <cell r="T1686">
            <v>45708</v>
          </cell>
          <cell r="U1686" t="str">
            <v>Tammy Davies</v>
          </cell>
          <cell r="V1686">
            <v>45715</v>
          </cell>
          <cell r="W1686">
            <v>45740</v>
          </cell>
          <cell r="Y1686">
            <v>45706</v>
          </cell>
          <cell r="AC1686">
            <v>45740</v>
          </cell>
        </row>
        <row r="1687">
          <cell r="I1687" t="str">
            <v>EDI</v>
          </cell>
          <cell r="L1687">
            <v>3764</v>
          </cell>
          <cell r="N1687" t="str">
            <v>Production</v>
          </cell>
          <cell r="O1687" t="str">
            <v>No</v>
          </cell>
          <cell r="Q1687" t="str">
            <v>Live</v>
          </cell>
          <cell r="R1687">
            <v>45700.767152777778</v>
          </cell>
          <cell r="S1687" t="str">
            <v>Nada Ashraf</v>
          </cell>
          <cell r="T1687">
            <v>45839</v>
          </cell>
          <cell r="U1687" t="str">
            <v>Rhettsmey Meak</v>
          </cell>
          <cell r="V1687">
            <v>45777</v>
          </cell>
          <cell r="W1687">
            <v>45897</v>
          </cell>
          <cell r="Y1687">
            <v>45728</v>
          </cell>
          <cell r="AC1687">
            <v>45894</v>
          </cell>
        </row>
        <row r="1688">
          <cell r="I1688" t="str">
            <v>EDI</v>
          </cell>
          <cell r="L1688">
            <v>3789</v>
          </cell>
          <cell r="N1688" t="str">
            <v>Production</v>
          </cell>
          <cell r="O1688" t="str">
            <v>No</v>
          </cell>
          <cell r="Q1688" t="str">
            <v>Live</v>
          </cell>
          <cell r="R1688">
            <v>45700.764120370368</v>
          </cell>
          <cell r="S1688" t="str">
            <v>Hazem Rostom</v>
          </cell>
          <cell r="T1688">
            <v>45740</v>
          </cell>
          <cell r="U1688" t="str">
            <v>Rhettsmey Meak</v>
          </cell>
          <cell r="V1688">
            <v>45775</v>
          </cell>
          <cell r="W1688">
            <v>45807</v>
          </cell>
          <cell r="Y1688">
            <v>45737</v>
          </cell>
          <cell r="AC1688">
            <v>45805</v>
          </cell>
        </row>
        <row r="1689">
          <cell r="I1689" t="str">
            <v>EDI</v>
          </cell>
          <cell r="L1689">
            <v>3813</v>
          </cell>
          <cell r="N1689" t="str">
            <v>Production</v>
          </cell>
          <cell r="O1689" t="str">
            <v>No</v>
          </cell>
          <cell r="Q1689" t="str">
            <v>Live</v>
          </cell>
          <cell r="R1689">
            <v>45700.759618055563</v>
          </cell>
          <cell r="S1689" t="str">
            <v>Alaa Yehia</v>
          </cell>
          <cell r="T1689">
            <v>45756</v>
          </cell>
          <cell r="U1689" t="str">
            <v>Rhettsmey Meak</v>
          </cell>
          <cell r="V1689">
            <v>45786</v>
          </cell>
          <cell r="W1689">
            <v>45814</v>
          </cell>
          <cell r="Y1689">
            <v>45756</v>
          </cell>
          <cell r="AC1689">
            <v>45812</v>
          </cell>
        </row>
        <row r="1690">
          <cell r="I1690" t="str">
            <v>EDI</v>
          </cell>
          <cell r="L1690">
            <v>3713</v>
          </cell>
          <cell r="N1690" t="str">
            <v>Production</v>
          </cell>
          <cell r="O1690" t="str">
            <v>No</v>
          </cell>
          <cell r="Q1690" t="str">
            <v>Live</v>
          </cell>
          <cell r="R1690">
            <v>45700.586041666669</v>
          </cell>
          <cell r="S1690" t="str">
            <v>Nada Ashraf</v>
          </cell>
          <cell r="T1690">
            <v>45715</v>
          </cell>
          <cell r="U1690" t="str">
            <v>Rhettsmey Meak</v>
          </cell>
          <cell r="V1690">
            <v>45735</v>
          </cell>
          <cell r="W1690">
            <v>45898</v>
          </cell>
          <cell r="Y1690">
            <v>45704</v>
          </cell>
          <cell r="AC1690">
            <v>45894</v>
          </cell>
        </row>
        <row r="1691">
          <cell r="I1691" t="str">
            <v>EDI</v>
          </cell>
          <cell r="N1691" t="str">
            <v>Pending Start</v>
          </cell>
          <cell r="O1691" t="str">
            <v>No</v>
          </cell>
          <cell r="Q1691" t="str">
            <v>Cancelled</v>
          </cell>
          <cell r="R1691">
            <v>45700.575914351852</v>
          </cell>
          <cell r="U1691" t="str">
            <v>Rhettsmey Meak</v>
          </cell>
        </row>
        <row r="1692">
          <cell r="I1692" t="str">
            <v>EDI</v>
          </cell>
          <cell r="L1692">
            <v>3712</v>
          </cell>
          <cell r="N1692" t="str">
            <v>Production</v>
          </cell>
          <cell r="O1692" t="str">
            <v>No</v>
          </cell>
          <cell r="Q1692" t="str">
            <v>Live</v>
          </cell>
          <cell r="R1692">
            <v>45698.927337962959</v>
          </cell>
          <cell r="S1692" t="str">
            <v>Mina Kamil</v>
          </cell>
          <cell r="T1692">
            <v>45715</v>
          </cell>
          <cell r="U1692" t="str">
            <v>Matt Howell</v>
          </cell>
          <cell r="W1692">
            <v>45750</v>
          </cell>
          <cell r="Y1692">
            <v>45714</v>
          </cell>
          <cell r="AC1692">
            <v>45750</v>
          </cell>
        </row>
        <row r="1693">
          <cell r="I1693" t="str">
            <v>EDI</v>
          </cell>
          <cell r="L1693">
            <v>3696</v>
          </cell>
          <cell r="N1693" t="str">
            <v>Production</v>
          </cell>
          <cell r="O1693" t="str">
            <v>No</v>
          </cell>
          <cell r="Q1693" t="str">
            <v>Live</v>
          </cell>
          <cell r="R1693">
            <v>45695.941111111111</v>
          </cell>
          <cell r="S1693" t="str">
            <v>Ahmed Ali</v>
          </cell>
          <cell r="T1693">
            <v>45712</v>
          </cell>
          <cell r="U1693" t="str">
            <v>Tammy Davies</v>
          </cell>
          <cell r="V1693">
            <v>45726</v>
          </cell>
          <cell r="W1693">
            <v>45735</v>
          </cell>
          <cell r="Y1693">
            <v>45711</v>
          </cell>
          <cell r="AC1693">
            <v>45732</v>
          </cell>
        </row>
        <row r="1694">
          <cell r="I1694" t="str">
            <v>EDI</v>
          </cell>
          <cell r="L1694">
            <v>3742</v>
          </cell>
          <cell r="N1694" t="str">
            <v>Production</v>
          </cell>
          <cell r="O1694" t="str">
            <v>No</v>
          </cell>
          <cell r="Q1694" t="str">
            <v>Live</v>
          </cell>
          <cell r="R1694">
            <v>45695.644618055558</v>
          </cell>
          <cell r="S1694" t="str">
            <v>Mirna Azmy</v>
          </cell>
          <cell r="T1694">
            <v>45721</v>
          </cell>
          <cell r="U1694" t="str">
            <v>Trish Kalinczok</v>
          </cell>
          <cell r="V1694">
            <v>45756</v>
          </cell>
          <cell r="W1694">
            <v>45782</v>
          </cell>
          <cell r="Y1694">
            <v>45715</v>
          </cell>
          <cell r="AC1694">
            <v>45811</v>
          </cell>
        </row>
        <row r="1695">
          <cell r="I1695" t="str">
            <v>EDI</v>
          </cell>
          <cell r="N1695" t="str">
            <v>Requirements Gathering</v>
          </cell>
          <cell r="O1695" t="str">
            <v>No</v>
          </cell>
          <cell r="Q1695" t="str">
            <v>Cancelled</v>
          </cell>
          <cell r="R1695">
            <v>45694.801712962973</v>
          </cell>
          <cell r="S1695" t="str">
            <v>Sandra Adel</v>
          </cell>
          <cell r="T1695">
            <v>45698</v>
          </cell>
          <cell r="U1695" t="str">
            <v>Scott Henrehan</v>
          </cell>
        </row>
        <row r="1696">
          <cell r="I1696" t="str">
            <v>EDI</v>
          </cell>
          <cell r="L1696">
            <v>3754</v>
          </cell>
          <cell r="N1696" t="str">
            <v>Production</v>
          </cell>
          <cell r="O1696" t="str">
            <v>No</v>
          </cell>
          <cell r="Q1696" t="str">
            <v>Cancelled</v>
          </cell>
          <cell r="R1696">
            <v>45693.916898148149</v>
          </cell>
          <cell r="S1696" t="str">
            <v>Karen Ramy</v>
          </cell>
          <cell r="T1696">
            <v>45727</v>
          </cell>
          <cell r="U1696" t="str">
            <v>Carolina Tanoue</v>
          </cell>
          <cell r="V1696">
            <v>25569</v>
          </cell>
          <cell r="W1696">
            <v>45776</v>
          </cell>
          <cell r="Y1696">
            <v>45721</v>
          </cell>
          <cell r="AC1696">
            <v>45772</v>
          </cell>
        </row>
        <row r="1697">
          <cell r="I1697" t="str">
            <v>EDI</v>
          </cell>
          <cell r="L1697">
            <v>3667</v>
          </cell>
          <cell r="N1697" t="str">
            <v>Production</v>
          </cell>
          <cell r="O1697" t="str">
            <v>No</v>
          </cell>
          <cell r="Q1697" t="str">
            <v>Cancelled</v>
          </cell>
          <cell r="R1697">
            <v>45693.916886574072</v>
          </cell>
          <cell r="S1697" t="str">
            <v>Mina George</v>
          </cell>
          <cell r="T1697">
            <v>45701</v>
          </cell>
          <cell r="U1697" t="str">
            <v>Carolina Tanoue</v>
          </cell>
          <cell r="V1697">
            <v>25569</v>
          </cell>
          <cell r="W1697">
            <v>45933</v>
          </cell>
          <cell r="Y1697">
            <v>45700</v>
          </cell>
          <cell r="AC1697">
            <v>45930</v>
          </cell>
        </row>
        <row r="1698">
          <cell r="I1698" t="str">
            <v>EDI</v>
          </cell>
          <cell r="L1698">
            <v>3693</v>
          </cell>
          <cell r="N1698" t="str">
            <v>Production</v>
          </cell>
          <cell r="O1698" t="str">
            <v>No</v>
          </cell>
          <cell r="Q1698" t="str">
            <v>Live</v>
          </cell>
          <cell r="R1698">
            <v>45693.903020833342</v>
          </cell>
          <cell r="S1698" t="str">
            <v>Karim Tarek</v>
          </cell>
          <cell r="T1698">
            <v>45777</v>
          </cell>
          <cell r="U1698" t="str">
            <v>Tammy Davies</v>
          </cell>
          <cell r="V1698">
            <v>45721</v>
          </cell>
          <cell r="W1698">
            <v>45799</v>
          </cell>
          <cell r="Y1698">
            <v>45701</v>
          </cell>
          <cell r="AC1698">
            <v>45795</v>
          </cell>
        </row>
        <row r="1699">
          <cell r="I1699" t="str">
            <v>EDI</v>
          </cell>
          <cell r="N1699" t="str">
            <v>Requirements Gathering</v>
          </cell>
          <cell r="O1699" t="str">
            <v>No</v>
          </cell>
          <cell r="Q1699" t="str">
            <v>Cancelled</v>
          </cell>
          <cell r="R1699">
            <v>45693.770254629628</v>
          </cell>
          <cell r="S1699" t="str">
            <v>Sandra Adel</v>
          </cell>
          <cell r="T1699">
            <v>45694</v>
          </cell>
          <cell r="U1699" t="str">
            <v>Rhettsmey Meak</v>
          </cell>
        </row>
        <row r="1700">
          <cell r="I1700" t="str">
            <v>EDI</v>
          </cell>
          <cell r="L1700">
            <v>3676</v>
          </cell>
          <cell r="N1700" t="str">
            <v>Production</v>
          </cell>
          <cell r="O1700" t="str">
            <v>No</v>
          </cell>
          <cell r="Q1700" t="str">
            <v>Live</v>
          </cell>
          <cell r="R1700">
            <v>45693.768125000002</v>
          </cell>
          <cell r="S1700" t="str">
            <v>Nada Ashraf</v>
          </cell>
          <cell r="T1700">
            <v>45705</v>
          </cell>
          <cell r="U1700" t="str">
            <v>Rhettsmey Meak</v>
          </cell>
          <cell r="V1700">
            <v>45712</v>
          </cell>
          <cell r="W1700">
            <v>45737</v>
          </cell>
          <cell r="Y1700">
            <v>45704</v>
          </cell>
          <cell r="AC1700">
            <v>45734</v>
          </cell>
        </row>
        <row r="1701">
          <cell r="I1701" t="str">
            <v>EDI</v>
          </cell>
          <cell r="L1701">
            <v>3684</v>
          </cell>
          <cell r="N1701" t="str">
            <v>Production</v>
          </cell>
          <cell r="O1701" t="str">
            <v>No</v>
          </cell>
          <cell r="Q1701" t="str">
            <v>Live</v>
          </cell>
          <cell r="R1701">
            <v>45693.744976851849</v>
          </cell>
          <cell r="S1701" t="str">
            <v>Marwan Tawfik</v>
          </cell>
          <cell r="T1701">
            <v>45705</v>
          </cell>
          <cell r="U1701" t="str">
            <v>Rosalie Whitty</v>
          </cell>
          <cell r="V1701">
            <v>45720</v>
          </cell>
          <cell r="W1701">
            <v>45740</v>
          </cell>
          <cell r="Y1701">
            <v>45699</v>
          </cell>
          <cell r="AC1701">
            <v>45735</v>
          </cell>
        </row>
        <row r="1702">
          <cell r="I1702" t="str">
            <v>EDI</v>
          </cell>
          <cell r="L1702">
            <v>3671</v>
          </cell>
          <cell r="N1702" t="str">
            <v>Production</v>
          </cell>
          <cell r="O1702" t="str">
            <v>No</v>
          </cell>
          <cell r="Q1702" t="str">
            <v>Live</v>
          </cell>
          <cell r="R1702">
            <v>45691.721620370372</v>
          </cell>
          <cell r="S1702" t="str">
            <v>Mirna Azmy</v>
          </cell>
          <cell r="T1702">
            <v>45705</v>
          </cell>
          <cell r="U1702" t="str">
            <v>Tammy Davies</v>
          </cell>
          <cell r="V1702">
            <v>45750</v>
          </cell>
          <cell r="W1702">
            <v>45796</v>
          </cell>
          <cell r="Y1702">
            <v>45694</v>
          </cell>
          <cell r="AC1702">
            <v>45791</v>
          </cell>
        </row>
        <row r="1703">
          <cell r="I1703" t="str">
            <v>EDI</v>
          </cell>
          <cell r="L1703">
            <v>3687</v>
          </cell>
          <cell r="N1703" t="str">
            <v>Production</v>
          </cell>
          <cell r="O1703" t="str">
            <v>No</v>
          </cell>
          <cell r="Q1703" t="str">
            <v>Cancelled</v>
          </cell>
          <cell r="R1703">
            <v>45688.908807870372</v>
          </cell>
          <cell r="S1703" t="str">
            <v>Zeyad Khaled</v>
          </cell>
          <cell r="T1703">
            <v>45701</v>
          </cell>
          <cell r="U1703" t="str">
            <v>Trish Kalinczok</v>
          </cell>
          <cell r="W1703">
            <v>45714</v>
          </cell>
          <cell r="Y1703">
            <v>45701</v>
          </cell>
          <cell r="AC1703">
            <v>45714</v>
          </cell>
        </row>
        <row r="1704">
          <cell r="I1704" t="str">
            <v>EDI</v>
          </cell>
          <cell r="L1704">
            <v>3683</v>
          </cell>
          <cell r="N1704" t="str">
            <v>Production</v>
          </cell>
          <cell r="O1704" t="str">
            <v>No</v>
          </cell>
          <cell r="Q1704" t="str">
            <v>Cancelled</v>
          </cell>
          <cell r="R1704">
            <v>45688.908796296288</v>
          </cell>
          <cell r="S1704" t="str">
            <v>Zeyad Khaled</v>
          </cell>
          <cell r="T1704">
            <v>45701</v>
          </cell>
          <cell r="U1704" t="str">
            <v>Trish Kalinczok</v>
          </cell>
          <cell r="V1704">
            <v>45714</v>
          </cell>
          <cell r="W1704">
            <v>25569</v>
          </cell>
          <cell r="Y1704">
            <v>45701</v>
          </cell>
          <cell r="AC1704">
            <v>45792</v>
          </cell>
        </row>
        <row r="1705">
          <cell r="I1705" t="str">
            <v>EDI</v>
          </cell>
          <cell r="L1705">
            <v>3721</v>
          </cell>
          <cell r="N1705" t="str">
            <v>Production</v>
          </cell>
          <cell r="O1705" t="str">
            <v>No</v>
          </cell>
          <cell r="Q1705" t="str">
            <v>Cancelled</v>
          </cell>
          <cell r="R1705">
            <v>45688.908796296288</v>
          </cell>
          <cell r="S1705" t="str">
            <v>Zeyad Khaled</v>
          </cell>
          <cell r="T1705">
            <v>45715</v>
          </cell>
          <cell r="U1705" t="str">
            <v>Trish Kalinczok</v>
          </cell>
          <cell r="V1705">
            <v>45728</v>
          </cell>
          <cell r="W1705">
            <v>45742</v>
          </cell>
          <cell r="Y1705">
            <v>45706</v>
          </cell>
          <cell r="AC1705">
            <v>45735</v>
          </cell>
        </row>
        <row r="1706">
          <cell r="I1706" t="str">
            <v>EDI</v>
          </cell>
          <cell r="L1706">
            <v>3752</v>
          </cell>
          <cell r="N1706" t="str">
            <v>Production</v>
          </cell>
          <cell r="O1706" t="str">
            <v>No</v>
          </cell>
          <cell r="Q1706" t="str">
            <v>Cancelled</v>
          </cell>
          <cell r="R1706">
            <v>45688.901516203703</v>
          </cell>
          <cell r="S1706" t="str">
            <v>Mirna Azmy</v>
          </cell>
          <cell r="T1706">
            <v>45728</v>
          </cell>
          <cell r="U1706" t="str">
            <v>Trish Kalinczok</v>
          </cell>
          <cell r="V1706">
            <v>45753</v>
          </cell>
          <cell r="W1706">
            <v>45805</v>
          </cell>
          <cell r="Y1706">
            <v>45727</v>
          </cell>
          <cell r="AC1706">
            <v>45797</v>
          </cell>
        </row>
        <row r="1707">
          <cell r="I1707" t="str">
            <v>EDI</v>
          </cell>
          <cell r="L1707">
            <v>3873</v>
          </cell>
          <cell r="N1707" t="str">
            <v>Production</v>
          </cell>
          <cell r="O1707" t="str">
            <v>No</v>
          </cell>
          <cell r="Q1707" t="str">
            <v>Cancelled</v>
          </cell>
          <cell r="R1707">
            <v>45688.901504629634</v>
          </cell>
          <cell r="S1707" t="str">
            <v>Mirna Azmy</v>
          </cell>
          <cell r="T1707">
            <v>45785</v>
          </cell>
          <cell r="U1707" t="str">
            <v>Trish Kalinczok</v>
          </cell>
          <cell r="V1707">
            <v>45804</v>
          </cell>
          <cell r="W1707">
            <v>45890</v>
          </cell>
          <cell r="Y1707">
            <v>45778</v>
          </cell>
          <cell r="AC1707">
            <v>45887</v>
          </cell>
        </row>
        <row r="1708">
          <cell r="I1708" t="str">
            <v>EDI</v>
          </cell>
          <cell r="L1708">
            <v>3714</v>
          </cell>
          <cell r="N1708" t="str">
            <v>Production</v>
          </cell>
          <cell r="O1708" t="str">
            <v>No</v>
          </cell>
          <cell r="Q1708" t="str">
            <v>Live</v>
          </cell>
          <cell r="R1708">
            <v>45688.831875000003</v>
          </cell>
          <cell r="S1708" t="str">
            <v>Noha Moustafa</v>
          </cell>
          <cell r="T1708">
            <v>45715</v>
          </cell>
          <cell r="U1708" t="str">
            <v>Tyler  Raposa</v>
          </cell>
          <cell r="V1708">
            <v>45757</v>
          </cell>
          <cell r="W1708">
            <v>45954</v>
          </cell>
          <cell r="Y1708">
            <v>45715</v>
          </cell>
          <cell r="AC1708">
            <v>45952</v>
          </cell>
        </row>
        <row r="1709">
          <cell r="I1709" t="str">
            <v>EDI</v>
          </cell>
          <cell r="L1709">
            <v>3674</v>
          </cell>
          <cell r="N1709" t="str">
            <v>Production</v>
          </cell>
          <cell r="O1709" t="str">
            <v>No</v>
          </cell>
          <cell r="Q1709" t="str">
            <v>Live</v>
          </cell>
          <cell r="R1709">
            <v>45688.831875000003</v>
          </cell>
          <cell r="S1709" t="str">
            <v>Noha Moustafa</v>
          </cell>
          <cell r="T1709">
            <v>45705</v>
          </cell>
          <cell r="U1709" t="str">
            <v>Tyler  Raposa</v>
          </cell>
          <cell r="V1709">
            <v>45783</v>
          </cell>
          <cell r="W1709">
            <v>45828</v>
          </cell>
          <cell r="Y1709">
            <v>45697</v>
          </cell>
          <cell r="AC1709">
            <v>45826</v>
          </cell>
        </row>
        <row r="1710">
          <cell r="I1710" t="str">
            <v>EDI</v>
          </cell>
          <cell r="L1710">
            <v>3829</v>
          </cell>
          <cell r="N1710" t="str">
            <v>Production</v>
          </cell>
          <cell r="O1710" t="str">
            <v>No</v>
          </cell>
          <cell r="Q1710" t="str">
            <v>Live</v>
          </cell>
          <cell r="R1710">
            <v>45688.831875000003</v>
          </cell>
          <cell r="S1710" t="str">
            <v>Noha Moustafa</v>
          </cell>
          <cell r="T1710">
            <v>45769</v>
          </cell>
          <cell r="U1710" t="str">
            <v>Tyler  Raposa</v>
          </cell>
          <cell r="V1710">
            <v>45875</v>
          </cell>
          <cell r="W1710">
            <v>46080</v>
          </cell>
          <cell r="Y1710">
            <v>45766</v>
          </cell>
          <cell r="AC1710">
            <v>46075</v>
          </cell>
        </row>
        <row r="1711">
          <cell r="I1711" t="str">
            <v>EDI</v>
          </cell>
          <cell r="L1711">
            <v>3716</v>
          </cell>
          <cell r="N1711" t="str">
            <v>Production</v>
          </cell>
          <cell r="O1711" t="str">
            <v>No</v>
          </cell>
          <cell r="Q1711" t="str">
            <v>Cancelled</v>
          </cell>
          <cell r="R1711">
            <v>45688.81523148148</v>
          </cell>
          <cell r="S1711" t="str">
            <v>Omnia Abdelaziz</v>
          </cell>
          <cell r="T1711">
            <v>45777</v>
          </cell>
          <cell r="U1711" t="str">
            <v>Tyler  Raposa</v>
          </cell>
          <cell r="V1711">
            <v>45741</v>
          </cell>
          <cell r="W1711">
            <v>45800</v>
          </cell>
          <cell r="Y1711">
            <v>45713</v>
          </cell>
          <cell r="AC1711">
            <v>45799</v>
          </cell>
        </row>
        <row r="1712">
          <cell r="I1712" t="str">
            <v>EDI</v>
          </cell>
          <cell r="L1712">
            <v>3664</v>
          </cell>
          <cell r="N1712" t="str">
            <v>Production</v>
          </cell>
          <cell r="O1712" t="str">
            <v>Everything Benefits</v>
          </cell>
          <cell r="P1712" t="str">
            <v>Production</v>
          </cell>
          <cell r="Q1712" t="str">
            <v>Live</v>
          </cell>
          <cell r="R1712">
            <v>45688.733206018522</v>
          </cell>
          <cell r="S1712" t="str">
            <v>Mirna Azmy</v>
          </cell>
          <cell r="T1712">
            <v>45708</v>
          </cell>
          <cell r="U1712" t="str">
            <v>Trish Kalinczok</v>
          </cell>
          <cell r="V1712">
            <v>45743</v>
          </cell>
          <cell r="W1712">
            <v>46191</v>
          </cell>
          <cell r="Y1712">
            <v>45694</v>
          </cell>
          <cell r="AC1712">
            <v>46191</v>
          </cell>
        </row>
        <row r="1713">
          <cell r="I1713" t="str">
            <v>EDI</v>
          </cell>
          <cell r="L1713">
            <v>3663</v>
          </cell>
          <cell r="N1713" t="str">
            <v>Production</v>
          </cell>
          <cell r="O1713" t="str">
            <v>No</v>
          </cell>
          <cell r="Q1713" t="str">
            <v>Live</v>
          </cell>
          <cell r="R1713">
            <v>45688.725891203707</v>
          </cell>
          <cell r="S1713" t="str">
            <v>Mina Kamil</v>
          </cell>
          <cell r="T1713">
            <v>45701</v>
          </cell>
          <cell r="U1713" t="str">
            <v>Trish Kalinczok</v>
          </cell>
          <cell r="W1713">
            <v>45768</v>
          </cell>
          <cell r="Y1713">
            <v>45692</v>
          </cell>
          <cell r="AC1713">
            <v>45761</v>
          </cell>
        </row>
        <row r="1714">
          <cell r="I1714" t="str">
            <v>EDI</v>
          </cell>
          <cell r="L1714">
            <v>3660</v>
          </cell>
          <cell r="N1714" t="str">
            <v>Production</v>
          </cell>
          <cell r="O1714" t="str">
            <v>No</v>
          </cell>
          <cell r="Q1714" t="str">
            <v>Live</v>
          </cell>
          <cell r="R1714">
            <v>45687.833425925928</v>
          </cell>
          <cell r="S1714" t="str">
            <v>Mina Kamil</v>
          </cell>
          <cell r="T1714">
            <v>45701</v>
          </cell>
          <cell r="U1714" t="str">
            <v>Rhettsmey Meak</v>
          </cell>
          <cell r="W1714">
            <v>45723</v>
          </cell>
          <cell r="Y1714">
            <v>45700</v>
          </cell>
          <cell r="AC1714">
            <v>45721</v>
          </cell>
        </row>
        <row r="1715">
          <cell r="I1715" t="str">
            <v>EDI</v>
          </cell>
          <cell r="L1715">
            <v>3652</v>
          </cell>
          <cell r="N1715" t="str">
            <v>Production</v>
          </cell>
          <cell r="O1715" t="str">
            <v>No</v>
          </cell>
          <cell r="Q1715" t="str">
            <v>Live</v>
          </cell>
          <cell r="R1715">
            <v>45687.829212962963</v>
          </cell>
          <cell r="S1715" t="str">
            <v>Amr Salah</v>
          </cell>
          <cell r="T1715">
            <v>45699</v>
          </cell>
          <cell r="U1715" t="str">
            <v>Scott Henrehan</v>
          </cell>
          <cell r="V1715">
            <v>45734</v>
          </cell>
          <cell r="W1715">
            <v>25569</v>
          </cell>
          <cell r="Y1715">
            <v>45692</v>
          </cell>
          <cell r="AC1715">
            <v>45798</v>
          </cell>
        </row>
        <row r="1716">
          <cell r="I1716" t="str">
            <v>EDI</v>
          </cell>
          <cell r="L1716">
            <v>3679</v>
          </cell>
          <cell r="N1716" t="str">
            <v>Production</v>
          </cell>
          <cell r="O1716" t="str">
            <v>No</v>
          </cell>
          <cell r="Q1716" t="str">
            <v>Live</v>
          </cell>
          <cell r="R1716">
            <v>45687.829201388893</v>
          </cell>
          <cell r="S1716" t="str">
            <v>Joseph Atef</v>
          </cell>
          <cell r="T1716">
            <v>45701</v>
          </cell>
          <cell r="U1716" t="str">
            <v>Scott Henrehan</v>
          </cell>
          <cell r="V1716">
            <v>45754</v>
          </cell>
          <cell r="W1716">
            <v>45770</v>
          </cell>
          <cell r="Y1716">
            <v>45692</v>
          </cell>
          <cell r="AC1716">
            <v>45770</v>
          </cell>
        </row>
        <row r="1717">
          <cell r="I1717" t="str">
            <v>EDI</v>
          </cell>
          <cell r="L1717">
            <v>3681</v>
          </cell>
          <cell r="N1717" t="str">
            <v>Production</v>
          </cell>
          <cell r="O1717" t="str">
            <v>No</v>
          </cell>
          <cell r="Q1717" t="str">
            <v>Live</v>
          </cell>
          <cell r="R1717">
            <v>45687.829201388893</v>
          </cell>
          <cell r="S1717" t="str">
            <v>Alaa Yehia</v>
          </cell>
          <cell r="T1717">
            <v>45777</v>
          </cell>
          <cell r="U1717" t="str">
            <v>Scott Henrehan</v>
          </cell>
          <cell r="V1717">
            <v>45739</v>
          </cell>
          <cell r="W1717">
            <v>45800</v>
          </cell>
          <cell r="Y1717">
            <v>45700</v>
          </cell>
          <cell r="AC1717">
            <v>45798</v>
          </cell>
        </row>
        <row r="1718">
          <cell r="I1718" t="str">
            <v>EDI</v>
          </cell>
          <cell r="L1718">
            <v>3734</v>
          </cell>
          <cell r="N1718" t="str">
            <v>Production</v>
          </cell>
          <cell r="O1718" t="str">
            <v>No</v>
          </cell>
          <cell r="Q1718" t="str">
            <v>Live</v>
          </cell>
          <cell r="R1718">
            <v>45687.829201388893</v>
          </cell>
          <cell r="S1718" t="str">
            <v>Karim Tarek</v>
          </cell>
          <cell r="T1718">
            <v>45720</v>
          </cell>
          <cell r="U1718" t="str">
            <v>Scott Henrehan</v>
          </cell>
          <cell r="V1718">
            <v>45775</v>
          </cell>
          <cell r="W1718">
            <v>45939</v>
          </cell>
          <cell r="Y1718">
            <v>45719</v>
          </cell>
          <cell r="AC1718">
            <v>45937</v>
          </cell>
        </row>
        <row r="1719">
          <cell r="I1719" t="str">
            <v>EDI</v>
          </cell>
          <cell r="L1719">
            <v>3655</v>
          </cell>
          <cell r="N1719" t="str">
            <v>Production</v>
          </cell>
          <cell r="O1719" t="str">
            <v>No</v>
          </cell>
          <cell r="Q1719" t="str">
            <v>Live</v>
          </cell>
          <cell r="R1719">
            <v>45687.628842592603</v>
          </cell>
          <cell r="S1719" t="str">
            <v>Karim Tarek</v>
          </cell>
          <cell r="T1719">
            <v>45699</v>
          </cell>
          <cell r="U1719" t="str">
            <v>Hans De Grouw</v>
          </cell>
          <cell r="V1719">
            <v>45736</v>
          </cell>
          <cell r="W1719">
            <v>45748</v>
          </cell>
          <cell r="Y1719">
            <v>45697</v>
          </cell>
          <cell r="AC1719">
            <v>45741</v>
          </cell>
        </row>
        <row r="1720">
          <cell r="I1720" t="str">
            <v>EDI</v>
          </cell>
          <cell r="L1720">
            <v>3656</v>
          </cell>
          <cell r="N1720" t="str">
            <v>Production</v>
          </cell>
          <cell r="O1720" t="str">
            <v>No</v>
          </cell>
          <cell r="Q1720" t="str">
            <v>Live</v>
          </cell>
          <cell r="R1720">
            <v>45687.628831018519</v>
          </cell>
          <cell r="S1720" t="str">
            <v>Karim Tarek</v>
          </cell>
          <cell r="T1720">
            <v>45699</v>
          </cell>
          <cell r="U1720" t="str">
            <v>Hans De Grouw</v>
          </cell>
          <cell r="V1720">
            <v>45727</v>
          </cell>
          <cell r="W1720">
            <v>45734</v>
          </cell>
          <cell r="Y1720">
            <v>45698</v>
          </cell>
          <cell r="AC1720">
            <v>45731</v>
          </cell>
        </row>
        <row r="1721">
          <cell r="I1721" t="str">
            <v>EDI</v>
          </cell>
          <cell r="N1721" t="str">
            <v>Requirements Gathering</v>
          </cell>
          <cell r="O1721" t="str">
            <v>No</v>
          </cell>
          <cell r="Q1721" t="str">
            <v>Cancelled</v>
          </cell>
          <cell r="R1721">
            <v>45686.865856481483</v>
          </cell>
          <cell r="S1721" t="str">
            <v>Abdulrahman Tarek</v>
          </cell>
          <cell r="T1721">
            <v>45687</v>
          </cell>
          <cell r="U1721" t="str">
            <v>Rhettsmey Meak</v>
          </cell>
        </row>
        <row r="1722">
          <cell r="I1722" t="str">
            <v>EDI</v>
          </cell>
          <cell r="L1722">
            <v>3668</v>
          </cell>
          <cell r="N1722" t="str">
            <v>Testing</v>
          </cell>
          <cell r="O1722" t="str">
            <v>No</v>
          </cell>
          <cell r="Q1722" t="str">
            <v>Cancelled</v>
          </cell>
          <cell r="R1722">
            <v>45686.858495370368</v>
          </cell>
          <cell r="S1722" t="str">
            <v>Aya Fathy</v>
          </cell>
          <cell r="T1722">
            <v>45701</v>
          </cell>
          <cell r="U1722" t="str">
            <v>Rhettsmey Meak</v>
          </cell>
          <cell r="V1722">
            <v>45711</v>
          </cell>
          <cell r="Y1722">
            <v>45694</v>
          </cell>
        </row>
        <row r="1723">
          <cell r="I1723" t="str">
            <v>EDI</v>
          </cell>
          <cell r="L1723">
            <v>3624</v>
          </cell>
          <cell r="N1723" t="str">
            <v>Production</v>
          </cell>
          <cell r="O1723" t="str">
            <v>No</v>
          </cell>
          <cell r="Q1723" t="str">
            <v>Live</v>
          </cell>
          <cell r="R1723">
            <v>45686.718078703707</v>
          </cell>
          <cell r="S1723" t="str">
            <v>Aya Fathy</v>
          </cell>
          <cell r="T1723">
            <v>45693</v>
          </cell>
          <cell r="U1723" t="str">
            <v>Trish Kalinczok</v>
          </cell>
          <cell r="V1723">
            <v>45693</v>
          </cell>
          <cell r="W1723">
            <v>45726</v>
          </cell>
          <cell r="Y1723">
            <v>45687</v>
          </cell>
          <cell r="AC1723">
            <v>45722</v>
          </cell>
        </row>
        <row r="1724">
          <cell r="I1724" t="str">
            <v>EDI</v>
          </cell>
          <cell r="L1724">
            <v>3704</v>
          </cell>
          <cell r="N1724" t="str">
            <v>Production</v>
          </cell>
          <cell r="O1724" t="str">
            <v>No</v>
          </cell>
          <cell r="Q1724" t="str">
            <v>Live</v>
          </cell>
          <cell r="R1724">
            <v>45686.629259259258</v>
          </cell>
          <cell r="S1724" t="str">
            <v>Alaa Yehia</v>
          </cell>
          <cell r="T1724">
            <v>45715</v>
          </cell>
          <cell r="U1724" t="str">
            <v>Rhettsmey Meak</v>
          </cell>
          <cell r="V1724">
            <v>45718</v>
          </cell>
          <cell r="W1724">
            <v>45758</v>
          </cell>
          <cell r="Y1724">
            <v>45713</v>
          </cell>
          <cell r="AC1724">
            <v>45754</v>
          </cell>
        </row>
        <row r="1725">
          <cell r="I1725" t="str">
            <v>EDI</v>
          </cell>
          <cell r="L1725">
            <v>3485</v>
          </cell>
          <cell r="N1725" t="str">
            <v>Production</v>
          </cell>
          <cell r="O1725" t="str">
            <v>No</v>
          </cell>
          <cell r="Q1725" t="str">
            <v>Live</v>
          </cell>
          <cell r="R1725">
            <v>45685.579942129632</v>
          </cell>
          <cell r="S1725" t="str">
            <v>Dina Medhat</v>
          </cell>
          <cell r="T1725">
            <v>45686</v>
          </cell>
          <cell r="U1725" t="str">
            <v>Hans De Grouw</v>
          </cell>
          <cell r="V1725">
            <v>45672</v>
          </cell>
          <cell r="W1725">
            <v>45846</v>
          </cell>
          <cell r="AC1725">
            <v>45840</v>
          </cell>
        </row>
        <row r="1726">
          <cell r="I1726" t="str">
            <v>EDI</v>
          </cell>
          <cell r="L1726">
            <v>3959</v>
          </cell>
          <cell r="N1726" t="str">
            <v>Production</v>
          </cell>
          <cell r="O1726" t="str">
            <v>No</v>
          </cell>
          <cell r="Q1726" t="str">
            <v>Live</v>
          </cell>
          <cell r="R1726">
            <v>45684.701458333337</v>
          </cell>
          <cell r="S1726" t="str">
            <v>Reem Radwan</v>
          </cell>
          <cell r="T1726">
            <v>45825</v>
          </cell>
          <cell r="U1726" t="str">
            <v>Robbie Schappell</v>
          </cell>
          <cell r="V1726">
            <v>45866</v>
          </cell>
          <cell r="W1726">
            <v>45937</v>
          </cell>
          <cell r="Y1726">
            <v>45822</v>
          </cell>
          <cell r="AC1726">
            <v>45936</v>
          </cell>
        </row>
        <row r="1727">
          <cell r="I1727" t="str">
            <v>EDI</v>
          </cell>
          <cell r="L1727">
            <v>3859</v>
          </cell>
          <cell r="N1727" t="str">
            <v>Production</v>
          </cell>
          <cell r="O1727" t="str">
            <v>No</v>
          </cell>
          <cell r="Q1727" t="str">
            <v>Cancelled</v>
          </cell>
          <cell r="R1727">
            <v>45680.956180555557</v>
          </cell>
          <cell r="S1727" t="str">
            <v>Nada Ashraf</v>
          </cell>
          <cell r="T1727">
            <v>45776</v>
          </cell>
          <cell r="U1727" t="str">
            <v>Trish Kalinczok</v>
          </cell>
          <cell r="V1727">
            <v>45798</v>
          </cell>
          <cell r="W1727">
            <v>45876</v>
          </cell>
          <cell r="Y1727">
            <v>45771</v>
          </cell>
          <cell r="AC1727">
            <v>45868</v>
          </cell>
        </row>
        <row r="1728">
          <cell r="I1728" t="str">
            <v>EDI</v>
          </cell>
          <cell r="L1728">
            <v>3685</v>
          </cell>
          <cell r="N1728" t="str">
            <v>Production</v>
          </cell>
          <cell r="O1728" t="str">
            <v>No</v>
          </cell>
          <cell r="Q1728" t="str">
            <v>Live</v>
          </cell>
          <cell r="R1728">
            <v>45680.831724537027</v>
          </cell>
          <cell r="S1728" t="str">
            <v>Marwan Tawfik</v>
          </cell>
          <cell r="T1728">
            <v>45705</v>
          </cell>
          <cell r="U1728" t="str">
            <v>Gregory Dubec</v>
          </cell>
          <cell r="V1728">
            <v>45750</v>
          </cell>
          <cell r="W1728">
            <v>45763</v>
          </cell>
          <cell r="Y1728">
            <v>45702</v>
          </cell>
          <cell r="AC1728">
            <v>45759</v>
          </cell>
        </row>
        <row r="1729">
          <cell r="I1729" t="str">
            <v>EDI</v>
          </cell>
          <cell r="L1729">
            <v>3688</v>
          </cell>
          <cell r="N1729" t="str">
            <v>Production</v>
          </cell>
          <cell r="O1729" t="str">
            <v>No</v>
          </cell>
          <cell r="Q1729" t="str">
            <v>Live</v>
          </cell>
          <cell r="R1729">
            <v>45680.831724537027</v>
          </cell>
          <cell r="S1729" t="str">
            <v>Mina Kamil</v>
          </cell>
          <cell r="T1729">
            <v>45708</v>
          </cell>
          <cell r="U1729" t="str">
            <v>Gregory Dubec</v>
          </cell>
          <cell r="V1729">
            <v>45935</v>
          </cell>
          <cell r="W1729">
            <v>25569</v>
          </cell>
          <cell r="Y1729">
            <v>45706</v>
          </cell>
          <cell r="AC1729">
            <v>45797</v>
          </cell>
        </row>
        <row r="1730">
          <cell r="I1730" t="str">
            <v>EDI</v>
          </cell>
          <cell r="L1730">
            <v>3607</v>
          </cell>
          <cell r="N1730" t="str">
            <v>Production</v>
          </cell>
          <cell r="O1730" t="str">
            <v>Everything Benefits</v>
          </cell>
          <cell r="P1730" t="str">
            <v>Production</v>
          </cell>
          <cell r="Q1730" t="str">
            <v>Live</v>
          </cell>
          <cell r="R1730">
            <v>45680.819710648153</v>
          </cell>
          <cell r="S1730" t="str">
            <v>Alaa Yehia</v>
          </cell>
          <cell r="T1730">
            <v>45688</v>
          </cell>
          <cell r="U1730" t="str">
            <v>Trish Kalinczok</v>
          </cell>
          <cell r="V1730">
            <v>45698</v>
          </cell>
          <cell r="W1730">
            <v>45720</v>
          </cell>
          <cell r="Y1730">
            <v>45686</v>
          </cell>
          <cell r="AC1730">
            <v>45709</v>
          </cell>
        </row>
        <row r="1731">
          <cell r="I1731" t="str">
            <v>EDI</v>
          </cell>
          <cell r="N1731" t="str">
            <v>Pending Start</v>
          </cell>
          <cell r="O1731" t="str">
            <v>No</v>
          </cell>
          <cell r="P1731" t="str">
            <v>Map Under Review</v>
          </cell>
          <cell r="Q1731" t="str">
            <v>Cancelled</v>
          </cell>
          <cell r="R1731">
            <v>45679.764224537037</v>
          </cell>
          <cell r="U1731" t="str">
            <v>Gregory Dubec</v>
          </cell>
        </row>
        <row r="1732">
          <cell r="I1732" t="str">
            <v>EDI</v>
          </cell>
          <cell r="L1732">
            <v>3766</v>
          </cell>
          <cell r="N1732" t="str">
            <v>Testing</v>
          </cell>
          <cell r="O1732" t="str">
            <v>No</v>
          </cell>
          <cell r="Q1732" t="str">
            <v>Cancelled</v>
          </cell>
          <cell r="R1732">
            <v>45679.752604166657</v>
          </cell>
          <cell r="S1732" t="str">
            <v>Amr Salah</v>
          </cell>
          <cell r="T1732">
            <v>45733</v>
          </cell>
          <cell r="U1732" t="str">
            <v>Tyler  Raposa</v>
          </cell>
          <cell r="V1732">
            <v>45744</v>
          </cell>
          <cell r="Y1732">
            <v>45732</v>
          </cell>
        </row>
        <row r="1733">
          <cell r="I1733" t="str">
            <v>EDI</v>
          </cell>
          <cell r="L1733">
            <v>3673</v>
          </cell>
          <cell r="N1733" t="str">
            <v>Production</v>
          </cell>
          <cell r="O1733" t="str">
            <v>No</v>
          </cell>
          <cell r="Q1733" t="str">
            <v>Cancelled</v>
          </cell>
          <cell r="R1733">
            <v>45679.752592592587</v>
          </cell>
          <cell r="S1733" t="str">
            <v>Andrew Ramy</v>
          </cell>
          <cell r="T1733">
            <v>45698</v>
          </cell>
          <cell r="U1733" t="str">
            <v>Tyler  Raposa</v>
          </cell>
          <cell r="V1733">
            <v>45713</v>
          </cell>
          <cell r="W1733">
            <v>45728</v>
          </cell>
          <cell r="Y1733">
            <v>45685</v>
          </cell>
          <cell r="AC1733">
            <v>45727</v>
          </cell>
        </row>
        <row r="1734">
          <cell r="I1734" t="str">
            <v>EDI</v>
          </cell>
          <cell r="N1734" t="str">
            <v>Requirements Gathering</v>
          </cell>
          <cell r="O1734" t="str">
            <v>No</v>
          </cell>
          <cell r="Q1734" t="str">
            <v>Cancelled</v>
          </cell>
          <cell r="R1734">
            <v>45679.752592592587</v>
          </cell>
          <cell r="S1734" t="str">
            <v>Sandra Adel</v>
          </cell>
          <cell r="T1734">
            <v>45680</v>
          </cell>
          <cell r="U1734" t="str">
            <v>Tyler  Raposa</v>
          </cell>
        </row>
        <row r="1735">
          <cell r="I1735" t="str">
            <v>EDI</v>
          </cell>
          <cell r="L1735">
            <v>3719</v>
          </cell>
          <cell r="N1735" t="str">
            <v>Production</v>
          </cell>
          <cell r="O1735" t="str">
            <v>No</v>
          </cell>
          <cell r="Q1735" t="str">
            <v>Cancelled</v>
          </cell>
          <cell r="R1735">
            <v>45679.746261574073</v>
          </cell>
          <cell r="S1735" t="str">
            <v>Andrew Ramy</v>
          </cell>
          <cell r="T1735">
            <v>45714</v>
          </cell>
          <cell r="U1735" t="str">
            <v>Tyler  Raposa</v>
          </cell>
          <cell r="V1735">
            <v>45726</v>
          </cell>
          <cell r="W1735">
            <v>25569</v>
          </cell>
          <cell r="Y1735">
            <v>45713</v>
          </cell>
          <cell r="AC1735">
            <v>45753</v>
          </cell>
        </row>
        <row r="1736">
          <cell r="I1736" t="str">
            <v>EDI</v>
          </cell>
          <cell r="L1736">
            <v>3791</v>
          </cell>
          <cell r="N1736" t="str">
            <v>Production</v>
          </cell>
          <cell r="O1736" t="str">
            <v>No</v>
          </cell>
          <cell r="Q1736" t="str">
            <v>Live</v>
          </cell>
          <cell r="R1736">
            <v>45679.746249999997</v>
          </cell>
          <cell r="S1736" t="str">
            <v>Reem Radwan</v>
          </cell>
          <cell r="T1736">
            <v>45777</v>
          </cell>
          <cell r="U1736" t="str">
            <v>Tyler  Raposa</v>
          </cell>
          <cell r="V1736">
            <v>45775</v>
          </cell>
          <cell r="W1736">
            <v>45880</v>
          </cell>
          <cell r="Y1736">
            <v>45739</v>
          </cell>
          <cell r="AC1736">
            <v>45880</v>
          </cell>
        </row>
        <row r="1737">
          <cell r="I1737" t="str">
            <v>EDI</v>
          </cell>
          <cell r="L1737">
            <v>3773</v>
          </cell>
          <cell r="N1737" t="str">
            <v>Production</v>
          </cell>
          <cell r="O1737" t="str">
            <v>No</v>
          </cell>
          <cell r="Q1737" t="str">
            <v>Live</v>
          </cell>
          <cell r="R1737">
            <v>45679.746249999997</v>
          </cell>
          <cell r="S1737" t="str">
            <v>Karim Tarek</v>
          </cell>
          <cell r="T1737">
            <v>45777</v>
          </cell>
          <cell r="U1737" t="str">
            <v>Tyler  Raposa</v>
          </cell>
          <cell r="V1737">
            <v>45735</v>
          </cell>
          <cell r="W1737">
            <v>45873</v>
          </cell>
          <cell r="Y1737">
            <v>45728</v>
          </cell>
          <cell r="AC1737">
            <v>45867</v>
          </cell>
        </row>
        <row r="1738">
          <cell r="I1738" t="str">
            <v>Forms</v>
          </cell>
          <cell r="L1738" t="str">
            <v>[3593]</v>
          </cell>
          <cell r="N1738" t="str">
            <v>Testing</v>
          </cell>
          <cell r="O1738" t="str">
            <v>Everything Benefits</v>
          </cell>
          <cell r="P1738" t="str">
            <v>Migration Testing</v>
          </cell>
          <cell r="Q1738" t="str">
            <v>Cancelled</v>
          </cell>
          <cell r="R1738">
            <v>45678.944409722222</v>
          </cell>
          <cell r="S1738" t="str">
            <v>Aya Fathy</v>
          </cell>
          <cell r="T1738">
            <v>45686</v>
          </cell>
          <cell r="U1738" t="str">
            <v>Trish Kalinczok</v>
          </cell>
        </row>
        <row r="1739">
          <cell r="I1739" t="str">
            <v>EDI</v>
          </cell>
          <cell r="L1739">
            <v>3638</v>
          </cell>
          <cell r="N1739" t="str">
            <v>Production</v>
          </cell>
          <cell r="O1739" t="str">
            <v>No</v>
          </cell>
          <cell r="Q1739" t="str">
            <v>Live</v>
          </cell>
          <cell r="R1739">
            <v>45678.884525462963</v>
          </cell>
          <cell r="S1739" t="str">
            <v>Nada Ashraf</v>
          </cell>
          <cell r="T1739">
            <v>45691</v>
          </cell>
          <cell r="U1739" t="str">
            <v>Gregory Dubec</v>
          </cell>
          <cell r="V1739">
            <v>45718</v>
          </cell>
          <cell r="W1739">
            <v>45743</v>
          </cell>
          <cell r="Y1739">
            <v>45688</v>
          </cell>
          <cell r="AC1739">
            <v>45743</v>
          </cell>
        </row>
        <row r="1740">
          <cell r="I1740" t="str">
            <v>EDI</v>
          </cell>
          <cell r="L1740">
            <v>3672</v>
          </cell>
          <cell r="N1740" t="str">
            <v>Production</v>
          </cell>
          <cell r="O1740" t="str">
            <v>No</v>
          </cell>
          <cell r="Q1740" t="str">
            <v>Live</v>
          </cell>
          <cell r="R1740">
            <v>45678.83326388889</v>
          </cell>
          <cell r="S1740" t="str">
            <v>Reem Radwan</v>
          </cell>
          <cell r="T1740">
            <v>45705</v>
          </cell>
          <cell r="U1740" t="str">
            <v>Matt Howell</v>
          </cell>
          <cell r="V1740">
            <v>45754</v>
          </cell>
          <cell r="W1740">
            <v>45756</v>
          </cell>
          <cell r="Y1740">
            <v>45702</v>
          </cell>
          <cell r="AC1740">
            <v>45754</v>
          </cell>
        </row>
        <row r="1741">
          <cell r="I1741" t="str">
            <v>Forms</v>
          </cell>
          <cell r="L1741" t="str">
            <v>[3594]</v>
          </cell>
          <cell r="N1741" t="str">
            <v>Testing</v>
          </cell>
          <cell r="O1741" t="str">
            <v>Everything Benefits</v>
          </cell>
          <cell r="P1741" t="str">
            <v>Phase 1 - Map Built</v>
          </cell>
          <cell r="Q1741" t="str">
            <v>Cancelled</v>
          </cell>
          <cell r="R1741">
            <v>45678.72724537037</v>
          </cell>
          <cell r="S1741" t="str">
            <v>Omnia Abdelaziz</v>
          </cell>
          <cell r="T1741">
            <v>45685</v>
          </cell>
          <cell r="U1741" t="str">
            <v>Trish Kalinczok</v>
          </cell>
        </row>
        <row r="1742">
          <cell r="I1742" t="str">
            <v>EDI</v>
          </cell>
          <cell r="L1742">
            <v>3700</v>
          </cell>
          <cell r="N1742" t="str">
            <v>Testing</v>
          </cell>
          <cell r="O1742" t="str">
            <v>No</v>
          </cell>
          <cell r="Q1742" t="str">
            <v>Cancelled</v>
          </cell>
          <cell r="R1742">
            <v>45677.83116898148</v>
          </cell>
          <cell r="S1742" t="str">
            <v>Nada Ashraf</v>
          </cell>
          <cell r="T1742">
            <v>45708</v>
          </cell>
          <cell r="U1742" t="str">
            <v>Hans De Grouw</v>
          </cell>
          <cell r="V1742">
            <v>45719</v>
          </cell>
          <cell r="Y1742">
            <v>45706</v>
          </cell>
        </row>
        <row r="1743">
          <cell r="I1743" t="str">
            <v>EDI</v>
          </cell>
          <cell r="L1743">
            <v>3751</v>
          </cell>
          <cell r="N1743" t="str">
            <v>Production</v>
          </cell>
          <cell r="O1743" t="str">
            <v>No</v>
          </cell>
          <cell r="Q1743" t="str">
            <v>Cancelled</v>
          </cell>
          <cell r="R1743">
            <v>45677.831157407411</v>
          </cell>
          <cell r="S1743" t="str">
            <v>Karen Ramy</v>
          </cell>
          <cell r="T1743">
            <v>45727</v>
          </cell>
          <cell r="U1743" t="str">
            <v>Hans De Grouw</v>
          </cell>
          <cell r="V1743">
            <v>45756</v>
          </cell>
          <cell r="W1743">
            <v>45827</v>
          </cell>
          <cell r="Y1743">
            <v>45723</v>
          </cell>
          <cell r="AC1743">
            <v>45826</v>
          </cell>
        </row>
        <row r="1744">
          <cell r="I1744" t="str">
            <v>EDI</v>
          </cell>
          <cell r="L1744">
            <v>3617</v>
          </cell>
          <cell r="N1744" t="str">
            <v>Production</v>
          </cell>
          <cell r="O1744" t="str">
            <v>No</v>
          </cell>
          <cell r="Q1744" t="str">
            <v>Live</v>
          </cell>
          <cell r="R1744">
            <v>45677.698472222219</v>
          </cell>
          <cell r="S1744" t="str">
            <v>Mina George</v>
          </cell>
          <cell r="T1744">
            <v>45686</v>
          </cell>
          <cell r="U1744" t="str">
            <v>Trish Kalinczok</v>
          </cell>
          <cell r="V1744">
            <v>45700</v>
          </cell>
          <cell r="W1744">
            <v>45728</v>
          </cell>
          <cell r="Y1744">
            <v>45685</v>
          </cell>
          <cell r="AC1744">
            <v>45728</v>
          </cell>
        </row>
        <row r="1745">
          <cell r="I1745" t="str">
            <v>EDI</v>
          </cell>
          <cell r="L1745">
            <v>3645</v>
          </cell>
          <cell r="N1745" t="str">
            <v>Production</v>
          </cell>
          <cell r="O1745" t="str">
            <v>No</v>
          </cell>
          <cell r="Q1745" t="str">
            <v>Live</v>
          </cell>
          <cell r="R1745">
            <v>45674.932152777779</v>
          </cell>
          <cell r="S1745" t="str">
            <v>Reem Radwan</v>
          </cell>
          <cell r="T1745">
            <v>45698</v>
          </cell>
          <cell r="U1745" t="str">
            <v>Tammy Davies</v>
          </cell>
          <cell r="V1745">
            <v>45705</v>
          </cell>
          <cell r="W1745">
            <v>45720</v>
          </cell>
          <cell r="Y1745">
            <v>45683</v>
          </cell>
          <cell r="AC1745">
            <v>45718</v>
          </cell>
        </row>
        <row r="1746">
          <cell r="I1746" t="str">
            <v>EDI</v>
          </cell>
          <cell r="L1746">
            <v>3643</v>
          </cell>
          <cell r="N1746" t="str">
            <v>Production</v>
          </cell>
          <cell r="O1746" t="str">
            <v>No</v>
          </cell>
          <cell r="Q1746" t="str">
            <v>Live</v>
          </cell>
          <cell r="R1746">
            <v>45674.932152777779</v>
          </cell>
          <cell r="S1746" t="str">
            <v>Marwan Tawfik</v>
          </cell>
          <cell r="T1746">
            <v>45698</v>
          </cell>
          <cell r="U1746" t="str">
            <v>Tammy Davies</v>
          </cell>
          <cell r="V1746">
            <v>45760</v>
          </cell>
          <cell r="W1746">
            <v>45910</v>
          </cell>
          <cell r="Y1746">
            <v>45683</v>
          </cell>
          <cell r="AC1746">
            <v>45903</v>
          </cell>
        </row>
        <row r="1747">
          <cell r="I1747" t="str">
            <v>EDI</v>
          </cell>
          <cell r="L1747">
            <v>3650</v>
          </cell>
          <cell r="N1747" t="str">
            <v>Production</v>
          </cell>
          <cell r="O1747" t="str">
            <v>No</v>
          </cell>
          <cell r="Q1747" t="str">
            <v>Live</v>
          </cell>
          <cell r="R1747">
            <v>45674.932141203702</v>
          </cell>
          <cell r="S1747" t="str">
            <v>Reem Radwan</v>
          </cell>
          <cell r="T1747">
            <v>45698</v>
          </cell>
          <cell r="U1747" t="str">
            <v>Tammy Davies</v>
          </cell>
          <cell r="V1747">
            <v>45712</v>
          </cell>
          <cell r="W1747">
            <v>45782</v>
          </cell>
          <cell r="Y1747">
            <v>45683</v>
          </cell>
          <cell r="AC1747">
            <v>45778</v>
          </cell>
        </row>
        <row r="1748">
          <cell r="I1748" t="str">
            <v>EDI</v>
          </cell>
          <cell r="L1748">
            <v>3654</v>
          </cell>
          <cell r="N1748" t="str">
            <v>Production</v>
          </cell>
          <cell r="O1748" t="str">
            <v>No</v>
          </cell>
          <cell r="Q1748" t="str">
            <v>Live</v>
          </cell>
          <cell r="R1748">
            <v>45674.7262962963</v>
          </cell>
          <cell r="S1748" t="str">
            <v>Mina Kamil</v>
          </cell>
          <cell r="T1748">
            <v>45698</v>
          </cell>
          <cell r="U1748" t="str">
            <v>Trish Kalinczok</v>
          </cell>
          <cell r="W1748">
            <v>45747</v>
          </cell>
          <cell r="Y1748">
            <v>45687</v>
          </cell>
          <cell r="AC1748">
            <v>45742</v>
          </cell>
        </row>
        <row r="1749">
          <cell r="I1749" t="str">
            <v>EDI</v>
          </cell>
          <cell r="L1749">
            <v>3595</v>
          </cell>
          <cell r="N1749" t="str">
            <v>Production</v>
          </cell>
          <cell r="O1749" t="str">
            <v>No</v>
          </cell>
          <cell r="Q1749" t="str">
            <v>Live</v>
          </cell>
          <cell r="R1749">
            <v>45673.819953703707</v>
          </cell>
          <cell r="S1749" t="str">
            <v>Mina Adel</v>
          </cell>
          <cell r="T1749">
            <v>45679</v>
          </cell>
          <cell r="U1749" t="str">
            <v>Joel Costanzo</v>
          </cell>
          <cell r="W1749">
            <v>45708</v>
          </cell>
          <cell r="Y1749">
            <v>45678</v>
          </cell>
          <cell r="AC1749">
            <v>45708</v>
          </cell>
        </row>
        <row r="1750">
          <cell r="I1750" t="str">
            <v>EDI</v>
          </cell>
          <cell r="L1750">
            <v>3637</v>
          </cell>
          <cell r="N1750" t="str">
            <v>Production</v>
          </cell>
          <cell r="O1750" t="str">
            <v>No</v>
          </cell>
          <cell r="Q1750" t="str">
            <v>Live</v>
          </cell>
          <cell r="R1750">
            <v>45672.9378125</v>
          </cell>
          <cell r="S1750" t="str">
            <v>Mirna Azmy</v>
          </cell>
          <cell r="T1750">
            <v>45698</v>
          </cell>
          <cell r="U1750" t="str">
            <v>Trish Kalinczok</v>
          </cell>
          <cell r="V1750">
            <v>45701</v>
          </cell>
          <cell r="W1750">
            <v>45782</v>
          </cell>
          <cell r="Y1750">
            <v>45686</v>
          </cell>
          <cell r="AC1750">
            <v>45778</v>
          </cell>
        </row>
        <row r="1751">
          <cell r="I1751" t="str">
            <v>EDI</v>
          </cell>
          <cell r="L1751">
            <v>3627</v>
          </cell>
          <cell r="N1751" t="str">
            <v>Production</v>
          </cell>
          <cell r="O1751" t="str">
            <v>No</v>
          </cell>
          <cell r="Q1751" t="str">
            <v>Cancelled</v>
          </cell>
          <cell r="R1751">
            <v>45671.896874999999</v>
          </cell>
          <cell r="S1751" t="str">
            <v>Karim Tarek</v>
          </cell>
          <cell r="T1751">
            <v>45693</v>
          </cell>
          <cell r="U1751" t="str">
            <v>Trish Kalinczok</v>
          </cell>
          <cell r="V1751">
            <v>45701</v>
          </cell>
          <cell r="W1751">
            <v>45730</v>
          </cell>
          <cell r="Y1751">
            <v>45685</v>
          </cell>
          <cell r="AC1751">
            <v>45723</v>
          </cell>
        </row>
        <row r="1752">
          <cell r="I1752" t="str">
            <v>EDI</v>
          </cell>
          <cell r="L1752">
            <v>3659</v>
          </cell>
          <cell r="N1752" t="str">
            <v>Production</v>
          </cell>
          <cell r="O1752" t="str">
            <v>No</v>
          </cell>
          <cell r="Q1752" t="str">
            <v>Cancelled</v>
          </cell>
          <cell r="R1752">
            <v>45671.774444444447</v>
          </cell>
          <cell r="S1752" t="str">
            <v>Alaa Yehia</v>
          </cell>
          <cell r="T1752">
            <v>45698</v>
          </cell>
          <cell r="U1752" t="str">
            <v>Robbie Schappell</v>
          </cell>
          <cell r="V1752">
            <v>45734</v>
          </cell>
          <cell r="W1752">
            <v>45846</v>
          </cell>
          <cell r="Y1752">
            <v>45687</v>
          </cell>
          <cell r="AC1752">
            <v>45846</v>
          </cell>
        </row>
        <row r="1753">
          <cell r="I1753" t="str">
            <v>EDI</v>
          </cell>
          <cell r="L1753">
            <v>3649</v>
          </cell>
          <cell r="N1753" t="str">
            <v>Production</v>
          </cell>
          <cell r="O1753" t="str">
            <v>No</v>
          </cell>
          <cell r="Q1753" t="str">
            <v>Cancelled</v>
          </cell>
          <cell r="R1753">
            <v>45671.77443287037</v>
          </cell>
          <cell r="S1753" t="str">
            <v>Noha Moustafa</v>
          </cell>
          <cell r="T1753">
            <v>45698</v>
          </cell>
          <cell r="U1753" t="str">
            <v>Robbie Schappell</v>
          </cell>
          <cell r="V1753">
            <v>45718</v>
          </cell>
          <cell r="W1753">
            <v>45748</v>
          </cell>
          <cell r="Y1753">
            <v>45683</v>
          </cell>
          <cell r="AC1753">
            <v>45741</v>
          </cell>
        </row>
        <row r="1754">
          <cell r="I1754" t="str">
            <v>EDI</v>
          </cell>
          <cell r="L1754">
            <v>3675</v>
          </cell>
          <cell r="N1754" t="str">
            <v>Production</v>
          </cell>
          <cell r="O1754" t="str">
            <v>No</v>
          </cell>
          <cell r="Q1754" t="str">
            <v>Cancelled</v>
          </cell>
          <cell r="R1754">
            <v>45671.77443287037</v>
          </cell>
          <cell r="S1754" t="str">
            <v>Nada Ashraf</v>
          </cell>
          <cell r="T1754">
            <v>45698</v>
          </cell>
          <cell r="U1754" t="str">
            <v>Robbie Schappell</v>
          </cell>
          <cell r="V1754">
            <v>45713</v>
          </cell>
          <cell r="W1754">
            <v>45734</v>
          </cell>
          <cell r="Y1754">
            <v>45690</v>
          </cell>
          <cell r="AC1754">
            <v>45734</v>
          </cell>
        </row>
        <row r="1755">
          <cell r="I1755" t="str">
            <v>EDI</v>
          </cell>
          <cell r="L1755">
            <v>3577</v>
          </cell>
          <cell r="N1755" t="str">
            <v>Testing</v>
          </cell>
          <cell r="O1755" t="str">
            <v>No</v>
          </cell>
          <cell r="Q1755" t="str">
            <v>Cancelled</v>
          </cell>
          <cell r="R1755">
            <v>45671.77443287037</v>
          </cell>
          <cell r="S1755" t="str">
            <v>Zeyad Khaled</v>
          </cell>
          <cell r="T1755">
            <v>45677</v>
          </cell>
          <cell r="U1755" t="str">
            <v>Robbie Schappell</v>
          </cell>
          <cell r="V1755">
            <v>45753</v>
          </cell>
          <cell r="Y1755">
            <v>45672</v>
          </cell>
        </row>
        <row r="1756">
          <cell r="I1756" t="str">
            <v>EDI</v>
          </cell>
          <cell r="L1756">
            <v>3648</v>
          </cell>
          <cell r="N1756" t="str">
            <v>Production</v>
          </cell>
          <cell r="O1756" t="str">
            <v>No</v>
          </cell>
          <cell r="Q1756" t="str">
            <v>Live</v>
          </cell>
          <cell r="R1756">
            <v>45671.656793981478</v>
          </cell>
          <cell r="S1756" t="str">
            <v>Mirna Azmy</v>
          </cell>
          <cell r="T1756">
            <v>45698</v>
          </cell>
          <cell r="U1756" t="str">
            <v>Carolina Tanoue</v>
          </cell>
          <cell r="V1756">
            <v>45701</v>
          </cell>
          <cell r="W1756">
            <v>45931</v>
          </cell>
          <cell r="Y1756">
            <v>45697</v>
          </cell>
          <cell r="AC1756">
            <v>45930</v>
          </cell>
        </row>
        <row r="1757">
          <cell r="I1757" t="str">
            <v>EDI</v>
          </cell>
          <cell r="L1757">
            <v>3750</v>
          </cell>
          <cell r="N1757" t="str">
            <v>Production</v>
          </cell>
          <cell r="O1757" t="str">
            <v>No</v>
          </cell>
          <cell r="Q1757" t="str">
            <v>Live</v>
          </cell>
          <cell r="R1757">
            <v>45671.656793981478</v>
          </cell>
          <cell r="S1757" t="str">
            <v>Mirna Azmy</v>
          </cell>
          <cell r="T1757">
            <v>45727</v>
          </cell>
          <cell r="U1757" t="str">
            <v>Carolina Tanoue</v>
          </cell>
          <cell r="V1757">
            <v>45727</v>
          </cell>
          <cell r="W1757">
            <v>45775</v>
          </cell>
          <cell r="Y1757">
            <v>45725</v>
          </cell>
          <cell r="AC1757">
            <v>45775</v>
          </cell>
        </row>
        <row r="1758">
          <cell r="I1758" t="str">
            <v>EDI</v>
          </cell>
          <cell r="L1758">
            <v>3662</v>
          </cell>
          <cell r="N1758" t="str">
            <v>Production</v>
          </cell>
          <cell r="O1758" t="str">
            <v>No</v>
          </cell>
          <cell r="Q1758" t="str">
            <v>Live</v>
          </cell>
          <cell r="R1758">
            <v>45671.656793981478</v>
          </cell>
          <cell r="S1758" t="str">
            <v>Mina Adel</v>
          </cell>
          <cell r="T1758">
            <v>45698</v>
          </cell>
          <cell r="U1758" t="str">
            <v>Carolina Tanoue</v>
          </cell>
          <cell r="V1758">
            <v>45716</v>
          </cell>
          <cell r="W1758">
            <v>45777</v>
          </cell>
          <cell r="Y1758">
            <v>45697</v>
          </cell>
          <cell r="AC1758">
            <v>45775</v>
          </cell>
        </row>
        <row r="1759">
          <cell r="I1759" t="str">
            <v>EDI</v>
          </cell>
          <cell r="L1759">
            <v>3718</v>
          </cell>
          <cell r="N1759" t="str">
            <v>Testing</v>
          </cell>
          <cell r="O1759" t="str">
            <v>No</v>
          </cell>
          <cell r="Q1759" t="str">
            <v>In Progress</v>
          </cell>
          <cell r="R1759">
            <v>45671.656782407408</v>
          </cell>
          <cell r="S1759" t="str">
            <v>Mirna Azmy</v>
          </cell>
          <cell r="T1759">
            <v>45720</v>
          </cell>
          <cell r="U1759" t="str">
            <v>Carolina Tanoue</v>
          </cell>
          <cell r="V1759">
            <v>45741</v>
          </cell>
          <cell r="Y1759">
            <v>45716</v>
          </cell>
        </row>
        <row r="1760">
          <cell r="I1760" t="str">
            <v>EDI</v>
          </cell>
          <cell r="N1760" t="str">
            <v>Requirements Gathering</v>
          </cell>
          <cell r="O1760" t="str">
            <v>No</v>
          </cell>
          <cell r="Q1760" t="str">
            <v>Cancelled</v>
          </cell>
          <cell r="R1760">
            <v>45671.592905092592</v>
          </cell>
          <cell r="S1760" t="str">
            <v>Abdulrahman Tarek</v>
          </cell>
          <cell r="T1760">
            <v>45672</v>
          </cell>
          <cell r="U1760" t="str">
            <v>Robbie Schappell</v>
          </cell>
        </row>
        <row r="1761">
          <cell r="I1761" t="str">
            <v>EDI</v>
          </cell>
          <cell r="L1761">
            <v>3642</v>
          </cell>
          <cell r="N1761" t="str">
            <v>Production</v>
          </cell>
          <cell r="O1761" t="str">
            <v>No</v>
          </cell>
          <cell r="Q1761" t="str">
            <v>Live</v>
          </cell>
          <cell r="R1761">
            <v>45670.940474537027</v>
          </cell>
          <cell r="S1761" t="str">
            <v>Aya Fathy</v>
          </cell>
          <cell r="T1761">
            <v>45698</v>
          </cell>
          <cell r="U1761" t="str">
            <v>Trish Kalinczok</v>
          </cell>
          <cell r="V1761">
            <v>45704</v>
          </cell>
          <cell r="W1761">
            <v>45768</v>
          </cell>
          <cell r="Y1761">
            <v>45685</v>
          </cell>
          <cell r="AC1761">
            <v>45762</v>
          </cell>
        </row>
        <row r="1762">
          <cell r="I1762" t="str">
            <v>EDI</v>
          </cell>
          <cell r="L1762">
            <v>3639</v>
          </cell>
          <cell r="N1762" t="str">
            <v>Production</v>
          </cell>
          <cell r="O1762" t="str">
            <v>No</v>
          </cell>
          <cell r="Q1762" t="str">
            <v>Live</v>
          </cell>
          <cell r="R1762">
            <v>45670.931805555563</v>
          </cell>
          <cell r="S1762" t="str">
            <v>Andrew Ramy</v>
          </cell>
          <cell r="T1762">
            <v>45693</v>
          </cell>
          <cell r="U1762" t="str">
            <v>Trish Kalinczok</v>
          </cell>
          <cell r="V1762">
            <v>45698</v>
          </cell>
          <cell r="W1762">
            <v>45733</v>
          </cell>
          <cell r="Y1762">
            <v>45685</v>
          </cell>
          <cell r="AC1762">
            <v>45727</v>
          </cell>
        </row>
        <row r="1763">
          <cell r="I1763" t="str">
            <v>EDI</v>
          </cell>
          <cell r="L1763">
            <v>3647</v>
          </cell>
          <cell r="N1763" t="str">
            <v>Production</v>
          </cell>
          <cell r="O1763" t="str">
            <v>No</v>
          </cell>
          <cell r="Q1763" t="str">
            <v>Live</v>
          </cell>
          <cell r="R1763">
            <v>45670.903969907413</v>
          </cell>
          <cell r="S1763" t="str">
            <v>Omnia Abdelaziz</v>
          </cell>
          <cell r="T1763">
            <v>45698</v>
          </cell>
          <cell r="U1763" t="str">
            <v>Trish Kalinczok</v>
          </cell>
          <cell r="V1763">
            <v>45709</v>
          </cell>
          <cell r="W1763">
            <v>45726</v>
          </cell>
          <cell r="Y1763">
            <v>45684</v>
          </cell>
          <cell r="AC1763">
            <v>45721</v>
          </cell>
        </row>
        <row r="1764">
          <cell r="I1764" t="str">
            <v>EDI</v>
          </cell>
          <cell r="L1764">
            <v>3708</v>
          </cell>
          <cell r="N1764" t="str">
            <v>Production</v>
          </cell>
          <cell r="O1764" t="str">
            <v>No</v>
          </cell>
          <cell r="Q1764" t="str">
            <v>Live</v>
          </cell>
          <cell r="R1764">
            <v>45670.903969907413</v>
          </cell>
          <cell r="S1764" t="str">
            <v>Marwan Tawfik</v>
          </cell>
          <cell r="T1764">
            <v>45713</v>
          </cell>
          <cell r="U1764" t="str">
            <v>Trish Kalinczok</v>
          </cell>
          <cell r="V1764">
            <v>45777</v>
          </cell>
          <cell r="W1764">
            <v>45898</v>
          </cell>
          <cell r="Y1764">
            <v>45712</v>
          </cell>
          <cell r="AC1764">
            <v>45897</v>
          </cell>
        </row>
        <row r="1765">
          <cell r="I1765" t="str">
            <v>EDI</v>
          </cell>
          <cell r="L1765">
            <v>3646</v>
          </cell>
          <cell r="N1765" t="str">
            <v>Production</v>
          </cell>
          <cell r="O1765" t="str">
            <v>No</v>
          </cell>
          <cell r="Q1765" t="str">
            <v>Live</v>
          </cell>
          <cell r="R1765">
            <v>45670.903969907413</v>
          </cell>
          <cell r="S1765" t="str">
            <v>Omnia Abdelaziz</v>
          </cell>
          <cell r="T1765">
            <v>45698</v>
          </cell>
          <cell r="U1765" t="str">
            <v>Trish Kalinczok</v>
          </cell>
          <cell r="V1765">
            <v>45705</v>
          </cell>
          <cell r="W1765">
            <v>45712</v>
          </cell>
          <cell r="Y1765">
            <v>45685</v>
          </cell>
          <cell r="AC1765">
            <v>45708</v>
          </cell>
        </row>
        <row r="1766">
          <cell r="I1766" t="str">
            <v>EDI</v>
          </cell>
          <cell r="L1766">
            <v>3641</v>
          </cell>
          <cell r="N1766" t="str">
            <v>Production</v>
          </cell>
          <cell r="O1766" t="str">
            <v>No</v>
          </cell>
          <cell r="Q1766" t="str">
            <v>Cancelled</v>
          </cell>
          <cell r="R1766">
            <v>45670.765335648153</v>
          </cell>
          <cell r="S1766" t="str">
            <v>Ahmed Ali</v>
          </cell>
          <cell r="T1766">
            <v>45698</v>
          </cell>
          <cell r="U1766" t="str">
            <v>KJ Ampy</v>
          </cell>
          <cell r="V1766">
            <v>45707</v>
          </cell>
          <cell r="W1766">
            <v>45782</v>
          </cell>
          <cell r="Y1766">
            <v>45697</v>
          </cell>
          <cell r="AC1766">
            <v>45779</v>
          </cell>
        </row>
        <row r="1767">
          <cell r="I1767" t="str">
            <v>EDI</v>
          </cell>
          <cell r="L1767">
            <v>3633</v>
          </cell>
          <cell r="N1767" t="str">
            <v>Production</v>
          </cell>
          <cell r="O1767" t="str">
            <v>No</v>
          </cell>
          <cell r="Q1767" t="str">
            <v>Live</v>
          </cell>
          <cell r="R1767">
            <v>45670.765335648153</v>
          </cell>
          <cell r="S1767" t="str">
            <v>Marwan Tawfik</v>
          </cell>
          <cell r="T1767">
            <v>45693</v>
          </cell>
          <cell r="U1767" t="str">
            <v>KJ Ampy</v>
          </cell>
          <cell r="V1767">
            <v>45704</v>
          </cell>
          <cell r="W1767">
            <v>45729</v>
          </cell>
          <cell r="Y1767">
            <v>45683</v>
          </cell>
          <cell r="AC1767">
            <v>45728</v>
          </cell>
        </row>
        <row r="1768">
          <cell r="I1768" t="str">
            <v>EDI</v>
          </cell>
          <cell r="L1768">
            <v>3634</v>
          </cell>
          <cell r="N1768" t="str">
            <v>Production</v>
          </cell>
          <cell r="O1768" t="str">
            <v>No</v>
          </cell>
          <cell r="Q1768" t="str">
            <v>Live</v>
          </cell>
          <cell r="R1768">
            <v>45670.765335648153</v>
          </cell>
          <cell r="S1768" t="str">
            <v>Marwan Tawfik</v>
          </cell>
          <cell r="T1768">
            <v>45693</v>
          </cell>
          <cell r="U1768" t="str">
            <v>KJ Ampy</v>
          </cell>
          <cell r="V1768">
            <v>45729</v>
          </cell>
          <cell r="W1768">
            <v>45819</v>
          </cell>
          <cell r="Y1768">
            <v>45678</v>
          </cell>
          <cell r="AC1768">
            <v>45803</v>
          </cell>
        </row>
        <row r="1769">
          <cell r="I1769" t="str">
            <v>EDI</v>
          </cell>
          <cell r="L1769">
            <v>3628</v>
          </cell>
          <cell r="N1769" t="str">
            <v>Production</v>
          </cell>
          <cell r="O1769" t="str">
            <v>No</v>
          </cell>
          <cell r="Q1769" t="str">
            <v>Live</v>
          </cell>
          <cell r="R1769">
            <v>45670.759085648147</v>
          </cell>
          <cell r="S1769" t="str">
            <v>Karim Tarek</v>
          </cell>
          <cell r="T1769">
            <v>45693</v>
          </cell>
          <cell r="U1769" t="str">
            <v>Trish Kalinczok</v>
          </cell>
          <cell r="V1769">
            <v>45698</v>
          </cell>
          <cell r="W1769">
            <v>45705</v>
          </cell>
          <cell r="Y1769">
            <v>45680</v>
          </cell>
          <cell r="AC1769">
            <v>45700</v>
          </cell>
        </row>
        <row r="1770">
          <cell r="I1770" t="str">
            <v>EDI</v>
          </cell>
          <cell r="L1770">
            <v>3036</v>
          </cell>
          <cell r="N1770" t="str">
            <v>Production</v>
          </cell>
          <cell r="O1770" t="str">
            <v>No</v>
          </cell>
          <cell r="Q1770" t="str">
            <v>Live</v>
          </cell>
          <cell r="R1770">
            <v>45670.756724537037</v>
          </cell>
          <cell r="S1770" t="str">
            <v>Rasha Wadie</v>
          </cell>
          <cell r="T1770">
            <v>45671</v>
          </cell>
          <cell r="U1770" t="str">
            <v>Trish Kalinczok</v>
          </cell>
          <cell r="V1770">
            <v>45434</v>
          </cell>
          <cell r="W1770">
            <v>45496</v>
          </cell>
          <cell r="AC1770">
            <v>45677</v>
          </cell>
        </row>
        <row r="1771">
          <cell r="I1771" t="str">
            <v>EDI</v>
          </cell>
          <cell r="L1771">
            <v>3051</v>
          </cell>
          <cell r="N1771" t="str">
            <v>Production</v>
          </cell>
          <cell r="O1771" t="str">
            <v>No</v>
          </cell>
          <cell r="Q1771" t="str">
            <v>Live</v>
          </cell>
          <cell r="R1771">
            <v>45670.756724537037</v>
          </cell>
          <cell r="S1771" t="str">
            <v>Rasha Wadie</v>
          </cell>
          <cell r="T1771">
            <v>45671</v>
          </cell>
          <cell r="U1771" t="str">
            <v>Trish Kalinczok</v>
          </cell>
          <cell r="V1771">
            <v>45441</v>
          </cell>
          <cell r="W1771">
            <v>45488</v>
          </cell>
          <cell r="AC1771">
            <v>45683</v>
          </cell>
        </row>
        <row r="1772">
          <cell r="I1772" t="str">
            <v>EDI</v>
          </cell>
          <cell r="L1772">
            <v>3034</v>
          </cell>
          <cell r="N1772" t="str">
            <v>Production</v>
          </cell>
          <cell r="O1772" t="str">
            <v>No</v>
          </cell>
          <cell r="Q1772" t="str">
            <v>Cancelled</v>
          </cell>
          <cell r="R1772">
            <v>45670.756712962961</v>
          </cell>
          <cell r="S1772" t="str">
            <v>Rasha Wadie</v>
          </cell>
          <cell r="T1772">
            <v>45671</v>
          </cell>
          <cell r="U1772" t="str">
            <v>Trish Kalinczok</v>
          </cell>
          <cell r="V1772">
            <v>45431</v>
          </cell>
          <cell r="W1772">
            <v>45460</v>
          </cell>
          <cell r="AC1772">
            <v>45712</v>
          </cell>
        </row>
        <row r="1773">
          <cell r="I1773" t="str">
            <v>EDI</v>
          </cell>
          <cell r="L1773">
            <v>3628</v>
          </cell>
          <cell r="N1773" t="str">
            <v>Production</v>
          </cell>
          <cell r="O1773" t="str">
            <v>No</v>
          </cell>
          <cell r="Q1773" t="str">
            <v>Live</v>
          </cell>
          <cell r="R1773">
            <v>45670.756712962961</v>
          </cell>
          <cell r="S1773" t="str">
            <v>Dina Medhat</v>
          </cell>
          <cell r="T1773">
            <v>45672</v>
          </cell>
          <cell r="U1773" t="str">
            <v>Trish Kalinczok</v>
          </cell>
          <cell r="V1773">
            <v>45698</v>
          </cell>
          <cell r="W1773">
            <v>45705</v>
          </cell>
          <cell r="AC1773">
            <v>45700</v>
          </cell>
        </row>
        <row r="1774">
          <cell r="I1774" t="str">
            <v>EDI</v>
          </cell>
          <cell r="L1774">
            <v>3625</v>
          </cell>
          <cell r="N1774" t="str">
            <v>Production</v>
          </cell>
          <cell r="O1774" t="str">
            <v>No</v>
          </cell>
          <cell r="Q1774" t="str">
            <v>Cancelled</v>
          </cell>
          <cell r="R1774">
            <v>45670.648298611108</v>
          </cell>
          <cell r="S1774" t="str">
            <v>Andrew Ramy</v>
          </cell>
          <cell r="T1774">
            <v>45693</v>
          </cell>
          <cell r="U1774" t="str">
            <v>Gregory Dubec</v>
          </cell>
          <cell r="V1774">
            <v>45719</v>
          </cell>
          <cell r="W1774">
            <v>45757</v>
          </cell>
          <cell r="Y1774">
            <v>45685</v>
          </cell>
          <cell r="AC1774">
            <v>45755</v>
          </cell>
        </row>
        <row r="1775">
          <cell r="I1775" t="str">
            <v>EDI</v>
          </cell>
          <cell r="L1775">
            <v>3597</v>
          </cell>
          <cell r="N1775" t="str">
            <v>Production</v>
          </cell>
          <cell r="O1775" t="str">
            <v>No</v>
          </cell>
          <cell r="Q1775" t="str">
            <v>Live</v>
          </cell>
          <cell r="R1775">
            <v>45667.960185185177</v>
          </cell>
          <cell r="S1775" t="str">
            <v>Mina George</v>
          </cell>
          <cell r="T1775">
            <v>45733</v>
          </cell>
          <cell r="U1775" t="str">
            <v>Tammy Davies</v>
          </cell>
          <cell r="V1775">
            <v>45719</v>
          </cell>
          <cell r="W1775">
            <v>45763</v>
          </cell>
          <cell r="Y1775">
            <v>45673</v>
          </cell>
          <cell r="AC1775">
            <v>45763</v>
          </cell>
        </row>
        <row r="1776">
          <cell r="I1776" t="str">
            <v>EDI</v>
          </cell>
          <cell r="L1776">
            <v>3620</v>
          </cell>
          <cell r="N1776" t="str">
            <v>Production</v>
          </cell>
          <cell r="O1776" t="str">
            <v>No</v>
          </cell>
          <cell r="Q1776" t="str">
            <v>Live</v>
          </cell>
          <cell r="R1776">
            <v>45667.960185185177</v>
          </cell>
          <cell r="S1776" t="str">
            <v>Mina George</v>
          </cell>
          <cell r="T1776">
            <v>45733</v>
          </cell>
          <cell r="U1776" t="str">
            <v>Tammy Davies</v>
          </cell>
          <cell r="V1776">
            <v>25569</v>
          </cell>
          <cell r="W1776">
            <v>45749</v>
          </cell>
          <cell r="Y1776">
            <v>45685</v>
          </cell>
          <cell r="AC1776">
            <v>45749</v>
          </cell>
        </row>
        <row r="1777">
          <cell r="I1777" t="str">
            <v>EDI</v>
          </cell>
          <cell r="L1777">
            <v>3599</v>
          </cell>
          <cell r="N1777" t="str">
            <v>Production</v>
          </cell>
          <cell r="O1777" t="str">
            <v>No</v>
          </cell>
          <cell r="Q1777" t="str">
            <v>Cancelled</v>
          </cell>
          <cell r="R1777">
            <v>45667.960185185177</v>
          </cell>
          <cell r="S1777" t="str">
            <v>Aya Fathy</v>
          </cell>
          <cell r="T1777">
            <v>45733</v>
          </cell>
          <cell r="U1777" t="str">
            <v>Tammy Davies</v>
          </cell>
          <cell r="V1777">
            <v>45711</v>
          </cell>
          <cell r="W1777">
            <v>45840</v>
          </cell>
          <cell r="Y1777">
            <v>45673</v>
          </cell>
          <cell r="AC1777">
            <v>45826</v>
          </cell>
        </row>
        <row r="1778">
          <cell r="I1778" t="str">
            <v>EDI</v>
          </cell>
          <cell r="L1778">
            <v>3621</v>
          </cell>
          <cell r="N1778" t="str">
            <v>Production</v>
          </cell>
          <cell r="O1778" t="str">
            <v>No</v>
          </cell>
          <cell r="Q1778" t="str">
            <v>Live</v>
          </cell>
          <cell r="R1778">
            <v>45667.951956018522</v>
          </cell>
          <cell r="S1778" t="str">
            <v>Mina George</v>
          </cell>
          <cell r="T1778">
            <v>45733</v>
          </cell>
          <cell r="U1778" t="str">
            <v>Tammy Davies</v>
          </cell>
          <cell r="V1778">
            <v>45718</v>
          </cell>
          <cell r="W1778">
            <v>45749</v>
          </cell>
          <cell r="Y1778">
            <v>45688</v>
          </cell>
          <cell r="AC1778">
            <v>45749</v>
          </cell>
        </row>
        <row r="1779">
          <cell r="I1779" t="str">
            <v>EDI</v>
          </cell>
          <cell r="L1779">
            <v>3702</v>
          </cell>
          <cell r="N1779" t="str">
            <v>Production</v>
          </cell>
          <cell r="O1779" t="str">
            <v>No</v>
          </cell>
          <cell r="Q1779" t="str">
            <v>Cancelled</v>
          </cell>
          <cell r="R1779">
            <v>45667.951944444438</v>
          </cell>
          <cell r="S1779" t="str">
            <v>Aya Fathy</v>
          </cell>
          <cell r="T1779">
            <v>45713</v>
          </cell>
          <cell r="U1779" t="str">
            <v>Tammy Davies</v>
          </cell>
          <cell r="V1779">
            <v>45722</v>
          </cell>
          <cell r="W1779">
            <v>45854</v>
          </cell>
          <cell r="Y1779">
            <v>45713</v>
          </cell>
          <cell r="AC1779">
            <v>45848</v>
          </cell>
        </row>
        <row r="1780">
          <cell r="I1780" t="str">
            <v>EDI</v>
          </cell>
          <cell r="L1780">
            <v>3588</v>
          </cell>
          <cell r="N1780" t="str">
            <v>Production</v>
          </cell>
          <cell r="O1780" t="str">
            <v>No</v>
          </cell>
          <cell r="Q1780" t="str">
            <v>Live</v>
          </cell>
          <cell r="R1780">
            <v>45667.833321759259</v>
          </cell>
          <cell r="S1780" t="str">
            <v>Nada Ashraf</v>
          </cell>
          <cell r="T1780">
            <v>45679</v>
          </cell>
          <cell r="U1780" t="str">
            <v>Julie Lombardi</v>
          </cell>
          <cell r="V1780">
            <v>45685</v>
          </cell>
          <cell r="W1780">
            <v>45736</v>
          </cell>
          <cell r="Y1780">
            <v>45673</v>
          </cell>
          <cell r="AC1780">
            <v>45734</v>
          </cell>
        </row>
        <row r="1781">
          <cell r="I1781" t="str">
            <v>EDI</v>
          </cell>
          <cell r="L1781">
            <v>3636</v>
          </cell>
          <cell r="N1781" t="str">
            <v>Production</v>
          </cell>
          <cell r="O1781" t="str">
            <v>No</v>
          </cell>
          <cell r="Q1781" t="str">
            <v>Live</v>
          </cell>
          <cell r="R1781">
            <v>45667.833310185182</v>
          </cell>
          <cell r="S1781" t="str">
            <v>Mina George</v>
          </cell>
          <cell r="T1781">
            <v>45783</v>
          </cell>
          <cell r="U1781" t="str">
            <v>Julie Lombardi</v>
          </cell>
          <cell r="V1781">
            <v>45783</v>
          </cell>
          <cell r="W1781">
            <v>45808</v>
          </cell>
          <cell r="Y1781">
            <v>45693</v>
          </cell>
          <cell r="AC1781">
            <v>45805</v>
          </cell>
        </row>
        <row r="1782">
          <cell r="I1782" t="str">
            <v>EDI</v>
          </cell>
          <cell r="L1782">
            <v>3610</v>
          </cell>
          <cell r="N1782" t="str">
            <v>Production</v>
          </cell>
          <cell r="O1782" t="str">
            <v>No</v>
          </cell>
          <cell r="Q1782" t="str">
            <v>Live</v>
          </cell>
          <cell r="R1782">
            <v>45667.817314814813</v>
          </cell>
          <cell r="S1782" t="str">
            <v>Ahmed Ali</v>
          </cell>
          <cell r="T1782">
            <v>45691</v>
          </cell>
          <cell r="U1782" t="str">
            <v>Julie Lombardi</v>
          </cell>
          <cell r="V1782">
            <v>25569</v>
          </cell>
          <cell r="W1782">
            <v>25569</v>
          </cell>
          <cell r="Y1782">
            <v>45678</v>
          </cell>
          <cell r="AC1782">
            <v>45769</v>
          </cell>
        </row>
        <row r="1783">
          <cell r="I1783" t="str">
            <v>EDI</v>
          </cell>
          <cell r="L1783">
            <v>3701</v>
          </cell>
          <cell r="N1783" t="str">
            <v>Production</v>
          </cell>
          <cell r="O1783" t="str">
            <v>No</v>
          </cell>
          <cell r="Q1783" t="str">
            <v>Live</v>
          </cell>
          <cell r="R1783">
            <v>45667.801574074067</v>
          </cell>
          <cell r="S1783" t="str">
            <v>Andrew Ramy</v>
          </cell>
          <cell r="T1783">
            <v>45712</v>
          </cell>
          <cell r="U1783" t="str">
            <v>Tammy Davies</v>
          </cell>
          <cell r="V1783">
            <v>45742</v>
          </cell>
          <cell r="W1783">
            <v>46176</v>
          </cell>
          <cell r="Y1783">
            <v>45711</v>
          </cell>
          <cell r="AC1783">
            <v>46174</v>
          </cell>
        </row>
        <row r="1784">
          <cell r="I1784" t="str">
            <v>EDI</v>
          </cell>
          <cell r="L1784">
            <v>3831</v>
          </cell>
          <cell r="N1784" t="str">
            <v>Production</v>
          </cell>
          <cell r="O1784" t="str">
            <v>No</v>
          </cell>
          <cell r="Q1784" t="str">
            <v>Live</v>
          </cell>
          <cell r="R1784">
            <v>45667.801562499997</v>
          </cell>
          <cell r="S1784" t="str">
            <v>Andrew Ramy</v>
          </cell>
          <cell r="T1784">
            <v>45771</v>
          </cell>
          <cell r="U1784" t="str">
            <v>Tammy Davies</v>
          </cell>
          <cell r="V1784">
            <v>45797</v>
          </cell>
          <cell r="W1784">
            <v>45818</v>
          </cell>
          <cell r="Y1784">
            <v>45770</v>
          </cell>
          <cell r="AC1784">
            <v>45818</v>
          </cell>
        </row>
        <row r="1785">
          <cell r="I1785" t="str">
            <v>EDI</v>
          </cell>
          <cell r="L1785">
            <v>3631</v>
          </cell>
          <cell r="N1785" t="str">
            <v>Production</v>
          </cell>
          <cell r="O1785" t="str">
            <v>No</v>
          </cell>
          <cell r="Q1785" t="str">
            <v>Live</v>
          </cell>
          <cell r="R1785">
            <v>45667.694965277777</v>
          </cell>
          <cell r="S1785" t="str">
            <v>Mirna Azmy</v>
          </cell>
          <cell r="T1785">
            <v>45692</v>
          </cell>
          <cell r="U1785" t="str">
            <v>Tammy Davies</v>
          </cell>
          <cell r="V1785">
            <v>45725</v>
          </cell>
          <cell r="W1785">
            <v>45769</v>
          </cell>
          <cell r="Y1785">
            <v>45685</v>
          </cell>
          <cell r="AC1785">
            <v>45764</v>
          </cell>
        </row>
        <row r="1786">
          <cell r="I1786" t="str">
            <v>EDI</v>
          </cell>
          <cell r="L1786">
            <v>3622</v>
          </cell>
          <cell r="N1786" t="str">
            <v>Production</v>
          </cell>
          <cell r="O1786" t="str">
            <v>No</v>
          </cell>
          <cell r="Q1786" t="str">
            <v>Live</v>
          </cell>
          <cell r="R1786">
            <v>45667.62940972222</v>
          </cell>
          <cell r="S1786" t="str">
            <v>Alaa Yehia</v>
          </cell>
          <cell r="T1786">
            <v>45692</v>
          </cell>
          <cell r="U1786" t="str">
            <v>Tammy Davies</v>
          </cell>
          <cell r="V1786">
            <v>45750</v>
          </cell>
          <cell r="W1786">
            <v>45847</v>
          </cell>
          <cell r="Y1786">
            <v>45688</v>
          </cell>
          <cell r="AC1786">
            <v>45847</v>
          </cell>
        </row>
        <row r="1787">
          <cell r="I1787" t="str">
            <v>EDI</v>
          </cell>
          <cell r="L1787">
            <v>3694</v>
          </cell>
          <cell r="N1787" t="str">
            <v>Production</v>
          </cell>
          <cell r="O1787" t="str">
            <v>No</v>
          </cell>
          <cell r="Q1787" t="str">
            <v>Live</v>
          </cell>
          <cell r="R1787">
            <v>45667.598807870367</v>
          </cell>
          <cell r="S1787" t="str">
            <v>Aya Fathy</v>
          </cell>
          <cell r="T1787">
            <v>45708</v>
          </cell>
          <cell r="U1787" t="str">
            <v>Hans De Grouw</v>
          </cell>
          <cell r="V1787">
            <v>45712</v>
          </cell>
          <cell r="W1787">
            <v>45764</v>
          </cell>
          <cell r="Y1787">
            <v>45706</v>
          </cell>
          <cell r="AC1787">
            <v>45762</v>
          </cell>
        </row>
        <row r="1788">
          <cell r="I1788" t="str">
            <v>EDI</v>
          </cell>
          <cell r="L1788">
            <v>3613</v>
          </cell>
          <cell r="N1788" t="str">
            <v>Production</v>
          </cell>
          <cell r="O1788" t="str">
            <v>No</v>
          </cell>
          <cell r="Q1788" t="str">
            <v>Live</v>
          </cell>
          <cell r="R1788">
            <v>45666.87295138889</v>
          </cell>
          <cell r="S1788" t="str">
            <v>Omnia Abdelaziz</v>
          </cell>
          <cell r="T1788">
            <v>45691</v>
          </cell>
          <cell r="U1788" t="str">
            <v>Rhettsmey Meak</v>
          </cell>
          <cell r="V1788">
            <v>45700</v>
          </cell>
          <cell r="W1788">
            <v>45716</v>
          </cell>
          <cell r="Y1788">
            <v>45688</v>
          </cell>
          <cell r="AC1788">
            <v>45709</v>
          </cell>
        </row>
        <row r="1789">
          <cell r="I1789" t="str">
            <v>EDI</v>
          </cell>
          <cell r="L1789">
            <v>3608</v>
          </cell>
          <cell r="N1789" t="str">
            <v>Production</v>
          </cell>
          <cell r="O1789" t="str">
            <v>No</v>
          </cell>
          <cell r="Q1789" t="str">
            <v>Live</v>
          </cell>
          <cell r="R1789">
            <v>45666.871249999997</v>
          </cell>
          <cell r="S1789" t="str">
            <v>Karim Tarek</v>
          </cell>
          <cell r="T1789">
            <v>45687</v>
          </cell>
          <cell r="U1789" t="str">
            <v>Rhettsmey Meak</v>
          </cell>
          <cell r="V1789">
            <v>45692</v>
          </cell>
          <cell r="W1789">
            <v>45695</v>
          </cell>
          <cell r="Y1789">
            <v>45673</v>
          </cell>
          <cell r="AC1789">
            <v>45695</v>
          </cell>
        </row>
        <row r="1790">
          <cell r="I1790" t="str">
            <v>EDI</v>
          </cell>
          <cell r="L1790">
            <v>3609</v>
          </cell>
          <cell r="N1790" t="str">
            <v>Production</v>
          </cell>
          <cell r="O1790" t="str">
            <v>No</v>
          </cell>
          <cell r="Q1790" t="str">
            <v>Live</v>
          </cell>
          <cell r="R1790">
            <v>45666.869895833333</v>
          </cell>
          <cell r="S1790" t="str">
            <v>Karim Tarek</v>
          </cell>
          <cell r="T1790">
            <v>45687</v>
          </cell>
          <cell r="U1790" t="str">
            <v>Rhettsmey Meak</v>
          </cell>
          <cell r="V1790">
            <v>45705</v>
          </cell>
          <cell r="W1790">
            <v>25569</v>
          </cell>
          <cell r="Y1790">
            <v>45686</v>
          </cell>
          <cell r="AC1790">
            <v>45715</v>
          </cell>
        </row>
        <row r="1791">
          <cell r="I1791" t="str">
            <v>EDI</v>
          </cell>
          <cell r="L1791">
            <v>3612</v>
          </cell>
          <cell r="N1791" t="str">
            <v>Production</v>
          </cell>
          <cell r="O1791" t="str">
            <v>No</v>
          </cell>
          <cell r="Q1791" t="str">
            <v>Live</v>
          </cell>
          <cell r="R1791">
            <v>45666.863136574073</v>
          </cell>
          <cell r="S1791" t="str">
            <v>Omnia Abdelaziz</v>
          </cell>
          <cell r="T1791">
            <v>45691</v>
          </cell>
          <cell r="U1791" t="str">
            <v>Rhettsmey Meak</v>
          </cell>
          <cell r="V1791">
            <v>45707</v>
          </cell>
          <cell r="W1791">
            <v>45720</v>
          </cell>
          <cell r="Y1791">
            <v>45688</v>
          </cell>
          <cell r="AC1791">
            <v>45707</v>
          </cell>
        </row>
        <row r="1792">
          <cell r="I1792" t="str">
            <v>EDI</v>
          </cell>
          <cell r="L1792">
            <v>3658</v>
          </cell>
          <cell r="N1792" t="str">
            <v>Production</v>
          </cell>
          <cell r="O1792" t="str">
            <v>No</v>
          </cell>
          <cell r="Q1792" t="str">
            <v>Cancelled</v>
          </cell>
          <cell r="R1792">
            <v>45666.706817129627</v>
          </cell>
          <cell r="S1792" t="str">
            <v>Zeyad Khaled</v>
          </cell>
          <cell r="T1792">
            <v>45698</v>
          </cell>
          <cell r="U1792" t="str">
            <v>Rhettsmey Meak</v>
          </cell>
          <cell r="V1792">
            <v>45707</v>
          </cell>
          <cell r="W1792">
            <v>45722</v>
          </cell>
          <cell r="Y1792">
            <v>45694</v>
          </cell>
          <cell r="AC1792">
            <v>45722</v>
          </cell>
        </row>
        <row r="1793">
          <cell r="I1793" t="str">
            <v>EDI</v>
          </cell>
          <cell r="L1793">
            <v>3743</v>
          </cell>
          <cell r="N1793" t="str">
            <v>Production</v>
          </cell>
          <cell r="O1793" t="str">
            <v>No</v>
          </cell>
          <cell r="Q1793" t="str">
            <v>Cancelled</v>
          </cell>
          <cell r="R1793">
            <v>45666.704814814817</v>
          </cell>
          <cell r="S1793" t="str">
            <v>Amr Salah</v>
          </cell>
          <cell r="T1793">
            <v>45720</v>
          </cell>
          <cell r="U1793" t="str">
            <v>Rhettsmey Meak</v>
          </cell>
          <cell r="V1793">
            <v>45741</v>
          </cell>
          <cell r="W1793">
            <v>45807</v>
          </cell>
          <cell r="Y1793">
            <v>45718</v>
          </cell>
          <cell r="AC1793">
            <v>45805</v>
          </cell>
        </row>
        <row r="1794">
          <cell r="I1794" t="str">
            <v>EDI</v>
          </cell>
          <cell r="L1794">
            <v>3570</v>
          </cell>
          <cell r="N1794" t="str">
            <v>Production</v>
          </cell>
          <cell r="O1794" t="str">
            <v>No</v>
          </cell>
          <cell r="Q1794" t="str">
            <v>Live</v>
          </cell>
          <cell r="R1794">
            <v>45666.683437500003</v>
          </cell>
          <cell r="S1794" t="str">
            <v>Amr Salah</v>
          </cell>
          <cell r="T1794">
            <v>45673</v>
          </cell>
          <cell r="U1794" t="str">
            <v>Trish Kalinczok</v>
          </cell>
          <cell r="V1794">
            <v>45691</v>
          </cell>
          <cell r="W1794">
            <v>45705</v>
          </cell>
          <cell r="Y1794">
            <v>45672</v>
          </cell>
          <cell r="AC1794">
            <v>45704</v>
          </cell>
        </row>
        <row r="1795">
          <cell r="I1795" t="str">
            <v>EDI</v>
          </cell>
          <cell r="L1795">
            <v>3569</v>
          </cell>
          <cell r="N1795" t="str">
            <v>Production</v>
          </cell>
          <cell r="O1795" t="str">
            <v>No</v>
          </cell>
          <cell r="Q1795" t="str">
            <v>Live</v>
          </cell>
          <cell r="R1795">
            <v>45666.678090277783</v>
          </cell>
          <cell r="S1795" t="str">
            <v>Reem Radwan</v>
          </cell>
          <cell r="T1795">
            <v>45673</v>
          </cell>
          <cell r="U1795" t="str">
            <v>Trish Kalinczok</v>
          </cell>
          <cell r="V1795">
            <v>45690</v>
          </cell>
          <cell r="W1795">
            <v>45698</v>
          </cell>
          <cell r="Y1795">
            <v>45672</v>
          </cell>
          <cell r="AC1795">
            <v>45694</v>
          </cell>
        </row>
        <row r="1796">
          <cell r="I1796" t="str">
            <v>EDI</v>
          </cell>
          <cell r="L1796">
            <v>3564</v>
          </cell>
          <cell r="N1796" t="str">
            <v>Production</v>
          </cell>
          <cell r="O1796" t="str">
            <v>No</v>
          </cell>
          <cell r="Q1796" t="str">
            <v>Cancelled</v>
          </cell>
          <cell r="R1796">
            <v>45666.618773148148</v>
          </cell>
          <cell r="S1796" t="str">
            <v>Mirna Azmy</v>
          </cell>
          <cell r="T1796">
            <v>45673</v>
          </cell>
          <cell r="U1796" t="str">
            <v>Rhettsmey Meak</v>
          </cell>
          <cell r="V1796">
            <v>45678</v>
          </cell>
          <cell r="W1796">
            <v>45695</v>
          </cell>
          <cell r="Y1796">
            <v>45673</v>
          </cell>
          <cell r="AC1796">
            <v>45694</v>
          </cell>
        </row>
        <row r="1797">
          <cell r="I1797" t="str">
            <v>EDI</v>
          </cell>
          <cell r="L1797">
            <v>3580</v>
          </cell>
          <cell r="N1797" t="str">
            <v>Production</v>
          </cell>
          <cell r="O1797" t="str">
            <v>No</v>
          </cell>
          <cell r="Q1797" t="str">
            <v>Live</v>
          </cell>
          <cell r="R1797">
            <v>45666.614305555559</v>
          </cell>
          <cell r="S1797" t="str">
            <v>Mirna Azmy</v>
          </cell>
          <cell r="T1797">
            <v>45677</v>
          </cell>
          <cell r="U1797" t="str">
            <v>Rhettsmey Meak</v>
          </cell>
          <cell r="V1797">
            <v>45694</v>
          </cell>
          <cell r="W1797">
            <v>45701</v>
          </cell>
          <cell r="Y1797">
            <v>45673</v>
          </cell>
          <cell r="AC1797">
            <v>45701</v>
          </cell>
        </row>
        <row r="1798">
          <cell r="I1798" t="str">
            <v>EDI</v>
          </cell>
          <cell r="L1798">
            <v>2095</v>
          </cell>
          <cell r="N1798" t="str">
            <v>Production</v>
          </cell>
          <cell r="O1798" t="str">
            <v>No</v>
          </cell>
          <cell r="Q1798" t="str">
            <v>Live</v>
          </cell>
          <cell r="R1798">
            <v>45666.597013888888</v>
          </cell>
          <cell r="S1798" t="str">
            <v>Rasha Wadie</v>
          </cell>
          <cell r="T1798">
            <v>45669</v>
          </cell>
          <cell r="U1798" t="str">
            <v>Robbie Schappell</v>
          </cell>
          <cell r="V1798">
            <v>45075</v>
          </cell>
          <cell r="W1798">
            <v>45265</v>
          </cell>
          <cell r="AC1798">
            <v>45763</v>
          </cell>
        </row>
        <row r="1799">
          <cell r="I1799" t="str">
            <v>EDI</v>
          </cell>
          <cell r="L1799">
            <v>2098</v>
          </cell>
          <cell r="N1799" t="str">
            <v>Production</v>
          </cell>
          <cell r="O1799" t="str">
            <v>No</v>
          </cell>
          <cell r="Q1799" t="str">
            <v>Live</v>
          </cell>
          <cell r="R1799">
            <v>45666.597002314818</v>
          </cell>
          <cell r="S1799" t="str">
            <v>Rasha Wadie</v>
          </cell>
          <cell r="T1799">
            <v>45669</v>
          </cell>
          <cell r="U1799" t="str">
            <v>Robbie Schappell</v>
          </cell>
          <cell r="W1799">
            <v>45209</v>
          </cell>
          <cell r="AC1799">
            <v>45673</v>
          </cell>
        </row>
        <row r="1800">
          <cell r="I1800" t="str">
            <v>EDI</v>
          </cell>
          <cell r="L1800">
            <v>3591</v>
          </cell>
          <cell r="N1800" t="str">
            <v>Production</v>
          </cell>
          <cell r="O1800" t="str">
            <v>No</v>
          </cell>
          <cell r="Q1800" t="str">
            <v>Live</v>
          </cell>
          <cell r="R1800">
            <v>45665.788657407407</v>
          </cell>
          <cell r="S1800" t="str">
            <v>Aya Fathy</v>
          </cell>
          <cell r="T1800">
            <v>45683</v>
          </cell>
          <cell r="U1800" t="str">
            <v>Trish Kalinczok</v>
          </cell>
          <cell r="V1800">
            <v>45684</v>
          </cell>
          <cell r="W1800">
            <v>45712</v>
          </cell>
          <cell r="Y1800">
            <v>45677</v>
          </cell>
          <cell r="AC1800">
            <v>45707</v>
          </cell>
        </row>
        <row r="1801">
          <cell r="I1801" t="str">
            <v>EDI</v>
          </cell>
          <cell r="L1801">
            <v>3626</v>
          </cell>
          <cell r="N1801" t="str">
            <v>Production</v>
          </cell>
          <cell r="O1801" t="str">
            <v>No</v>
          </cell>
          <cell r="Q1801" t="str">
            <v>Live</v>
          </cell>
          <cell r="R1801">
            <v>45665.773402777777</v>
          </cell>
          <cell r="S1801" t="str">
            <v>Amr Salah</v>
          </cell>
          <cell r="T1801">
            <v>45692</v>
          </cell>
          <cell r="U1801" t="str">
            <v>Trish Kalinczok</v>
          </cell>
          <cell r="V1801">
            <v>45719</v>
          </cell>
          <cell r="W1801">
            <v>45761</v>
          </cell>
          <cell r="Y1801">
            <v>45690</v>
          </cell>
          <cell r="AC1801">
            <v>45761</v>
          </cell>
        </row>
        <row r="1802">
          <cell r="I1802" t="str">
            <v>EDI</v>
          </cell>
          <cell r="L1802">
            <v>3567</v>
          </cell>
          <cell r="N1802" t="str">
            <v>Production</v>
          </cell>
          <cell r="O1802" t="str">
            <v>No</v>
          </cell>
          <cell r="Q1802" t="str">
            <v>Live</v>
          </cell>
          <cell r="R1802">
            <v>45665.7733912037</v>
          </cell>
          <cell r="S1802" t="str">
            <v>Aya Fathy</v>
          </cell>
          <cell r="T1802">
            <v>45673</v>
          </cell>
          <cell r="U1802" t="str">
            <v>Trish Kalinczok</v>
          </cell>
          <cell r="V1802">
            <v>45692</v>
          </cell>
          <cell r="W1802">
            <v>45803</v>
          </cell>
          <cell r="Y1802">
            <v>45672</v>
          </cell>
          <cell r="AC1802">
            <v>45802</v>
          </cell>
        </row>
        <row r="1803">
          <cell r="I1803" t="str">
            <v>EDI</v>
          </cell>
          <cell r="L1803">
            <v>3635</v>
          </cell>
          <cell r="N1803" t="str">
            <v>Production</v>
          </cell>
          <cell r="O1803" t="str">
            <v>No</v>
          </cell>
          <cell r="Q1803" t="str">
            <v>Live</v>
          </cell>
          <cell r="R1803">
            <v>45665.7733912037</v>
          </cell>
          <cell r="S1803" t="str">
            <v>Hazem Rostom</v>
          </cell>
          <cell r="T1803">
            <v>45687</v>
          </cell>
          <cell r="U1803" t="str">
            <v>Trish Kalinczok</v>
          </cell>
          <cell r="V1803">
            <v>45733</v>
          </cell>
          <cell r="W1803">
            <v>45783</v>
          </cell>
          <cell r="Y1803">
            <v>45685</v>
          </cell>
          <cell r="AC1803">
            <v>45783</v>
          </cell>
        </row>
        <row r="1804">
          <cell r="I1804" t="str">
            <v>EDI</v>
          </cell>
          <cell r="L1804">
            <v>3677</v>
          </cell>
          <cell r="N1804" t="str">
            <v>Production</v>
          </cell>
          <cell r="O1804" t="str">
            <v>No</v>
          </cell>
          <cell r="Q1804" t="str">
            <v>Live</v>
          </cell>
          <cell r="R1804">
            <v>45665.75640046296</v>
          </cell>
          <cell r="S1804" t="str">
            <v>Ahmed Ali</v>
          </cell>
          <cell r="T1804">
            <v>45705</v>
          </cell>
          <cell r="U1804" t="str">
            <v>Rhettsmey Meak</v>
          </cell>
          <cell r="V1804">
            <v>45760</v>
          </cell>
          <cell r="W1804">
            <v>45811</v>
          </cell>
          <cell r="Y1804">
            <v>45704</v>
          </cell>
          <cell r="AC1804">
            <v>45809</v>
          </cell>
        </row>
        <row r="1805">
          <cell r="I1805" t="str">
            <v>EDI</v>
          </cell>
          <cell r="L1805">
            <v>3678</v>
          </cell>
          <cell r="N1805" t="str">
            <v>Production</v>
          </cell>
          <cell r="O1805" t="str">
            <v>No</v>
          </cell>
          <cell r="Q1805" t="str">
            <v>Live</v>
          </cell>
          <cell r="R1805">
            <v>45665.664027777777</v>
          </cell>
          <cell r="S1805" t="str">
            <v>Alaa Yehia</v>
          </cell>
          <cell r="T1805">
            <v>45777</v>
          </cell>
          <cell r="U1805" t="str">
            <v>Scott Henrehan</v>
          </cell>
          <cell r="V1805">
            <v>45757</v>
          </cell>
          <cell r="W1805">
            <v>45855</v>
          </cell>
          <cell r="Y1805">
            <v>45694</v>
          </cell>
          <cell r="AC1805">
            <v>45854</v>
          </cell>
        </row>
        <row r="1806">
          <cell r="I1806" t="str">
            <v>EDI</v>
          </cell>
          <cell r="L1806">
            <v>3640</v>
          </cell>
          <cell r="N1806" t="str">
            <v>Production</v>
          </cell>
          <cell r="O1806" t="str">
            <v>No</v>
          </cell>
          <cell r="Q1806" t="str">
            <v>Live</v>
          </cell>
          <cell r="R1806">
            <v>45665.656967592593</v>
          </cell>
          <cell r="S1806" t="str">
            <v>Joseph Atef</v>
          </cell>
          <cell r="T1806">
            <v>45687</v>
          </cell>
          <cell r="U1806" t="str">
            <v>Rhettsmey Meak</v>
          </cell>
          <cell r="V1806">
            <v>45706</v>
          </cell>
          <cell r="W1806">
            <v>45736</v>
          </cell>
          <cell r="Y1806">
            <v>45686</v>
          </cell>
          <cell r="AC1806">
            <v>45735</v>
          </cell>
        </row>
        <row r="1807">
          <cell r="I1807" t="str">
            <v>EDI</v>
          </cell>
          <cell r="L1807">
            <v>3596</v>
          </cell>
          <cell r="N1807" t="str">
            <v>Production</v>
          </cell>
          <cell r="O1807" t="str">
            <v>No</v>
          </cell>
          <cell r="Q1807" t="str">
            <v>Cancelled</v>
          </cell>
          <cell r="R1807">
            <v>45665.61855324074</v>
          </cell>
          <cell r="S1807" t="str">
            <v>Reem Radwan</v>
          </cell>
          <cell r="T1807">
            <v>45684</v>
          </cell>
          <cell r="U1807" t="str">
            <v>Rhettsmey Meak</v>
          </cell>
          <cell r="V1807">
            <v>45713</v>
          </cell>
          <cell r="W1807">
            <v>45750</v>
          </cell>
          <cell r="Y1807">
            <v>45679</v>
          </cell>
          <cell r="AC1807">
            <v>45749</v>
          </cell>
        </row>
        <row r="1808">
          <cell r="I1808" t="str">
            <v>EDI</v>
          </cell>
          <cell r="L1808">
            <v>3616</v>
          </cell>
          <cell r="N1808" t="str">
            <v>Production</v>
          </cell>
          <cell r="O1808" t="str">
            <v>No</v>
          </cell>
          <cell r="Q1808" t="str">
            <v>Live</v>
          </cell>
          <cell r="R1808">
            <v>45664.857210648152</v>
          </cell>
          <cell r="S1808" t="str">
            <v>Zeyad Khaled</v>
          </cell>
          <cell r="T1808">
            <v>45687</v>
          </cell>
          <cell r="U1808" t="str">
            <v>Gregory Dubec</v>
          </cell>
          <cell r="V1808">
            <v>45743</v>
          </cell>
          <cell r="W1808">
            <v>25569</v>
          </cell>
          <cell r="Y1808">
            <v>45684</v>
          </cell>
          <cell r="AC1808">
            <v>45777</v>
          </cell>
        </row>
        <row r="1809">
          <cell r="I1809" t="str">
            <v>EDI</v>
          </cell>
          <cell r="L1809">
            <v>3559</v>
          </cell>
          <cell r="N1809" t="str">
            <v>Production</v>
          </cell>
          <cell r="O1809" t="str">
            <v>No</v>
          </cell>
          <cell r="Q1809" t="str">
            <v>Live</v>
          </cell>
          <cell r="R1809">
            <v>45664.627581018518</v>
          </cell>
          <cell r="S1809" t="str">
            <v>Dina Medhat</v>
          </cell>
          <cell r="T1809">
            <v>45665</v>
          </cell>
          <cell r="U1809" t="str">
            <v>Trish Kalinczok</v>
          </cell>
          <cell r="V1809">
            <v>45692</v>
          </cell>
          <cell r="W1809">
            <v>45733</v>
          </cell>
          <cell r="AC1809">
            <v>45778</v>
          </cell>
        </row>
        <row r="1810">
          <cell r="I1810" t="str">
            <v>EDI</v>
          </cell>
          <cell r="L1810">
            <v>3559</v>
          </cell>
          <cell r="N1810" t="str">
            <v>Production</v>
          </cell>
          <cell r="O1810" t="str">
            <v>No</v>
          </cell>
          <cell r="Q1810" t="str">
            <v>Live</v>
          </cell>
          <cell r="R1810">
            <v>45664.6247337963</v>
          </cell>
          <cell r="S1810" t="str">
            <v>Nada Ashraf</v>
          </cell>
          <cell r="T1810">
            <v>45669</v>
          </cell>
          <cell r="U1810" t="str">
            <v>Trish Kalinczok</v>
          </cell>
          <cell r="V1810">
            <v>45692</v>
          </cell>
          <cell r="W1810">
            <v>45733</v>
          </cell>
          <cell r="Y1810">
            <v>45667</v>
          </cell>
          <cell r="AC1810">
            <v>45729</v>
          </cell>
        </row>
        <row r="1811">
          <cell r="I1811" t="str">
            <v>EDI</v>
          </cell>
          <cell r="L1811">
            <v>3715</v>
          </cell>
          <cell r="N1811" t="str">
            <v>Production</v>
          </cell>
          <cell r="O1811" t="str">
            <v>No</v>
          </cell>
          <cell r="Q1811" t="str">
            <v>Live</v>
          </cell>
          <cell r="R1811">
            <v>45664.007847222223</v>
          </cell>
          <cell r="S1811" t="str">
            <v>Joseph Atef</v>
          </cell>
          <cell r="T1811">
            <v>45715</v>
          </cell>
          <cell r="U1811" t="str">
            <v>Matt Howell</v>
          </cell>
          <cell r="V1811">
            <v>45736</v>
          </cell>
          <cell r="W1811">
            <v>45765</v>
          </cell>
          <cell r="Y1811">
            <v>45714</v>
          </cell>
          <cell r="AC1811">
            <v>45763</v>
          </cell>
        </row>
        <row r="1812">
          <cell r="I1812" t="str">
            <v>EDI</v>
          </cell>
          <cell r="L1812">
            <v>3586</v>
          </cell>
          <cell r="N1812" t="str">
            <v>Production</v>
          </cell>
          <cell r="O1812" t="str">
            <v>No</v>
          </cell>
          <cell r="Q1812" t="str">
            <v>Live</v>
          </cell>
          <cell r="R1812">
            <v>45664.000821759262</v>
          </cell>
          <cell r="S1812" t="str">
            <v>Zeyad Khaled</v>
          </cell>
          <cell r="T1812">
            <v>45679</v>
          </cell>
          <cell r="U1812" t="str">
            <v>Matt Howell</v>
          </cell>
          <cell r="V1812">
            <v>45680</v>
          </cell>
          <cell r="W1812">
            <v>45778</v>
          </cell>
          <cell r="Y1812">
            <v>45674</v>
          </cell>
          <cell r="AC1812">
            <v>45783</v>
          </cell>
        </row>
        <row r="1813">
          <cell r="I1813" t="str">
            <v>EDI</v>
          </cell>
          <cell r="L1813">
            <v>3657</v>
          </cell>
          <cell r="N1813" t="str">
            <v>Production</v>
          </cell>
          <cell r="O1813" t="str">
            <v>No</v>
          </cell>
          <cell r="Q1813" t="str">
            <v>Cancelled</v>
          </cell>
          <cell r="R1813">
            <v>45663.833229166667</v>
          </cell>
          <cell r="S1813" t="str">
            <v>Zeyad Khaled</v>
          </cell>
          <cell r="T1813">
            <v>45691</v>
          </cell>
          <cell r="U1813" t="str">
            <v>Gregory Dubec</v>
          </cell>
          <cell r="V1813">
            <v>45714</v>
          </cell>
          <cell r="W1813">
            <v>45736</v>
          </cell>
          <cell r="Y1813">
            <v>45687</v>
          </cell>
          <cell r="AC1813">
            <v>45735</v>
          </cell>
        </row>
        <row r="1814">
          <cell r="I1814" t="str">
            <v>EDI</v>
          </cell>
          <cell r="L1814">
            <v>3604</v>
          </cell>
          <cell r="N1814" t="str">
            <v>Production</v>
          </cell>
          <cell r="O1814" t="str">
            <v>No</v>
          </cell>
          <cell r="Q1814" t="str">
            <v>Live</v>
          </cell>
          <cell r="R1814">
            <v>45663.720104166663</v>
          </cell>
          <cell r="S1814" t="str">
            <v>Nada Ashraf</v>
          </cell>
          <cell r="T1814">
            <v>45686</v>
          </cell>
          <cell r="U1814" t="str">
            <v>Rosalie Whitty</v>
          </cell>
          <cell r="V1814">
            <v>45706</v>
          </cell>
          <cell r="W1814">
            <v>45747</v>
          </cell>
          <cell r="Y1814">
            <v>45684</v>
          </cell>
          <cell r="AC1814">
            <v>45747</v>
          </cell>
        </row>
        <row r="1815">
          <cell r="I1815" t="str">
            <v>EDI</v>
          </cell>
          <cell r="L1815">
            <v>3598</v>
          </cell>
          <cell r="N1815" t="str">
            <v>Production</v>
          </cell>
          <cell r="O1815" t="str">
            <v>No</v>
          </cell>
          <cell r="Q1815" t="str">
            <v>Live</v>
          </cell>
          <cell r="R1815">
            <v>45663.720092592594</v>
          </cell>
          <cell r="S1815" t="str">
            <v>Omnia Abdelaziz</v>
          </cell>
          <cell r="T1815">
            <v>45683</v>
          </cell>
          <cell r="U1815" t="str">
            <v>Rosalie Whitty</v>
          </cell>
          <cell r="V1815">
            <v>45691</v>
          </cell>
          <cell r="W1815">
            <v>45698</v>
          </cell>
          <cell r="Y1815">
            <v>45683</v>
          </cell>
          <cell r="AC1815">
            <v>45693</v>
          </cell>
        </row>
        <row r="1816">
          <cell r="I1816" t="str">
            <v>EDI</v>
          </cell>
          <cell r="L1816">
            <v>3558</v>
          </cell>
          <cell r="N1816" t="str">
            <v>Production</v>
          </cell>
          <cell r="O1816" t="str">
            <v>No</v>
          </cell>
          <cell r="Q1816" t="str">
            <v>Live</v>
          </cell>
          <cell r="R1816">
            <v>45660.886354166672</v>
          </cell>
          <cell r="S1816" t="str">
            <v>Omnia Abdelaziz</v>
          </cell>
          <cell r="T1816">
            <v>45666</v>
          </cell>
          <cell r="U1816" t="str">
            <v>Trish Kalinczok</v>
          </cell>
          <cell r="V1816">
            <v>45691</v>
          </cell>
          <cell r="W1816">
            <v>45705</v>
          </cell>
          <cell r="Y1816">
            <v>45665</v>
          </cell>
          <cell r="AC1816">
            <v>45705</v>
          </cell>
        </row>
        <row r="1817">
          <cell r="I1817" t="str">
            <v>EDI</v>
          </cell>
          <cell r="L1817">
            <v>3605</v>
          </cell>
          <cell r="N1817" t="str">
            <v>Production</v>
          </cell>
          <cell r="O1817" t="str">
            <v>No</v>
          </cell>
          <cell r="Q1817" t="str">
            <v>Live</v>
          </cell>
          <cell r="R1817">
            <v>45660.886354166672</v>
          </cell>
          <cell r="S1817" t="str">
            <v>Marwan Tawfik</v>
          </cell>
          <cell r="T1817">
            <v>45687</v>
          </cell>
          <cell r="U1817" t="str">
            <v>Trish Kalinczok</v>
          </cell>
          <cell r="V1817">
            <v>45697</v>
          </cell>
          <cell r="W1817">
            <v>45803</v>
          </cell>
          <cell r="Y1817">
            <v>45686</v>
          </cell>
          <cell r="AC1817">
            <v>45797</v>
          </cell>
        </row>
        <row r="1818">
          <cell r="I1818" t="str">
            <v>EDI</v>
          </cell>
          <cell r="L1818">
            <v>3557</v>
          </cell>
          <cell r="N1818" t="str">
            <v>Production</v>
          </cell>
          <cell r="O1818" t="str">
            <v>No</v>
          </cell>
          <cell r="Q1818" t="str">
            <v>Live</v>
          </cell>
          <cell r="R1818">
            <v>45660.854872685188</v>
          </cell>
          <cell r="S1818" t="str">
            <v>Omnia Abdelaziz</v>
          </cell>
          <cell r="T1818">
            <v>45666</v>
          </cell>
          <cell r="U1818" t="str">
            <v>Trish Kalinczok</v>
          </cell>
          <cell r="V1818">
            <v>45694</v>
          </cell>
          <cell r="W1818">
            <v>45733</v>
          </cell>
          <cell r="Y1818">
            <v>45665</v>
          </cell>
          <cell r="AC1818">
            <v>45726</v>
          </cell>
        </row>
        <row r="1819">
          <cell r="I1819" t="str">
            <v>EDI</v>
          </cell>
          <cell r="L1819">
            <v>2607</v>
          </cell>
          <cell r="N1819" t="str">
            <v>Production</v>
          </cell>
          <cell r="O1819" t="str">
            <v>No</v>
          </cell>
          <cell r="Q1819" t="str">
            <v>Live</v>
          </cell>
          <cell r="R1819">
            <v>45660.658425925933</v>
          </cell>
          <cell r="S1819" t="str">
            <v>Rasha Wadie</v>
          </cell>
          <cell r="T1819">
            <v>45671</v>
          </cell>
          <cell r="U1819" t="str">
            <v>Kayla Szczepanski</v>
          </cell>
          <cell r="V1819">
            <v>25569</v>
          </cell>
          <cell r="W1819">
            <v>45390</v>
          </cell>
          <cell r="AC1819">
            <v>45684</v>
          </cell>
        </row>
        <row r="1820">
          <cell r="I1820" t="str">
            <v>EDI</v>
          </cell>
          <cell r="L1820">
            <v>1821</v>
          </cell>
          <cell r="N1820" t="str">
            <v>Production</v>
          </cell>
          <cell r="O1820" t="str">
            <v>No</v>
          </cell>
          <cell r="Q1820" t="str">
            <v>Live</v>
          </cell>
          <cell r="R1820">
            <v>45660.632141203707</v>
          </cell>
          <cell r="U1820" t="str">
            <v>Kayla Szczepanski</v>
          </cell>
          <cell r="V1820">
            <v>44974</v>
          </cell>
          <cell r="W1820">
            <v>45019</v>
          </cell>
          <cell r="AC1820">
            <v>45662</v>
          </cell>
        </row>
        <row r="1821">
          <cell r="I1821" t="str">
            <v>EDI</v>
          </cell>
          <cell r="L1821">
            <v>3585</v>
          </cell>
          <cell r="N1821" t="str">
            <v>Production</v>
          </cell>
          <cell r="O1821" t="str">
            <v>No</v>
          </cell>
          <cell r="Q1821" t="str">
            <v>Live</v>
          </cell>
          <cell r="R1821">
            <v>45659.976921296293</v>
          </cell>
          <cell r="S1821" t="str">
            <v>Aya Fathy</v>
          </cell>
          <cell r="T1821">
            <v>45679</v>
          </cell>
          <cell r="U1821" t="str">
            <v>Trish Kalinczok</v>
          </cell>
          <cell r="V1821">
            <v>45697</v>
          </cell>
          <cell r="W1821">
            <v>45719</v>
          </cell>
          <cell r="Y1821">
            <v>45673</v>
          </cell>
          <cell r="AC1821">
            <v>45711</v>
          </cell>
        </row>
        <row r="1822">
          <cell r="I1822" t="str">
            <v>EDI</v>
          </cell>
          <cell r="L1822">
            <v>3692</v>
          </cell>
          <cell r="N1822" t="str">
            <v>Production</v>
          </cell>
          <cell r="O1822" t="str">
            <v>No</v>
          </cell>
          <cell r="Q1822" t="str">
            <v>Live</v>
          </cell>
          <cell r="R1822">
            <v>45659.883888888893</v>
          </cell>
          <cell r="S1822" t="str">
            <v>Amr Salah</v>
          </cell>
          <cell r="T1822">
            <v>45708</v>
          </cell>
          <cell r="U1822" t="str">
            <v>Tyler  Raposa</v>
          </cell>
          <cell r="V1822">
            <v>45753</v>
          </cell>
          <cell r="W1822">
            <v>45810</v>
          </cell>
          <cell r="Y1822">
            <v>45706</v>
          </cell>
          <cell r="AC1822">
            <v>45803</v>
          </cell>
        </row>
        <row r="1823">
          <cell r="I1823" t="str">
            <v>EDI</v>
          </cell>
          <cell r="N1823" t="str">
            <v>Requirements Gathering</v>
          </cell>
          <cell r="O1823" t="str">
            <v>No</v>
          </cell>
          <cell r="Q1823" t="str">
            <v>Cancelled</v>
          </cell>
          <cell r="R1823">
            <v>45659.883888888893</v>
          </cell>
          <cell r="S1823" t="str">
            <v>Lourina Edmon</v>
          </cell>
          <cell r="T1823">
            <v>45662</v>
          </cell>
          <cell r="U1823" t="str">
            <v>Tyler  Raposa</v>
          </cell>
        </row>
        <row r="1824">
          <cell r="I1824" t="str">
            <v>EDI</v>
          </cell>
          <cell r="L1824">
            <v>3576</v>
          </cell>
          <cell r="N1824" t="str">
            <v>Production</v>
          </cell>
          <cell r="O1824" t="str">
            <v>No</v>
          </cell>
          <cell r="Q1824" t="str">
            <v>Live</v>
          </cell>
          <cell r="R1824">
            <v>45659.868530092594</v>
          </cell>
          <cell r="S1824" t="str">
            <v>Marwan Tawfik</v>
          </cell>
          <cell r="T1824">
            <v>45677</v>
          </cell>
          <cell r="U1824" t="str">
            <v>Trish Kalinczok</v>
          </cell>
          <cell r="V1824">
            <v>45697</v>
          </cell>
          <cell r="W1824">
            <v>45719</v>
          </cell>
          <cell r="Y1824">
            <v>45673</v>
          </cell>
          <cell r="AC1824">
            <v>45715</v>
          </cell>
        </row>
        <row r="1825">
          <cell r="I1825" t="str">
            <v>EDI</v>
          </cell>
          <cell r="L1825">
            <v>3665</v>
          </cell>
          <cell r="N1825" t="str">
            <v>Production</v>
          </cell>
          <cell r="O1825" t="str">
            <v>No</v>
          </cell>
          <cell r="Q1825" t="str">
            <v>Live</v>
          </cell>
          <cell r="R1825">
            <v>45659.625636574077</v>
          </cell>
          <cell r="S1825" t="str">
            <v>Omnia Abdelaziz</v>
          </cell>
          <cell r="T1825">
            <v>45701</v>
          </cell>
          <cell r="U1825" t="str">
            <v>Robbie Schappell</v>
          </cell>
          <cell r="V1825">
            <v>45714</v>
          </cell>
          <cell r="W1825">
            <v>45790</v>
          </cell>
          <cell r="Y1825">
            <v>45701</v>
          </cell>
          <cell r="AC1825">
            <v>45789</v>
          </cell>
        </row>
        <row r="1826">
          <cell r="I1826" t="str">
            <v>EDI</v>
          </cell>
          <cell r="L1826">
            <v>3619</v>
          </cell>
          <cell r="N1826" t="str">
            <v>Mapping</v>
          </cell>
          <cell r="O1826" t="str">
            <v>No</v>
          </cell>
          <cell r="Q1826" t="str">
            <v>Cancelled</v>
          </cell>
          <cell r="R1826">
            <v>45657.934016203697</v>
          </cell>
          <cell r="S1826" t="str">
            <v>Noha Moustafa</v>
          </cell>
          <cell r="T1826">
            <v>45691</v>
          </cell>
          <cell r="U1826" t="str">
            <v>Gregory Dubec</v>
          </cell>
          <cell r="Y1826">
            <v>45688</v>
          </cell>
        </row>
        <row r="1827">
          <cell r="I1827" t="str">
            <v>EDI</v>
          </cell>
          <cell r="L1827">
            <v>3618</v>
          </cell>
          <cell r="N1827" t="str">
            <v>Mapping</v>
          </cell>
          <cell r="O1827" t="str">
            <v>No</v>
          </cell>
          <cell r="Q1827" t="str">
            <v>Cancelled</v>
          </cell>
          <cell r="R1827">
            <v>45657.934016203697</v>
          </cell>
          <cell r="S1827" t="str">
            <v>Aya Fathy</v>
          </cell>
          <cell r="T1827">
            <v>45686</v>
          </cell>
          <cell r="U1827" t="str">
            <v>Gregory Dubec</v>
          </cell>
          <cell r="Y1827">
            <v>45684</v>
          </cell>
        </row>
        <row r="1828">
          <cell r="I1828" t="str">
            <v>EDI</v>
          </cell>
          <cell r="N1828" t="str">
            <v>Requirements Gathering</v>
          </cell>
          <cell r="O1828" t="str">
            <v>No</v>
          </cell>
          <cell r="Q1828" t="str">
            <v>Cancelled</v>
          </cell>
          <cell r="R1828">
            <v>45657.934016203697</v>
          </cell>
          <cell r="S1828" t="str">
            <v>Abdulrahman Tarek</v>
          </cell>
          <cell r="T1828">
            <v>45659</v>
          </cell>
          <cell r="U1828" t="str">
            <v>Gregory Dubec</v>
          </cell>
        </row>
        <row r="1829">
          <cell r="I1829" t="str">
            <v>EDI</v>
          </cell>
          <cell r="L1829">
            <v>3615</v>
          </cell>
          <cell r="N1829" t="str">
            <v>Production</v>
          </cell>
          <cell r="O1829" t="str">
            <v>No</v>
          </cell>
          <cell r="Q1829" t="str">
            <v>Live</v>
          </cell>
          <cell r="R1829">
            <v>45657.766215277778</v>
          </cell>
          <cell r="S1829" t="str">
            <v>Alaa Yehia</v>
          </cell>
          <cell r="T1829">
            <v>45777</v>
          </cell>
          <cell r="U1829" t="str">
            <v>Carolina Tanoue</v>
          </cell>
          <cell r="V1829">
            <v>45713</v>
          </cell>
          <cell r="W1829">
            <v>45824</v>
          </cell>
          <cell r="Y1829">
            <v>45678</v>
          </cell>
          <cell r="AC1829">
            <v>45818</v>
          </cell>
        </row>
        <row r="1830">
          <cell r="I1830" t="str">
            <v>Forms</v>
          </cell>
          <cell r="L1830" t="str">
            <v>[3534]</v>
          </cell>
          <cell r="N1830" t="str">
            <v>Testing</v>
          </cell>
          <cell r="O1830" t="str">
            <v>Everything Benefits</v>
          </cell>
          <cell r="P1830" t="str">
            <v>Phase 3</v>
          </cell>
          <cell r="Q1830" t="str">
            <v>Cancelled</v>
          </cell>
          <cell r="R1830">
            <v>45657.612453703703</v>
          </cell>
          <cell r="S1830" t="str">
            <v>Karen Ramy</v>
          </cell>
          <cell r="T1830">
            <v>45665</v>
          </cell>
          <cell r="U1830" t="str">
            <v>Trish Kalinczok</v>
          </cell>
        </row>
        <row r="1831">
          <cell r="I1831" t="str">
            <v>EDI</v>
          </cell>
          <cell r="L1831">
            <v>3606</v>
          </cell>
          <cell r="N1831" t="str">
            <v>Production</v>
          </cell>
          <cell r="O1831" t="str">
            <v>No</v>
          </cell>
          <cell r="Q1831" t="str">
            <v>Live</v>
          </cell>
          <cell r="R1831">
            <v>45656.964907407397</v>
          </cell>
          <cell r="S1831" t="str">
            <v>Karim Tarek</v>
          </cell>
          <cell r="T1831">
            <v>45777</v>
          </cell>
          <cell r="U1831" t="str">
            <v>Tyler  Raposa</v>
          </cell>
          <cell r="V1831">
            <v>45744</v>
          </cell>
          <cell r="W1831">
            <v>45832</v>
          </cell>
          <cell r="Y1831">
            <v>45673</v>
          </cell>
          <cell r="AC1831">
            <v>45832</v>
          </cell>
        </row>
        <row r="1832">
          <cell r="I1832" t="str">
            <v>EDI</v>
          </cell>
          <cell r="L1832">
            <v>3587</v>
          </cell>
          <cell r="N1832" t="str">
            <v>Production</v>
          </cell>
          <cell r="O1832" t="str">
            <v>No</v>
          </cell>
          <cell r="Q1832" t="str">
            <v>Live</v>
          </cell>
          <cell r="R1832">
            <v>45656.904351851852</v>
          </cell>
          <cell r="S1832" t="str">
            <v>Andrew Ramy</v>
          </cell>
          <cell r="T1832">
            <v>45679</v>
          </cell>
          <cell r="U1832" t="str">
            <v>Scott Henrehan</v>
          </cell>
          <cell r="V1832">
            <v>45685</v>
          </cell>
          <cell r="W1832">
            <v>45769</v>
          </cell>
          <cell r="Y1832">
            <v>45677</v>
          </cell>
          <cell r="AC1832">
            <v>45769</v>
          </cell>
        </row>
        <row r="1833">
          <cell r="I1833" t="str">
            <v>Forms</v>
          </cell>
          <cell r="L1833" t="str">
            <v>[3532]</v>
          </cell>
          <cell r="N1833" t="str">
            <v>Testing</v>
          </cell>
          <cell r="O1833" t="str">
            <v>No</v>
          </cell>
          <cell r="Q1833" t="str">
            <v>Cancelled</v>
          </cell>
          <cell r="R1833">
            <v>45656.74628472222</v>
          </cell>
          <cell r="S1833" t="str">
            <v>Ahmed Ali</v>
          </cell>
          <cell r="T1833">
            <v>45665</v>
          </cell>
          <cell r="U1833" t="str">
            <v>Trish Kalinczok</v>
          </cell>
          <cell r="Y1833">
            <v>45657</v>
          </cell>
        </row>
        <row r="1834">
          <cell r="I1834" t="str">
            <v>EDI</v>
          </cell>
          <cell r="L1834">
            <v>3552</v>
          </cell>
          <cell r="N1834" t="str">
            <v>Production</v>
          </cell>
          <cell r="O1834" t="str">
            <v>No</v>
          </cell>
          <cell r="Q1834" t="str">
            <v>Live</v>
          </cell>
          <cell r="R1834">
            <v>45656.725972222222</v>
          </cell>
          <cell r="S1834" t="str">
            <v>Alaa Yehia</v>
          </cell>
          <cell r="T1834">
            <v>45669</v>
          </cell>
          <cell r="U1834" t="str">
            <v>Trish Kalinczok</v>
          </cell>
          <cell r="V1834">
            <v>45674</v>
          </cell>
          <cell r="W1834">
            <v>45740</v>
          </cell>
          <cell r="Y1834">
            <v>45667</v>
          </cell>
          <cell r="AC1834">
            <v>45737</v>
          </cell>
        </row>
        <row r="1835">
          <cell r="I1835" t="str">
            <v>EDI</v>
          </cell>
          <cell r="L1835">
            <v>3553</v>
          </cell>
          <cell r="N1835" t="str">
            <v>Production</v>
          </cell>
          <cell r="O1835" t="str">
            <v>No</v>
          </cell>
          <cell r="Q1835" t="str">
            <v>Live</v>
          </cell>
          <cell r="R1835">
            <v>45656.653402777767</v>
          </cell>
          <cell r="S1835" t="str">
            <v>Aya Fathy</v>
          </cell>
          <cell r="T1835">
            <v>45670</v>
          </cell>
          <cell r="U1835" t="str">
            <v>Trish Kalinczok</v>
          </cell>
          <cell r="V1835">
            <v>45678</v>
          </cell>
          <cell r="W1835">
            <v>45789</v>
          </cell>
          <cell r="Y1835">
            <v>45668</v>
          </cell>
          <cell r="AC1835">
            <v>45784</v>
          </cell>
        </row>
        <row r="1836">
          <cell r="I1836" t="str">
            <v>Forms</v>
          </cell>
          <cell r="L1836" t="str">
            <v>[3514]</v>
          </cell>
          <cell r="N1836" t="str">
            <v>Testing</v>
          </cell>
          <cell r="O1836" t="str">
            <v>Everything Benefits</v>
          </cell>
          <cell r="P1836" t="str">
            <v>Migration Testing</v>
          </cell>
          <cell r="Q1836" t="str">
            <v>Cancelled</v>
          </cell>
          <cell r="R1836">
            <v>45656.646608796298</v>
          </cell>
          <cell r="S1836" t="str">
            <v>Reem Radwan</v>
          </cell>
          <cell r="T1836">
            <v>45657</v>
          </cell>
          <cell r="U1836" t="str">
            <v>Trish Kalinczok</v>
          </cell>
          <cell r="Y1836">
            <v>45657</v>
          </cell>
        </row>
        <row r="1837">
          <cell r="I1837" t="str">
            <v>Forms</v>
          </cell>
          <cell r="L1837" t="str">
            <v>[3600]</v>
          </cell>
          <cell r="N1837" t="str">
            <v>Testing</v>
          </cell>
          <cell r="O1837" t="str">
            <v>Everything Benefits</v>
          </cell>
          <cell r="P1837" t="str">
            <v>Migration Testing</v>
          </cell>
          <cell r="Q1837" t="str">
            <v>Cancelled</v>
          </cell>
          <cell r="R1837">
            <v>45656.641400462962</v>
          </cell>
          <cell r="S1837" t="str">
            <v>Reem Radwan</v>
          </cell>
          <cell r="T1837">
            <v>45662</v>
          </cell>
          <cell r="U1837" t="str">
            <v>Trish Kalinczok</v>
          </cell>
          <cell r="Y1837">
            <v>45657</v>
          </cell>
        </row>
        <row r="1838">
          <cell r="I1838" t="str">
            <v>EDI</v>
          </cell>
          <cell r="L1838">
            <v>3562</v>
          </cell>
          <cell r="N1838" t="str">
            <v>Production</v>
          </cell>
          <cell r="O1838" t="str">
            <v>No</v>
          </cell>
          <cell r="Q1838" t="str">
            <v>Live</v>
          </cell>
          <cell r="R1838">
            <v>45653.826828703714</v>
          </cell>
          <cell r="S1838" t="str">
            <v>Alaa Yehia</v>
          </cell>
          <cell r="T1838">
            <v>45666</v>
          </cell>
          <cell r="U1838" t="str">
            <v>Trish Kalinczok</v>
          </cell>
          <cell r="V1838">
            <v>45674</v>
          </cell>
          <cell r="W1838">
            <v>45698</v>
          </cell>
          <cell r="Y1838">
            <v>45656</v>
          </cell>
          <cell r="AC1838">
            <v>45694</v>
          </cell>
        </row>
        <row r="1839">
          <cell r="I1839" t="str">
            <v>EDI</v>
          </cell>
          <cell r="L1839">
            <v>3537</v>
          </cell>
          <cell r="N1839" t="str">
            <v>Production</v>
          </cell>
          <cell r="O1839" t="str">
            <v>No</v>
          </cell>
          <cell r="Q1839" t="str">
            <v>Live</v>
          </cell>
          <cell r="R1839">
            <v>45653.699907407397</v>
          </cell>
          <cell r="S1839" t="str">
            <v>Hazem Rostom</v>
          </cell>
          <cell r="T1839">
            <v>45666</v>
          </cell>
          <cell r="U1839" t="str">
            <v>Julie Lombardi</v>
          </cell>
          <cell r="V1839">
            <v>46063</v>
          </cell>
          <cell r="W1839">
            <v>45715</v>
          </cell>
          <cell r="Y1839">
            <v>45663</v>
          </cell>
          <cell r="AC1839">
            <v>45715</v>
          </cell>
        </row>
        <row r="1840">
          <cell r="I1840" t="str">
            <v>EDI</v>
          </cell>
          <cell r="L1840">
            <v>3584</v>
          </cell>
          <cell r="N1840" t="str">
            <v>Production</v>
          </cell>
          <cell r="O1840" t="str">
            <v>No</v>
          </cell>
          <cell r="Q1840" t="str">
            <v>Live</v>
          </cell>
          <cell r="R1840">
            <v>45652.862881944442</v>
          </cell>
          <cell r="S1840" t="str">
            <v>Andrew Ramy</v>
          </cell>
          <cell r="T1840">
            <v>45679</v>
          </cell>
          <cell r="U1840" t="str">
            <v>Gregory Dubec</v>
          </cell>
          <cell r="V1840">
            <v>45685</v>
          </cell>
          <cell r="W1840">
            <v>45715</v>
          </cell>
          <cell r="Y1840">
            <v>45673</v>
          </cell>
          <cell r="AC1840">
            <v>45709</v>
          </cell>
        </row>
        <row r="1841">
          <cell r="I1841" t="str">
            <v>EDI</v>
          </cell>
          <cell r="L1841">
            <v>3555</v>
          </cell>
          <cell r="N1841" t="str">
            <v>Production</v>
          </cell>
          <cell r="O1841" t="str">
            <v>No</v>
          </cell>
          <cell r="Q1841" t="str">
            <v>Cancelled</v>
          </cell>
          <cell r="R1841">
            <v>45650.829074074078</v>
          </cell>
          <cell r="S1841" t="str">
            <v>Joseph Atef</v>
          </cell>
          <cell r="T1841">
            <v>45666</v>
          </cell>
          <cell r="U1841" t="str">
            <v>Gregory Dubec</v>
          </cell>
          <cell r="V1841">
            <v>45693</v>
          </cell>
          <cell r="W1841">
            <v>45735</v>
          </cell>
          <cell r="Y1841">
            <v>45654</v>
          </cell>
          <cell r="AC1841">
            <v>45733</v>
          </cell>
        </row>
        <row r="1842">
          <cell r="I1842" t="str">
            <v>EDI</v>
          </cell>
          <cell r="L1842">
            <v>3563</v>
          </cell>
          <cell r="N1842" t="str">
            <v>Production</v>
          </cell>
          <cell r="O1842" t="str">
            <v>No</v>
          </cell>
          <cell r="Q1842" t="str">
            <v>Live</v>
          </cell>
          <cell r="R1842">
            <v>45649.875590277778</v>
          </cell>
          <cell r="S1842" t="str">
            <v>Zeyad Khaled</v>
          </cell>
          <cell r="T1842">
            <v>45663</v>
          </cell>
          <cell r="U1842" t="str">
            <v>Trish Kalinczok</v>
          </cell>
          <cell r="V1842">
            <v>45677</v>
          </cell>
          <cell r="W1842">
            <v>45691</v>
          </cell>
          <cell r="Y1842">
            <v>45651</v>
          </cell>
          <cell r="AC1842">
            <v>45686</v>
          </cell>
        </row>
        <row r="1843">
          <cell r="I1843" t="str">
            <v>EDI</v>
          </cell>
          <cell r="L1843">
            <v>3541</v>
          </cell>
          <cell r="N1843" t="str">
            <v>Production</v>
          </cell>
          <cell r="O1843" t="str">
            <v>No</v>
          </cell>
          <cell r="Q1843" t="str">
            <v>Live</v>
          </cell>
          <cell r="R1843">
            <v>45649.870289351849</v>
          </cell>
          <cell r="S1843" t="str">
            <v>Nada Ashraf</v>
          </cell>
          <cell r="T1843">
            <v>45666</v>
          </cell>
          <cell r="U1843" t="str">
            <v>Gregory Dubec</v>
          </cell>
          <cell r="V1843">
            <v>45678</v>
          </cell>
          <cell r="W1843">
            <v>45701</v>
          </cell>
          <cell r="Y1843">
            <v>45656</v>
          </cell>
          <cell r="AC1843">
            <v>45701</v>
          </cell>
        </row>
        <row r="1844">
          <cell r="I1844" t="str">
            <v>EDI</v>
          </cell>
          <cell r="L1844">
            <v>3710</v>
          </cell>
          <cell r="N1844" t="str">
            <v>Testing</v>
          </cell>
          <cell r="O1844" t="str">
            <v>No</v>
          </cell>
          <cell r="Q1844" t="str">
            <v>Cancelled</v>
          </cell>
          <cell r="R1844">
            <v>45646.999155092592</v>
          </cell>
          <cell r="S1844" t="str">
            <v>Andrew Ramy</v>
          </cell>
          <cell r="T1844">
            <v>45839</v>
          </cell>
          <cell r="U1844" t="str">
            <v>Carolina Tanoue</v>
          </cell>
          <cell r="V1844">
            <v>45783</v>
          </cell>
          <cell r="Y1844">
            <v>45713</v>
          </cell>
        </row>
        <row r="1845">
          <cell r="I1845" t="str">
            <v>EDI</v>
          </cell>
          <cell r="L1845">
            <v>3579</v>
          </cell>
          <cell r="N1845" t="str">
            <v>Production</v>
          </cell>
          <cell r="O1845" t="str">
            <v>No</v>
          </cell>
          <cell r="Q1845" t="str">
            <v>Live</v>
          </cell>
          <cell r="R1845">
            <v>45646.830069444448</v>
          </cell>
          <cell r="S1845" t="str">
            <v>Zeyad Khaled</v>
          </cell>
          <cell r="T1845">
            <v>45666</v>
          </cell>
          <cell r="U1845" t="str">
            <v>Tammy Davies</v>
          </cell>
          <cell r="V1845">
            <v>45691</v>
          </cell>
          <cell r="W1845">
            <v>45736</v>
          </cell>
          <cell r="Y1845">
            <v>45651</v>
          </cell>
          <cell r="AC1845">
            <v>45734</v>
          </cell>
        </row>
        <row r="1846">
          <cell r="I1846" t="str">
            <v>EDI</v>
          </cell>
          <cell r="L1846">
            <v>3568</v>
          </cell>
          <cell r="N1846" t="str">
            <v>Production</v>
          </cell>
          <cell r="O1846" t="str">
            <v>No</v>
          </cell>
          <cell r="Q1846" t="str">
            <v>Live</v>
          </cell>
          <cell r="R1846">
            <v>45646.830057870371</v>
          </cell>
          <cell r="S1846" t="str">
            <v>Zeyad Khaled</v>
          </cell>
          <cell r="T1846">
            <v>45666</v>
          </cell>
          <cell r="U1846" t="str">
            <v>Tammy Davies</v>
          </cell>
          <cell r="V1846">
            <v>45685</v>
          </cell>
          <cell r="W1846">
            <v>45768</v>
          </cell>
          <cell r="Y1846">
            <v>45663</v>
          </cell>
          <cell r="AC1846">
            <v>45763</v>
          </cell>
        </row>
        <row r="1847">
          <cell r="I1847" t="str">
            <v>EDI</v>
          </cell>
          <cell r="L1847">
            <v>3574</v>
          </cell>
          <cell r="N1847" t="str">
            <v>Production</v>
          </cell>
          <cell r="O1847" t="str">
            <v>No</v>
          </cell>
          <cell r="Q1847" t="str">
            <v>Cancelled</v>
          </cell>
          <cell r="R1847">
            <v>45646.567256944443</v>
          </cell>
          <cell r="S1847" t="str">
            <v>Zeyad Khaled</v>
          </cell>
          <cell r="T1847">
            <v>45669</v>
          </cell>
          <cell r="U1847" t="str">
            <v>Hans De Grouw</v>
          </cell>
          <cell r="V1847">
            <v>45687</v>
          </cell>
          <cell r="W1847">
            <v>45743</v>
          </cell>
          <cell r="Y1847">
            <v>45668</v>
          </cell>
          <cell r="AC1847">
            <v>45740</v>
          </cell>
        </row>
        <row r="1848">
          <cell r="I1848" t="str">
            <v>EDI</v>
          </cell>
          <cell r="L1848">
            <v>3583</v>
          </cell>
          <cell r="N1848" t="str">
            <v>Ready for Production</v>
          </cell>
          <cell r="O1848" t="str">
            <v>No</v>
          </cell>
          <cell r="Q1848" t="str">
            <v>Cancelled</v>
          </cell>
          <cell r="R1848">
            <v>45644.91474537037</v>
          </cell>
          <cell r="S1848" t="str">
            <v>Omnia Abdelaziz</v>
          </cell>
          <cell r="T1848">
            <v>45679</v>
          </cell>
          <cell r="U1848" t="str">
            <v>Gregory Dubec</v>
          </cell>
          <cell r="V1848">
            <v>45709</v>
          </cell>
          <cell r="Y1848">
            <v>45674</v>
          </cell>
        </row>
        <row r="1849">
          <cell r="I1849" t="str">
            <v>EDI</v>
          </cell>
          <cell r="L1849">
            <v>3538</v>
          </cell>
          <cell r="N1849" t="str">
            <v>Production</v>
          </cell>
          <cell r="O1849" t="str">
            <v>No</v>
          </cell>
          <cell r="Q1849" t="str">
            <v>Live</v>
          </cell>
          <cell r="R1849">
            <v>45644.621087962973</v>
          </cell>
          <cell r="S1849" t="str">
            <v>Nada Ashraf</v>
          </cell>
          <cell r="T1849">
            <v>45666</v>
          </cell>
          <cell r="U1849" t="str">
            <v>KJ Ampy</v>
          </cell>
          <cell r="V1849">
            <v>25569</v>
          </cell>
          <cell r="W1849">
            <v>45775</v>
          </cell>
          <cell r="Y1849">
            <v>45656</v>
          </cell>
          <cell r="AC1849">
            <v>45774</v>
          </cell>
        </row>
        <row r="1850">
          <cell r="I1850" t="str">
            <v>EDI</v>
          </cell>
          <cell r="L1850">
            <v>3814</v>
          </cell>
          <cell r="N1850" t="str">
            <v>Production</v>
          </cell>
          <cell r="O1850" t="str">
            <v>No</v>
          </cell>
          <cell r="Q1850" t="str">
            <v>Live</v>
          </cell>
          <cell r="R1850">
            <v>45644.621087962973</v>
          </cell>
          <cell r="S1850" t="str">
            <v>Mina Kamil</v>
          </cell>
          <cell r="T1850">
            <v>45755</v>
          </cell>
          <cell r="U1850" t="str">
            <v>KJ Ampy</v>
          </cell>
          <cell r="W1850">
            <v>45866</v>
          </cell>
          <cell r="Y1850">
            <v>45755</v>
          </cell>
          <cell r="AC1850">
            <v>45866</v>
          </cell>
        </row>
        <row r="1851">
          <cell r="I1851" t="str">
            <v>EDI</v>
          </cell>
          <cell r="L1851">
            <v>3717</v>
          </cell>
          <cell r="N1851" t="str">
            <v>Production</v>
          </cell>
          <cell r="O1851" t="str">
            <v>No</v>
          </cell>
          <cell r="Q1851" t="str">
            <v>Live</v>
          </cell>
          <cell r="R1851">
            <v>45643.901238425933</v>
          </cell>
          <cell r="S1851" t="str">
            <v>Ahmed Ali</v>
          </cell>
          <cell r="T1851">
            <v>45720</v>
          </cell>
          <cell r="U1851" t="str">
            <v>Gregory Dubec</v>
          </cell>
          <cell r="V1851">
            <v>45741</v>
          </cell>
          <cell r="W1851">
            <v>45792</v>
          </cell>
          <cell r="Y1851">
            <v>45713</v>
          </cell>
          <cell r="AC1851">
            <v>45788</v>
          </cell>
        </row>
        <row r="1852">
          <cell r="I1852" t="str">
            <v>EDI</v>
          </cell>
          <cell r="L1852">
            <v>3582</v>
          </cell>
          <cell r="N1852" t="str">
            <v>Production</v>
          </cell>
          <cell r="O1852" t="str">
            <v>No</v>
          </cell>
          <cell r="Q1852" t="str">
            <v>Live</v>
          </cell>
          <cell r="R1852">
            <v>45643.901238425933</v>
          </cell>
          <cell r="S1852" t="str">
            <v>Nada Ashraf</v>
          </cell>
          <cell r="T1852">
            <v>45673</v>
          </cell>
          <cell r="U1852" t="str">
            <v>Gregory Dubec</v>
          </cell>
          <cell r="V1852">
            <v>45691</v>
          </cell>
          <cell r="W1852">
            <v>45722</v>
          </cell>
          <cell r="Y1852">
            <v>45672</v>
          </cell>
          <cell r="AC1852">
            <v>45722</v>
          </cell>
        </row>
        <row r="1853">
          <cell r="I1853" t="str">
            <v>EDI</v>
          </cell>
          <cell r="N1853" t="str">
            <v>Requirements Gathering</v>
          </cell>
          <cell r="O1853" t="str">
            <v>No</v>
          </cell>
          <cell r="Q1853" t="str">
            <v>Cancelled</v>
          </cell>
          <cell r="R1853">
            <v>45643.901238425933</v>
          </cell>
          <cell r="S1853" t="str">
            <v>Sandra Adel</v>
          </cell>
          <cell r="T1853">
            <v>45645</v>
          </cell>
          <cell r="U1853" t="str">
            <v>Gregory Dubec</v>
          </cell>
        </row>
        <row r="1854">
          <cell r="I1854" t="str">
            <v>EDI</v>
          </cell>
          <cell r="L1854">
            <v>3548</v>
          </cell>
          <cell r="N1854" t="str">
            <v>Production</v>
          </cell>
          <cell r="O1854" t="str">
            <v>No</v>
          </cell>
          <cell r="Q1854" t="str">
            <v>Cancelled</v>
          </cell>
          <cell r="R1854">
            <v>45643.685613425929</v>
          </cell>
          <cell r="S1854" t="str">
            <v>Mina Adel</v>
          </cell>
          <cell r="T1854">
            <v>45669</v>
          </cell>
          <cell r="U1854" t="str">
            <v>Trish Kalinczok</v>
          </cell>
          <cell r="W1854">
            <v>45687</v>
          </cell>
          <cell r="Y1854">
            <v>45666</v>
          </cell>
          <cell r="AC1854">
            <v>45684</v>
          </cell>
        </row>
        <row r="1855">
          <cell r="I1855" t="str">
            <v>EDI</v>
          </cell>
          <cell r="L1855">
            <v>3601</v>
          </cell>
          <cell r="N1855" t="str">
            <v>Production</v>
          </cell>
          <cell r="O1855" t="str">
            <v>No</v>
          </cell>
          <cell r="Q1855" t="str">
            <v>Live</v>
          </cell>
          <cell r="R1855">
            <v>45643.622615740736</v>
          </cell>
          <cell r="S1855" t="str">
            <v>Andrew Ramy</v>
          </cell>
          <cell r="T1855">
            <v>45683</v>
          </cell>
          <cell r="U1855" t="str">
            <v>Tammy Davies</v>
          </cell>
          <cell r="V1855">
            <v>45761</v>
          </cell>
          <cell r="W1855">
            <v>45789</v>
          </cell>
          <cell r="Y1855">
            <v>45679</v>
          </cell>
          <cell r="AC1855">
            <v>45786</v>
          </cell>
        </row>
        <row r="1856">
          <cell r="I1856" t="str">
            <v>EDI</v>
          </cell>
          <cell r="L1856">
            <v>3539</v>
          </cell>
          <cell r="N1856" t="str">
            <v>Production</v>
          </cell>
          <cell r="O1856" t="str">
            <v>No</v>
          </cell>
          <cell r="Q1856" t="str">
            <v>Cancelled</v>
          </cell>
          <cell r="R1856">
            <v>45639.820289351846</v>
          </cell>
          <cell r="S1856" t="str">
            <v>Reem Radwan</v>
          </cell>
          <cell r="T1856">
            <v>45666</v>
          </cell>
          <cell r="U1856" t="str">
            <v>Tammy Davies</v>
          </cell>
          <cell r="V1856">
            <v>45686</v>
          </cell>
          <cell r="W1856">
            <v>25569</v>
          </cell>
          <cell r="Y1856">
            <v>45646</v>
          </cell>
          <cell r="AC1856">
            <v>45748</v>
          </cell>
        </row>
        <row r="1857">
          <cell r="I1857" t="str">
            <v>EDI</v>
          </cell>
          <cell r="L1857">
            <v>3543</v>
          </cell>
          <cell r="N1857" t="str">
            <v>Production</v>
          </cell>
          <cell r="O1857" t="str">
            <v>No</v>
          </cell>
          <cell r="Q1857" t="str">
            <v>Cancelled</v>
          </cell>
          <cell r="R1857">
            <v>45639.706273148149</v>
          </cell>
          <cell r="S1857" t="str">
            <v>Mina Adel</v>
          </cell>
          <cell r="T1857">
            <v>45666</v>
          </cell>
          <cell r="U1857" t="str">
            <v>Trish Kalinczok</v>
          </cell>
          <cell r="V1857">
            <v>45678</v>
          </cell>
          <cell r="W1857">
            <v>45715</v>
          </cell>
          <cell r="Y1857">
            <v>45650</v>
          </cell>
          <cell r="AC1857">
            <v>45701</v>
          </cell>
        </row>
        <row r="1858">
          <cell r="I1858" t="str">
            <v>EDI</v>
          </cell>
          <cell r="N1858" t="str">
            <v>Requirements Gathering</v>
          </cell>
          <cell r="O1858" t="str">
            <v>No</v>
          </cell>
          <cell r="Q1858" t="str">
            <v>Cancelled</v>
          </cell>
          <cell r="R1858">
            <v>45639.702870370369</v>
          </cell>
          <cell r="S1858" t="str">
            <v>Sandra Adel</v>
          </cell>
          <cell r="T1858">
            <v>45641</v>
          </cell>
          <cell r="U1858" t="str">
            <v>Trish Kalinczok</v>
          </cell>
        </row>
        <row r="1859">
          <cell r="I1859" t="str">
            <v>EDI</v>
          </cell>
          <cell r="L1859">
            <v>3571</v>
          </cell>
          <cell r="N1859" t="str">
            <v>Production</v>
          </cell>
          <cell r="O1859" t="str">
            <v>No</v>
          </cell>
          <cell r="Q1859" t="str">
            <v>Live</v>
          </cell>
          <cell r="R1859">
            <v>45638.831701388888</v>
          </cell>
          <cell r="S1859" t="str">
            <v>Mina Kamil</v>
          </cell>
          <cell r="T1859">
            <v>45666</v>
          </cell>
          <cell r="U1859" t="str">
            <v>Gregory Dubec</v>
          </cell>
          <cell r="W1859">
            <v>25569</v>
          </cell>
          <cell r="Y1859">
            <v>45644</v>
          </cell>
          <cell r="AC1859">
            <v>45694</v>
          </cell>
        </row>
        <row r="1860">
          <cell r="I1860" t="str">
            <v>EDI</v>
          </cell>
          <cell r="L1860">
            <v>3561</v>
          </cell>
          <cell r="N1860" t="str">
            <v>Production</v>
          </cell>
          <cell r="O1860" t="str">
            <v>No</v>
          </cell>
          <cell r="Q1860" t="str">
            <v>Live</v>
          </cell>
          <cell r="R1860">
            <v>45638.824791666673</v>
          </cell>
          <cell r="S1860" t="str">
            <v>Mina Kamil</v>
          </cell>
          <cell r="T1860">
            <v>45666</v>
          </cell>
          <cell r="U1860" t="str">
            <v>Julie Lombardi</v>
          </cell>
          <cell r="W1860">
            <v>45789</v>
          </cell>
          <cell r="Y1860">
            <v>45647</v>
          </cell>
          <cell r="AC1860">
            <v>45788</v>
          </cell>
        </row>
        <row r="1861">
          <cell r="I1861" t="str">
            <v>EDI</v>
          </cell>
          <cell r="L1861">
            <v>3533</v>
          </cell>
          <cell r="N1861" t="str">
            <v>Production</v>
          </cell>
          <cell r="O1861" t="str">
            <v>No</v>
          </cell>
          <cell r="Q1861" t="str">
            <v>Live</v>
          </cell>
          <cell r="R1861">
            <v>45638.80740740741</v>
          </cell>
          <cell r="S1861" t="str">
            <v>Reem Radwan</v>
          </cell>
          <cell r="T1861">
            <v>45666</v>
          </cell>
          <cell r="U1861" t="str">
            <v>Julie Lombardi</v>
          </cell>
          <cell r="V1861">
            <v>45687</v>
          </cell>
          <cell r="W1861">
            <v>45693</v>
          </cell>
          <cell r="Y1861">
            <v>45646</v>
          </cell>
          <cell r="AC1861">
            <v>45690</v>
          </cell>
        </row>
        <row r="1862">
          <cell r="I1862" t="str">
            <v>EDI</v>
          </cell>
          <cell r="L1862">
            <v>3519</v>
          </cell>
          <cell r="N1862" t="str">
            <v>Production</v>
          </cell>
          <cell r="O1862" t="str">
            <v>No</v>
          </cell>
          <cell r="Q1862" t="str">
            <v>Live</v>
          </cell>
          <cell r="R1862">
            <v>45638.806759259263</v>
          </cell>
          <cell r="S1862" t="str">
            <v>Dina Medhat</v>
          </cell>
          <cell r="T1862">
            <v>45665</v>
          </cell>
          <cell r="U1862" t="str">
            <v>Kayla Szczepanski</v>
          </cell>
          <cell r="V1862">
            <v>45673</v>
          </cell>
          <cell r="W1862">
            <v>45705</v>
          </cell>
          <cell r="AC1862">
            <v>45778</v>
          </cell>
        </row>
        <row r="1863">
          <cell r="I1863" t="str">
            <v>EDI</v>
          </cell>
          <cell r="L1863">
            <v>3379</v>
          </cell>
          <cell r="N1863" t="str">
            <v>Production</v>
          </cell>
          <cell r="O1863" t="str">
            <v>No</v>
          </cell>
          <cell r="Q1863" t="str">
            <v>Live</v>
          </cell>
          <cell r="R1863">
            <v>45638.806759259263</v>
          </cell>
          <cell r="U1863" t="str">
            <v>Kayla Szczepanski</v>
          </cell>
          <cell r="W1863">
            <v>45615</v>
          </cell>
          <cell r="AC1863">
            <v>45667</v>
          </cell>
        </row>
        <row r="1864">
          <cell r="I1864" t="str">
            <v>EDI</v>
          </cell>
          <cell r="N1864" t="str">
            <v>Mapping</v>
          </cell>
          <cell r="O1864" t="str">
            <v>No</v>
          </cell>
          <cell r="Q1864" t="str">
            <v>In Progress</v>
          </cell>
          <cell r="R1864">
            <v>45638.806759259263</v>
          </cell>
          <cell r="S1864" t="str">
            <v>Dina Medhat</v>
          </cell>
          <cell r="T1864">
            <v>45671</v>
          </cell>
          <cell r="U1864" t="str">
            <v>Kayla Szczepanski</v>
          </cell>
        </row>
        <row r="1865">
          <cell r="I1865" t="str">
            <v>EDI</v>
          </cell>
          <cell r="L1865">
            <v>1531</v>
          </cell>
          <cell r="N1865" t="str">
            <v>Production</v>
          </cell>
          <cell r="O1865" t="str">
            <v>No</v>
          </cell>
          <cell r="Q1865" t="str">
            <v>Cancelled</v>
          </cell>
          <cell r="R1865">
            <v>45638.806747685187</v>
          </cell>
          <cell r="U1865" t="str">
            <v>Kayla Szczepanski</v>
          </cell>
          <cell r="V1865">
            <v>44831</v>
          </cell>
          <cell r="W1865">
            <v>44844</v>
          </cell>
          <cell r="AC1865">
            <v>45645</v>
          </cell>
        </row>
        <row r="1866">
          <cell r="I1866" t="str">
            <v>EDI</v>
          </cell>
          <cell r="L1866">
            <v>1532</v>
          </cell>
          <cell r="N1866" t="str">
            <v>Production</v>
          </cell>
          <cell r="O1866" t="str">
            <v>No</v>
          </cell>
          <cell r="Q1866" t="str">
            <v>Live</v>
          </cell>
          <cell r="R1866">
            <v>45638.806747685187</v>
          </cell>
          <cell r="U1866" t="str">
            <v>Kayla Szczepanski</v>
          </cell>
          <cell r="V1866">
            <v>44836</v>
          </cell>
          <cell r="W1866">
            <v>44846</v>
          </cell>
          <cell r="AC1866">
            <v>45662</v>
          </cell>
        </row>
        <row r="1867">
          <cell r="I1867" t="str">
            <v>EDI</v>
          </cell>
          <cell r="N1867" t="str">
            <v>Pending Start</v>
          </cell>
          <cell r="O1867" t="str">
            <v>No</v>
          </cell>
          <cell r="Q1867" t="str">
            <v>Cancelled</v>
          </cell>
          <cell r="R1867">
            <v>45638.806747685187</v>
          </cell>
          <cell r="U1867" t="str">
            <v>Kayla Szczepanski</v>
          </cell>
        </row>
        <row r="1868">
          <cell r="I1868" t="str">
            <v>Forms</v>
          </cell>
          <cell r="L1868" t="str">
            <v>[3682]</v>
          </cell>
          <cell r="N1868" t="str">
            <v>Testing</v>
          </cell>
          <cell r="O1868" t="str">
            <v>Everything Benefits</v>
          </cell>
          <cell r="P1868" t="str">
            <v>Migration Testing</v>
          </cell>
          <cell r="Q1868" t="str">
            <v>Cancelled</v>
          </cell>
          <cell r="R1868">
            <v>45638.778969907413</v>
          </cell>
          <cell r="S1868" t="str">
            <v>Reem Radwan</v>
          </cell>
          <cell r="T1868">
            <v>45736</v>
          </cell>
          <cell r="U1868" t="str">
            <v>Trish Kalinczok</v>
          </cell>
        </row>
        <row r="1869">
          <cell r="I1869" t="str">
            <v>Forms</v>
          </cell>
          <cell r="L1869" t="str">
            <v>[3481]</v>
          </cell>
          <cell r="N1869" t="str">
            <v>Testing</v>
          </cell>
          <cell r="O1869" t="str">
            <v>Everything Benefits</v>
          </cell>
          <cell r="P1869" t="str">
            <v>Migration Testing</v>
          </cell>
          <cell r="Q1869" t="str">
            <v>Cancelled</v>
          </cell>
          <cell r="R1869">
            <v>45638.759942129633</v>
          </cell>
          <cell r="S1869" t="str">
            <v>Marwan Tawfik</v>
          </cell>
          <cell r="T1869">
            <v>45642</v>
          </cell>
          <cell r="U1869" t="str">
            <v>Trish Kalinczok</v>
          </cell>
        </row>
        <row r="1870">
          <cell r="I1870" t="str">
            <v>EDI</v>
          </cell>
          <cell r="L1870">
            <v>3519</v>
          </cell>
          <cell r="N1870" t="str">
            <v>Production</v>
          </cell>
          <cell r="O1870" t="str">
            <v>No</v>
          </cell>
          <cell r="Q1870" t="str">
            <v>Live</v>
          </cell>
          <cell r="R1870">
            <v>45638.703136574077</v>
          </cell>
          <cell r="S1870" t="str">
            <v>Joseph Atef</v>
          </cell>
          <cell r="T1870">
            <v>45650</v>
          </cell>
          <cell r="U1870" t="str">
            <v>Kayla Szczepanski</v>
          </cell>
          <cell r="V1870">
            <v>45673</v>
          </cell>
          <cell r="W1870">
            <v>45705</v>
          </cell>
          <cell r="Y1870">
            <v>45641</v>
          </cell>
          <cell r="AC1870">
            <v>45700</v>
          </cell>
        </row>
        <row r="1871">
          <cell r="I1871" t="str">
            <v>EDI</v>
          </cell>
          <cell r="L1871">
            <v>3592</v>
          </cell>
          <cell r="N1871" t="str">
            <v>Production</v>
          </cell>
          <cell r="O1871" t="str">
            <v>No</v>
          </cell>
          <cell r="Q1871" t="str">
            <v>Live</v>
          </cell>
          <cell r="R1871">
            <v>45637.953356481477</v>
          </cell>
          <cell r="S1871" t="str">
            <v>Mirna Azmy</v>
          </cell>
          <cell r="T1871">
            <v>45683</v>
          </cell>
          <cell r="U1871" t="str">
            <v>Gregory Dubec</v>
          </cell>
          <cell r="V1871">
            <v>45704</v>
          </cell>
          <cell r="W1871">
            <v>45792</v>
          </cell>
          <cell r="Y1871">
            <v>45683</v>
          </cell>
          <cell r="AC1871">
            <v>45788</v>
          </cell>
        </row>
        <row r="1872">
          <cell r="I1872" t="str">
            <v>EDI</v>
          </cell>
          <cell r="L1872">
            <v>3527</v>
          </cell>
          <cell r="N1872" t="str">
            <v>Production</v>
          </cell>
          <cell r="O1872" t="str">
            <v>No</v>
          </cell>
          <cell r="Q1872" t="str">
            <v>Live</v>
          </cell>
          <cell r="R1872">
            <v>45637.953344907408</v>
          </cell>
          <cell r="S1872" t="str">
            <v>Hazem Rostom</v>
          </cell>
          <cell r="T1872">
            <v>45665</v>
          </cell>
          <cell r="U1872" t="str">
            <v>Gregory Dubec</v>
          </cell>
          <cell r="V1872">
            <v>25569</v>
          </cell>
          <cell r="W1872">
            <v>45792</v>
          </cell>
          <cell r="Y1872">
            <v>45656</v>
          </cell>
          <cell r="AC1872">
            <v>45790</v>
          </cell>
        </row>
        <row r="1873">
          <cell r="I1873" t="str">
            <v>EDI</v>
          </cell>
          <cell r="L1873">
            <v>3546</v>
          </cell>
          <cell r="N1873" t="str">
            <v>Production</v>
          </cell>
          <cell r="O1873" t="str">
            <v>No</v>
          </cell>
          <cell r="Q1873" t="str">
            <v>Live</v>
          </cell>
          <cell r="R1873">
            <v>45637.836192129631</v>
          </cell>
          <cell r="S1873" t="str">
            <v>Mina George</v>
          </cell>
          <cell r="T1873">
            <v>45662</v>
          </cell>
          <cell r="U1873" t="str">
            <v>Hans De Grouw</v>
          </cell>
          <cell r="V1873">
            <v>45680</v>
          </cell>
          <cell r="W1873">
            <v>45764</v>
          </cell>
          <cell r="Y1873">
            <v>45646</v>
          </cell>
          <cell r="AC1873">
            <v>45762</v>
          </cell>
        </row>
        <row r="1874">
          <cell r="I1874" t="str">
            <v>EDI</v>
          </cell>
          <cell r="L1874">
            <v>3540</v>
          </cell>
          <cell r="N1874" t="str">
            <v>Production</v>
          </cell>
          <cell r="O1874" t="str">
            <v>No</v>
          </cell>
          <cell r="Q1874" t="str">
            <v>Cancelled</v>
          </cell>
          <cell r="R1874">
            <v>45637.594699074078</v>
          </cell>
          <cell r="S1874" t="str">
            <v>Joseph Atef</v>
          </cell>
          <cell r="T1874">
            <v>45662</v>
          </cell>
          <cell r="U1874" t="str">
            <v>Hans De Grouw</v>
          </cell>
          <cell r="V1874">
            <v>45714</v>
          </cell>
          <cell r="W1874">
            <v>45715</v>
          </cell>
          <cell r="Y1874">
            <v>45644</v>
          </cell>
          <cell r="AC1874">
            <v>45714</v>
          </cell>
        </row>
        <row r="1875">
          <cell r="I1875" t="str">
            <v>EDI</v>
          </cell>
          <cell r="L1875">
            <v>3556</v>
          </cell>
          <cell r="N1875" t="str">
            <v>Production</v>
          </cell>
          <cell r="O1875" t="str">
            <v>No</v>
          </cell>
          <cell r="Q1875" t="str">
            <v>Live</v>
          </cell>
          <cell r="R1875">
            <v>45637.594699074078</v>
          </cell>
          <cell r="S1875" t="str">
            <v>Karim Tarek</v>
          </cell>
          <cell r="T1875">
            <v>45777</v>
          </cell>
          <cell r="U1875" t="str">
            <v>Hans De Grouw</v>
          </cell>
          <cell r="V1875">
            <v>45698</v>
          </cell>
          <cell r="W1875">
            <v>45778</v>
          </cell>
          <cell r="Y1875">
            <v>45666</v>
          </cell>
          <cell r="AC1875">
            <v>45777</v>
          </cell>
        </row>
        <row r="1876">
          <cell r="I1876" t="str">
            <v>EDI</v>
          </cell>
          <cell r="L1876">
            <v>3623</v>
          </cell>
          <cell r="N1876" t="str">
            <v>Production</v>
          </cell>
          <cell r="O1876" t="str">
            <v>No</v>
          </cell>
          <cell r="Q1876" t="str">
            <v>Live</v>
          </cell>
          <cell r="R1876">
            <v>45636.92596064815</v>
          </cell>
          <cell r="S1876" t="str">
            <v>Reem Radwan</v>
          </cell>
          <cell r="T1876">
            <v>45693</v>
          </cell>
          <cell r="U1876" t="str">
            <v>Hans De Grouw</v>
          </cell>
          <cell r="V1876">
            <v>45698</v>
          </cell>
          <cell r="W1876">
            <v>45785</v>
          </cell>
          <cell r="Y1876">
            <v>45692</v>
          </cell>
          <cell r="AC1876">
            <v>45782</v>
          </cell>
        </row>
        <row r="1877">
          <cell r="I1877" t="str">
            <v>EDI</v>
          </cell>
          <cell r="L1877">
            <v>3513</v>
          </cell>
          <cell r="N1877" t="str">
            <v>Production</v>
          </cell>
          <cell r="O1877" t="str">
            <v>No</v>
          </cell>
          <cell r="Q1877" t="str">
            <v>Live</v>
          </cell>
          <cell r="R1877">
            <v>45636.925949074073</v>
          </cell>
          <cell r="S1877" t="str">
            <v>Amr Salah</v>
          </cell>
          <cell r="T1877">
            <v>45651</v>
          </cell>
          <cell r="U1877" t="str">
            <v>Hans De Grouw</v>
          </cell>
          <cell r="V1877">
            <v>45707</v>
          </cell>
          <cell r="W1877">
            <v>45841</v>
          </cell>
          <cell r="Y1877">
            <v>45642</v>
          </cell>
          <cell r="AC1877">
            <v>45840</v>
          </cell>
        </row>
        <row r="1878">
          <cell r="I1878" t="str">
            <v>EDI</v>
          </cell>
          <cell r="L1878">
            <v>3529</v>
          </cell>
          <cell r="N1878" t="str">
            <v>Production</v>
          </cell>
          <cell r="O1878" t="str">
            <v>No</v>
          </cell>
          <cell r="Q1878" t="str">
            <v>Live</v>
          </cell>
          <cell r="R1878">
            <v>45636.925949074073</v>
          </cell>
          <cell r="S1878" t="str">
            <v>Mahmoud Ashraf</v>
          </cell>
          <cell r="T1878">
            <v>45662</v>
          </cell>
          <cell r="U1878" t="str">
            <v>Hans De Grouw</v>
          </cell>
          <cell r="V1878">
            <v>45677</v>
          </cell>
          <cell r="W1878">
            <v>45708</v>
          </cell>
          <cell r="Y1878">
            <v>45642</v>
          </cell>
          <cell r="AC1878">
            <v>45701</v>
          </cell>
        </row>
        <row r="1879">
          <cell r="I1879" t="str">
            <v>EDI</v>
          </cell>
          <cell r="L1879">
            <v>3522</v>
          </cell>
          <cell r="N1879" t="str">
            <v>Production</v>
          </cell>
          <cell r="O1879" t="str">
            <v>No</v>
          </cell>
          <cell r="Q1879" t="str">
            <v>Live</v>
          </cell>
          <cell r="R1879">
            <v>45636.925949074073</v>
          </cell>
          <cell r="S1879" t="str">
            <v>Mirna Azmy</v>
          </cell>
          <cell r="T1879">
            <v>45662</v>
          </cell>
          <cell r="U1879" t="str">
            <v>Hans De Grouw</v>
          </cell>
          <cell r="V1879">
            <v>45679</v>
          </cell>
          <cell r="W1879">
            <v>46009</v>
          </cell>
          <cell r="Y1879">
            <v>45644</v>
          </cell>
          <cell r="AC1879">
            <v>46005</v>
          </cell>
        </row>
        <row r="1880">
          <cell r="I1880" t="str">
            <v>EDI</v>
          </cell>
          <cell r="L1880">
            <v>3551</v>
          </cell>
          <cell r="N1880" t="str">
            <v>Production</v>
          </cell>
          <cell r="O1880" t="str">
            <v>No</v>
          </cell>
          <cell r="Q1880" t="str">
            <v>Live</v>
          </cell>
          <cell r="R1880">
            <v>45636.925937499997</v>
          </cell>
          <cell r="S1880" t="str">
            <v>Amr Salah</v>
          </cell>
          <cell r="T1880">
            <v>45669</v>
          </cell>
          <cell r="U1880" t="str">
            <v>Hans De Grouw</v>
          </cell>
          <cell r="V1880">
            <v>45702</v>
          </cell>
          <cell r="W1880">
            <v>45778</v>
          </cell>
          <cell r="Y1880">
            <v>45667</v>
          </cell>
          <cell r="AC1880">
            <v>45777</v>
          </cell>
        </row>
        <row r="1881">
          <cell r="I1881" t="str">
            <v>EDI</v>
          </cell>
          <cell r="L1881">
            <v>3566</v>
          </cell>
          <cell r="N1881" t="str">
            <v>Production</v>
          </cell>
          <cell r="O1881" t="str">
            <v>No</v>
          </cell>
          <cell r="Q1881" t="str">
            <v>Live</v>
          </cell>
          <cell r="R1881">
            <v>45636.924166666657</v>
          </cell>
          <cell r="S1881" t="str">
            <v>Andrew Ramy</v>
          </cell>
          <cell r="T1881">
            <v>45839</v>
          </cell>
          <cell r="U1881" t="str">
            <v>Julie Lombardi</v>
          </cell>
          <cell r="V1881">
            <v>45673</v>
          </cell>
          <cell r="W1881">
            <v>45909</v>
          </cell>
          <cell r="Y1881">
            <v>45672</v>
          </cell>
          <cell r="AC1881">
            <v>45908</v>
          </cell>
        </row>
        <row r="1882">
          <cell r="I1882" t="str">
            <v>EDI</v>
          </cell>
          <cell r="L1882">
            <v>858</v>
          </cell>
          <cell r="N1882" t="str">
            <v>Production</v>
          </cell>
          <cell r="O1882" t="str">
            <v>No</v>
          </cell>
          <cell r="Q1882" t="str">
            <v>Live</v>
          </cell>
          <cell r="R1882">
            <v>45636.90247685185</v>
          </cell>
          <cell r="S1882" t="str">
            <v>Dina Medhat</v>
          </cell>
          <cell r="T1882">
            <v>45637</v>
          </cell>
          <cell r="U1882" t="str">
            <v>Robbie Schappell</v>
          </cell>
          <cell r="W1882">
            <v>44777</v>
          </cell>
          <cell r="AC1882">
            <v>45642</v>
          </cell>
        </row>
        <row r="1883">
          <cell r="I1883" t="str">
            <v>EDI</v>
          </cell>
          <cell r="L1883">
            <v>1027</v>
          </cell>
          <cell r="N1883" t="str">
            <v>Production</v>
          </cell>
          <cell r="O1883" t="str">
            <v>No</v>
          </cell>
          <cell r="Q1883" t="str">
            <v>Live</v>
          </cell>
          <cell r="R1883">
            <v>45636.902465277781</v>
          </cell>
          <cell r="S1883" t="str">
            <v>Dina Medhat</v>
          </cell>
          <cell r="T1883">
            <v>45637</v>
          </cell>
          <cell r="U1883" t="str">
            <v>Robbie Schappell</v>
          </cell>
          <cell r="V1883">
            <v>25569</v>
          </cell>
          <cell r="W1883">
            <v>45068</v>
          </cell>
          <cell r="AC1883">
            <v>45642</v>
          </cell>
        </row>
        <row r="1884">
          <cell r="I1884" t="str">
            <v>EDI</v>
          </cell>
          <cell r="L1884">
            <v>1026</v>
          </cell>
          <cell r="N1884" t="str">
            <v>Production</v>
          </cell>
          <cell r="O1884" t="str">
            <v>No</v>
          </cell>
          <cell r="Q1884" t="str">
            <v>Live</v>
          </cell>
          <cell r="R1884">
            <v>45636.902465277781</v>
          </cell>
          <cell r="S1884" t="str">
            <v>Dina Medhat</v>
          </cell>
          <cell r="T1884">
            <v>45637</v>
          </cell>
          <cell r="U1884" t="str">
            <v>Robbie Schappell</v>
          </cell>
          <cell r="V1884">
            <v>44872</v>
          </cell>
          <cell r="W1884">
            <v>45068</v>
          </cell>
          <cell r="AC1884">
            <v>45642</v>
          </cell>
        </row>
        <row r="1885">
          <cell r="I1885" t="str">
            <v>EDI</v>
          </cell>
          <cell r="L1885">
            <v>3526</v>
          </cell>
          <cell r="N1885" t="str">
            <v>Production</v>
          </cell>
          <cell r="O1885" t="str">
            <v>No</v>
          </cell>
          <cell r="Q1885" t="str">
            <v>Live</v>
          </cell>
          <cell r="R1885">
            <v>45636.74695601852</v>
          </cell>
          <cell r="S1885" t="str">
            <v>Marwan Tawfik</v>
          </cell>
          <cell r="T1885">
            <v>45662</v>
          </cell>
          <cell r="U1885" t="str">
            <v>Tyler  Raposa</v>
          </cell>
          <cell r="V1885">
            <v>45691</v>
          </cell>
          <cell r="W1885">
            <v>45722</v>
          </cell>
          <cell r="Y1885">
            <v>45641</v>
          </cell>
          <cell r="AC1885">
            <v>45719</v>
          </cell>
        </row>
        <row r="1886">
          <cell r="I1886" t="str">
            <v>EDI</v>
          </cell>
          <cell r="L1886">
            <v>3493</v>
          </cell>
          <cell r="N1886" t="str">
            <v>Production</v>
          </cell>
          <cell r="O1886" t="str">
            <v>No</v>
          </cell>
          <cell r="Q1886" t="str">
            <v>Live</v>
          </cell>
          <cell r="R1886">
            <v>45636.683287037027</v>
          </cell>
          <cell r="S1886" t="str">
            <v>Joseph Atef</v>
          </cell>
          <cell r="T1886">
            <v>45648</v>
          </cell>
          <cell r="U1886" t="str">
            <v>Rhettsmey Meak</v>
          </cell>
          <cell r="V1886">
            <v>45687</v>
          </cell>
          <cell r="W1886">
            <v>45765</v>
          </cell>
          <cell r="Y1886">
            <v>45646</v>
          </cell>
          <cell r="AC1886">
            <v>45761</v>
          </cell>
        </row>
        <row r="1887">
          <cell r="I1887" t="str">
            <v>EDI</v>
          </cell>
          <cell r="L1887">
            <v>3506</v>
          </cell>
          <cell r="N1887" t="str">
            <v>Production</v>
          </cell>
          <cell r="O1887" t="str">
            <v>No</v>
          </cell>
          <cell r="Q1887" t="str">
            <v>Cancelled</v>
          </cell>
          <cell r="R1887">
            <v>45636.666759259257</v>
          </cell>
          <cell r="S1887" t="str">
            <v>Marwan Tawfik</v>
          </cell>
          <cell r="T1887">
            <v>45649</v>
          </cell>
          <cell r="U1887" t="str">
            <v>Rhettsmey Meak</v>
          </cell>
          <cell r="V1887">
            <v>45671</v>
          </cell>
          <cell r="W1887">
            <v>45681</v>
          </cell>
          <cell r="Y1887">
            <v>45646</v>
          </cell>
          <cell r="AC1887">
            <v>45676</v>
          </cell>
        </row>
        <row r="1888">
          <cell r="I1888" t="str">
            <v>EDI</v>
          </cell>
          <cell r="L1888">
            <v>3504</v>
          </cell>
          <cell r="N1888" t="str">
            <v>Production</v>
          </cell>
          <cell r="O1888" t="str">
            <v>No</v>
          </cell>
          <cell r="Q1888" t="str">
            <v>Live</v>
          </cell>
          <cell r="R1888">
            <v>45636.639513888891</v>
          </cell>
          <cell r="S1888" t="str">
            <v>Noha Moustafa</v>
          </cell>
          <cell r="T1888">
            <v>45648</v>
          </cell>
          <cell r="U1888" t="str">
            <v>Rhettsmey Meak</v>
          </cell>
          <cell r="V1888">
            <v>45699</v>
          </cell>
          <cell r="W1888">
            <v>45756</v>
          </cell>
          <cell r="Y1888">
            <v>45646</v>
          </cell>
          <cell r="AC1888">
            <v>45750</v>
          </cell>
        </row>
        <row r="1889">
          <cell r="I1889" t="str">
            <v>EDI</v>
          </cell>
          <cell r="L1889">
            <v>3512</v>
          </cell>
          <cell r="N1889" t="str">
            <v>Production</v>
          </cell>
          <cell r="O1889" t="str">
            <v>No</v>
          </cell>
          <cell r="Q1889" t="str">
            <v>Live</v>
          </cell>
          <cell r="R1889">
            <v>45636.637083333328</v>
          </cell>
          <cell r="S1889" t="str">
            <v>Mahmoud Ashraf</v>
          </cell>
          <cell r="T1889">
            <v>45649</v>
          </cell>
          <cell r="U1889" t="str">
            <v>Rhettsmey Meak</v>
          </cell>
          <cell r="V1889">
            <v>45686</v>
          </cell>
          <cell r="W1889">
            <v>45708</v>
          </cell>
          <cell r="Y1889">
            <v>45646</v>
          </cell>
          <cell r="AC1889">
            <v>45701</v>
          </cell>
        </row>
        <row r="1890">
          <cell r="I1890" t="str">
            <v>EDI</v>
          </cell>
          <cell r="L1890">
            <v>3518</v>
          </cell>
          <cell r="N1890" t="str">
            <v>Production</v>
          </cell>
          <cell r="O1890" t="str">
            <v>No</v>
          </cell>
          <cell r="Q1890" t="str">
            <v>Cancelled</v>
          </cell>
          <cell r="R1890">
            <v>45635.760740740741</v>
          </cell>
          <cell r="S1890" t="str">
            <v>Mirna Azmy</v>
          </cell>
          <cell r="T1890">
            <v>45659</v>
          </cell>
          <cell r="U1890" t="str">
            <v>Trish Kalinczok</v>
          </cell>
          <cell r="V1890">
            <v>45662</v>
          </cell>
          <cell r="W1890">
            <v>45712</v>
          </cell>
          <cell r="Y1890">
            <v>45656</v>
          </cell>
          <cell r="AC1890">
            <v>45711</v>
          </cell>
        </row>
        <row r="1891">
          <cell r="I1891" t="str">
            <v>EDI</v>
          </cell>
          <cell r="L1891">
            <v>3517</v>
          </cell>
          <cell r="N1891" t="str">
            <v>Production</v>
          </cell>
          <cell r="O1891" t="str">
            <v>No</v>
          </cell>
          <cell r="Q1891" t="str">
            <v>Live</v>
          </cell>
          <cell r="R1891">
            <v>45635.748252314806</v>
          </cell>
          <cell r="S1891" t="str">
            <v>Mirna Azmy</v>
          </cell>
          <cell r="T1891">
            <v>45659</v>
          </cell>
          <cell r="U1891" t="str">
            <v>Tyler  Raposa</v>
          </cell>
          <cell r="V1891">
            <v>25569</v>
          </cell>
          <cell r="W1891">
            <v>45744</v>
          </cell>
          <cell r="Y1891">
            <v>45651</v>
          </cell>
          <cell r="AC1891">
            <v>45739</v>
          </cell>
        </row>
        <row r="1892">
          <cell r="I1892" t="str">
            <v>EDI</v>
          </cell>
          <cell r="L1892">
            <v>3500</v>
          </cell>
          <cell r="N1892" t="str">
            <v>Production</v>
          </cell>
          <cell r="O1892" t="str">
            <v>No</v>
          </cell>
          <cell r="Q1892" t="str">
            <v>Live</v>
          </cell>
          <cell r="R1892">
            <v>45635.72991898148</v>
          </cell>
          <cell r="S1892" t="str">
            <v>Amr Salah</v>
          </cell>
          <cell r="T1892">
            <v>45645</v>
          </cell>
          <cell r="U1892" t="str">
            <v>Trish Kalinczok</v>
          </cell>
          <cell r="V1892">
            <v>45681</v>
          </cell>
          <cell r="W1892">
            <v>25569</v>
          </cell>
          <cell r="Y1892">
            <v>45641</v>
          </cell>
          <cell r="AC1892">
            <v>45732</v>
          </cell>
        </row>
        <row r="1893">
          <cell r="I1893" t="str">
            <v>EDI</v>
          </cell>
          <cell r="L1893">
            <v>3469</v>
          </cell>
          <cell r="N1893" t="str">
            <v>Production</v>
          </cell>
          <cell r="O1893" t="str">
            <v>No</v>
          </cell>
          <cell r="Q1893" t="str">
            <v>Live</v>
          </cell>
          <cell r="R1893">
            <v>45633.006481481483</v>
          </cell>
          <cell r="S1893" t="str">
            <v>Marwan Tawfik</v>
          </cell>
          <cell r="T1893">
            <v>45637</v>
          </cell>
          <cell r="U1893" t="str">
            <v>Tammy Davies</v>
          </cell>
          <cell r="V1893">
            <v>45669</v>
          </cell>
          <cell r="W1893">
            <v>45707</v>
          </cell>
          <cell r="Y1893">
            <v>45635</v>
          </cell>
          <cell r="AC1893">
            <v>45704</v>
          </cell>
        </row>
        <row r="1894">
          <cell r="I1894" t="str">
            <v>EDI</v>
          </cell>
          <cell r="L1894">
            <v>3487</v>
          </cell>
          <cell r="N1894" t="str">
            <v>Testing</v>
          </cell>
          <cell r="O1894" t="str">
            <v>No</v>
          </cell>
          <cell r="Q1894" t="str">
            <v>Cancelled</v>
          </cell>
          <cell r="R1894">
            <v>45632.933125000003</v>
          </cell>
          <cell r="S1894" t="str">
            <v>Amr Salah</v>
          </cell>
          <cell r="T1894">
            <v>45637</v>
          </cell>
          <cell r="U1894" t="str">
            <v>Tammy Davies</v>
          </cell>
          <cell r="Y1894">
            <v>45635</v>
          </cell>
        </row>
        <row r="1895">
          <cell r="I1895" t="str">
            <v>EDI</v>
          </cell>
          <cell r="L1895">
            <v>3483</v>
          </cell>
          <cell r="N1895" t="str">
            <v>Production</v>
          </cell>
          <cell r="O1895" t="str">
            <v>No</v>
          </cell>
          <cell r="Q1895" t="str">
            <v>Live</v>
          </cell>
          <cell r="R1895">
            <v>45632.897361111107</v>
          </cell>
          <cell r="S1895" t="str">
            <v>Mirna Azmy</v>
          </cell>
          <cell r="T1895">
            <v>45644</v>
          </cell>
          <cell r="U1895" t="str">
            <v>Trish Kalinczok</v>
          </cell>
          <cell r="V1895">
            <v>45649</v>
          </cell>
          <cell r="W1895">
            <v>45712</v>
          </cell>
          <cell r="Y1895">
            <v>45639</v>
          </cell>
          <cell r="AC1895">
            <v>45708</v>
          </cell>
        </row>
        <row r="1896">
          <cell r="I1896" t="str">
            <v>EDI</v>
          </cell>
          <cell r="N1896" t="str">
            <v>Requirements Gathering</v>
          </cell>
          <cell r="O1896" t="str">
            <v>No</v>
          </cell>
          <cell r="Q1896" t="str">
            <v>Cancelled</v>
          </cell>
          <cell r="R1896">
            <v>45632.889120370368</v>
          </cell>
          <cell r="S1896" t="str">
            <v>Sandra Adel</v>
          </cell>
          <cell r="T1896">
            <v>45634</v>
          </cell>
          <cell r="U1896" t="str">
            <v>Rhettsmey Meak</v>
          </cell>
        </row>
        <row r="1897">
          <cell r="I1897" t="str">
            <v>EDI</v>
          </cell>
          <cell r="L1897">
            <v>3489</v>
          </cell>
          <cell r="N1897" t="str">
            <v>Production</v>
          </cell>
          <cell r="O1897" t="str">
            <v>No</v>
          </cell>
          <cell r="Q1897" t="str">
            <v>Cancelled</v>
          </cell>
          <cell r="R1897">
            <v>45632.878969907397</v>
          </cell>
          <cell r="S1897" t="str">
            <v>Marwan Tawfik</v>
          </cell>
          <cell r="T1897">
            <v>45644</v>
          </cell>
          <cell r="U1897" t="str">
            <v>Tammy Davies</v>
          </cell>
          <cell r="V1897">
            <v>45708</v>
          </cell>
          <cell r="W1897">
            <v>45832</v>
          </cell>
          <cell r="Y1897">
            <v>45641</v>
          </cell>
          <cell r="AC1897">
            <v>45827</v>
          </cell>
        </row>
        <row r="1898">
          <cell r="I1898" t="str">
            <v>EDI</v>
          </cell>
          <cell r="N1898" t="str">
            <v>Requirements Gathering</v>
          </cell>
          <cell r="O1898" t="str">
            <v>No</v>
          </cell>
          <cell r="Q1898" t="str">
            <v>Cancelled</v>
          </cell>
          <cell r="R1898">
            <v>45632.876481481479</v>
          </cell>
          <cell r="S1898" t="str">
            <v>Abdulrahman Tarek</v>
          </cell>
          <cell r="T1898">
            <v>45634</v>
          </cell>
          <cell r="U1898" t="str">
            <v>Rhettsmey Meak</v>
          </cell>
        </row>
        <row r="1899">
          <cell r="I1899" t="str">
            <v>EDI</v>
          </cell>
          <cell r="N1899" t="str">
            <v>Requirements Gathering</v>
          </cell>
          <cell r="O1899" t="str">
            <v>No</v>
          </cell>
          <cell r="Q1899" t="str">
            <v>Cancelled</v>
          </cell>
          <cell r="R1899">
            <v>45632.860138888893</v>
          </cell>
          <cell r="S1899" t="str">
            <v>Abdulrahman Tarek</v>
          </cell>
          <cell r="T1899">
            <v>45634</v>
          </cell>
          <cell r="U1899" t="str">
            <v>Rhettsmey Meak</v>
          </cell>
        </row>
        <row r="1900">
          <cell r="I1900" t="str">
            <v>EDI</v>
          </cell>
          <cell r="N1900" t="str">
            <v>Pending Start</v>
          </cell>
          <cell r="O1900" t="str">
            <v>No</v>
          </cell>
          <cell r="Q1900" t="str">
            <v>Cancelled</v>
          </cell>
          <cell r="R1900">
            <v>45632.764467592591</v>
          </cell>
          <cell r="U1900" t="str">
            <v>Rhettsmey Meak</v>
          </cell>
        </row>
        <row r="1901">
          <cell r="I1901" t="str">
            <v>EDI</v>
          </cell>
          <cell r="N1901" t="str">
            <v>Requirements Gathering</v>
          </cell>
          <cell r="O1901" t="str">
            <v>No</v>
          </cell>
          <cell r="Q1901" t="str">
            <v>Cancelled</v>
          </cell>
          <cell r="R1901">
            <v>45631.922627314823</v>
          </cell>
          <cell r="S1901" t="str">
            <v>Abdulrahman Tarek</v>
          </cell>
          <cell r="T1901">
            <v>45634</v>
          </cell>
          <cell r="U1901" t="str">
            <v>Hans De Grouw</v>
          </cell>
        </row>
        <row r="1902">
          <cell r="I1902" t="str">
            <v>EDI</v>
          </cell>
          <cell r="L1902">
            <v>3491</v>
          </cell>
          <cell r="N1902" t="str">
            <v>Production</v>
          </cell>
          <cell r="O1902" t="str">
            <v>No</v>
          </cell>
          <cell r="Q1902" t="str">
            <v>Live</v>
          </cell>
          <cell r="R1902">
            <v>45631.848356481481</v>
          </cell>
          <cell r="S1902" t="str">
            <v>Ahmed Ali</v>
          </cell>
          <cell r="T1902">
            <v>45648</v>
          </cell>
          <cell r="U1902" t="str">
            <v>Gregory Dubec</v>
          </cell>
          <cell r="V1902">
            <v>45670</v>
          </cell>
          <cell r="W1902">
            <v>45736</v>
          </cell>
          <cell r="Y1902">
            <v>45646</v>
          </cell>
          <cell r="AC1902">
            <v>45735</v>
          </cell>
        </row>
        <row r="1903">
          <cell r="I1903" t="str">
            <v>EDI</v>
          </cell>
          <cell r="L1903">
            <v>3536</v>
          </cell>
          <cell r="N1903" t="str">
            <v>Production</v>
          </cell>
          <cell r="O1903" t="str">
            <v>No</v>
          </cell>
          <cell r="Q1903" t="str">
            <v>Live</v>
          </cell>
          <cell r="R1903">
            <v>45631.848356481481</v>
          </cell>
          <cell r="S1903" t="str">
            <v>Alaa Yehia</v>
          </cell>
          <cell r="T1903">
            <v>45665</v>
          </cell>
          <cell r="U1903" t="str">
            <v>Gregory Dubec</v>
          </cell>
          <cell r="V1903">
            <v>45679</v>
          </cell>
          <cell r="W1903">
            <v>45729</v>
          </cell>
          <cell r="Y1903">
            <v>45662</v>
          </cell>
          <cell r="AC1903">
            <v>45727</v>
          </cell>
        </row>
        <row r="1904">
          <cell r="I1904" t="str">
            <v>EDI</v>
          </cell>
          <cell r="L1904">
            <v>3575</v>
          </cell>
          <cell r="N1904" t="str">
            <v>Production</v>
          </cell>
          <cell r="O1904" t="str">
            <v>No</v>
          </cell>
          <cell r="Q1904" t="str">
            <v>Live</v>
          </cell>
          <cell r="R1904">
            <v>45631.848344907397</v>
          </cell>
          <cell r="S1904" t="str">
            <v>Alaa Yehia</v>
          </cell>
          <cell r="T1904">
            <v>45677</v>
          </cell>
          <cell r="U1904" t="str">
            <v>Gregory Dubec</v>
          </cell>
          <cell r="V1904">
            <v>45702</v>
          </cell>
          <cell r="W1904">
            <v>45736</v>
          </cell>
          <cell r="Y1904">
            <v>45676</v>
          </cell>
          <cell r="AC1904">
            <v>45734</v>
          </cell>
        </row>
        <row r="1905">
          <cell r="I1905" t="str">
            <v>EDI</v>
          </cell>
          <cell r="L1905">
            <v>3492</v>
          </cell>
          <cell r="N1905" t="str">
            <v>Production</v>
          </cell>
          <cell r="O1905" t="str">
            <v>No</v>
          </cell>
          <cell r="Q1905" t="str">
            <v>Live</v>
          </cell>
          <cell r="R1905">
            <v>45631.848344907397</v>
          </cell>
          <cell r="S1905" t="str">
            <v>Joseph Atef</v>
          </cell>
          <cell r="T1905">
            <v>45643</v>
          </cell>
          <cell r="U1905" t="str">
            <v>Gregory Dubec</v>
          </cell>
          <cell r="V1905">
            <v>45707</v>
          </cell>
          <cell r="W1905">
            <v>45749</v>
          </cell>
          <cell r="Y1905">
            <v>45637</v>
          </cell>
          <cell r="AC1905">
            <v>45744</v>
          </cell>
        </row>
        <row r="1906">
          <cell r="I1906" t="str">
            <v>EDI</v>
          </cell>
          <cell r="L1906">
            <v>3482</v>
          </cell>
          <cell r="N1906" t="str">
            <v>Production</v>
          </cell>
          <cell r="O1906" t="str">
            <v>No</v>
          </cell>
          <cell r="Q1906" t="str">
            <v>Live</v>
          </cell>
          <cell r="R1906">
            <v>45631.848344907397</v>
          </cell>
          <cell r="S1906" t="str">
            <v>Mirna Azmy</v>
          </cell>
          <cell r="T1906">
            <v>45643</v>
          </cell>
          <cell r="U1906" t="str">
            <v>Gregory Dubec</v>
          </cell>
          <cell r="V1906">
            <v>45643</v>
          </cell>
          <cell r="W1906">
            <v>45722</v>
          </cell>
          <cell r="Y1906">
            <v>45638</v>
          </cell>
          <cell r="AC1906">
            <v>45721</v>
          </cell>
        </row>
        <row r="1907">
          <cell r="I1907" t="str">
            <v>EDI</v>
          </cell>
          <cell r="L1907">
            <v>3530</v>
          </cell>
          <cell r="N1907" t="str">
            <v>Production</v>
          </cell>
          <cell r="O1907" t="str">
            <v>No</v>
          </cell>
          <cell r="Q1907" t="str">
            <v>Live</v>
          </cell>
          <cell r="R1907">
            <v>45631.750509259262</v>
          </cell>
          <cell r="S1907" t="str">
            <v>Omnia Abdelaziz</v>
          </cell>
          <cell r="T1907">
            <v>45655</v>
          </cell>
          <cell r="U1907" t="str">
            <v>Tammy Davies</v>
          </cell>
          <cell r="V1907">
            <v>45679</v>
          </cell>
          <cell r="W1907">
            <v>45697</v>
          </cell>
          <cell r="Y1907">
            <v>45654</v>
          </cell>
          <cell r="AC1907">
            <v>45687</v>
          </cell>
        </row>
        <row r="1908">
          <cell r="I1908" t="str">
            <v>EDI</v>
          </cell>
          <cell r="L1908">
            <v>3589</v>
          </cell>
          <cell r="N1908" t="str">
            <v>Production</v>
          </cell>
          <cell r="O1908" t="str">
            <v>No</v>
          </cell>
          <cell r="Q1908" t="str">
            <v>Live</v>
          </cell>
          <cell r="R1908">
            <v>45631.674363425933</v>
          </cell>
          <cell r="S1908" t="str">
            <v>Amr Salah</v>
          </cell>
          <cell r="T1908">
            <v>45679</v>
          </cell>
          <cell r="U1908" t="str">
            <v>Rhettsmey Meak</v>
          </cell>
          <cell r="V1908">
            <v>45701</v>
          </cell>
          <cell r="W1908">
            <v>25569</v>
          </cell>
          <cell r="Y1908">
            <v>45672</v>
          </cell>
          <cell r="AC1908">
            <v>45711</v>
          </cell>
        </row>
        <row r="1909">
          <cell r="I1909" t="str">
            <v>EDI</v>
          </cell>
          <cell r="L1909">
            <v>3528</v>
          </cell>
          <cell r="N1909" t="str">
            <v>Production</v>
          </cell>
          <cell r="O1909" t="str">
            <v>No</v>
          </cell>
          <cell r="Q1909" t="str">
            <v>Cancelled</v>
          </cell>
          <cell r="R1909">
            <v>45630.943831018521</v>
          </cell>
          <cell r="S1909" t="str">
            <v>Zeyad Khaled</v>
          </cell>
          <cell r="T1909">
            <v>45641</v>
          </cell>
          <cell r="U1909" t="str">
            <v>Ron Anderson</v>
          </cell>
          <cell r="V1909">
            <v>45673</v>
          </cell>
          <cell r="W1909">
            <v>45679</v>
          </cell>
          <cell r="Y1909">
            <v>45637</v>
          </cell>
          <cell r="AC1909">
            <v>45679</v>
          </cell>
        </row>
        <row r="1910">
          <cell r="I1910" t="str">
            <v>EDI</v>
          </cell>
          <cell r="L1910">
            <v>3476</v>
          </cell>
          <cell r="N1910" t="str">
            <v>Production</v>
          </cell>
          <cell r="O1910" t="str">
            <v>No</v>
          </cell>
          <cell r="Q1910" t="str">
            <v>Cancelled</v>
          </cell>
          <cell r="R1910">
            <v>45630.940833333327</v>
          </cell>
          <cell r="S1910" t="str">
            <v>Mina George</v>
          </cell>
          <cell r="T1910">
            <v>45641</v>
          </cell>
          <cell r="U1910" t="str">
            <v>Matt Howell</v>
          </cell>
          <cell r="V1910">
            <v>45651</v>
          </cell>
          <cell r="W1910">
            <v>45694</v>
          </cell>
          <cell r="Y1910">
            <v>45640</v>
          </cell>
          <cell r="AC1910">
            <v>45693</v>
          </cell>
        </row>
        <row r="1911">
          <cell r="I1911" t="str">
            <v>EDI</v>
          </cell>
          <cell r="L1911">
            <v>3507</v>
          </cell>
          <cell r="N1911" t="str">
            <v>Production</v>
          </cell>
          <cell r="O1911" t="str">
            <v>No</v>
          </cell>
          <cell r="Q1911" t="str">
            <v>Live</v>
          </cell>
          <cell r="R1911">
            <v>45630.940821759257</v>
          </cell>
          <cell r="S1911" t="str">
            <v>Mina Kamil</v>
          </cell>
          <cell r="T1911">
            <v>45641</v>
          </cell>
          <cell r="U1911" t="str">
            <v>Matt Howell</v>
          </cell>
          <cell r="W1911">
            <v>25569</v>
          </cell>
          <cell r="Y1911">
            <v>45640</v>
          </cell>
          <cell r="AC1911">
            <v>45693</v>
          </cell>
        </row>
        <row r="1912">
          <cell r="I1912" t="str">
            <v>EDI</v>
          </cell>
          <cell r="L1912">
            <v>3480</v>
          </cell>
          <cell r="N1912" t="str">
            <v>Production</v>
          </cell>
          <cell r="O1912" t="str">
            <v>No</v>
          </cell>
          <cell r="Q1912" t="str">
            <v>Cancelled</v>
          </cell>
          <cell r="R1912">
            <v>45630.935196759259</v>
          </cell>
          <cell r="S1912" t="str">
            <v>Mahmoud Ashraf</v>
          </cell>
          <cell r="T1912">
            <v>45641</v>
          </cell>
          <cell r="U1912" t="str">
            <v>Ron Anderson</v>
          </cell>
          <cell r="V1912">
            <v>45673</v>
          </cell>
          <cell r="W1912">
            <v>45700</v>
          </cell>
          <cell r="Y1912">
            <v>45637</v>
          </cell>
          <cell r="AC1912">
            <v>45700</v>
          </cell>
        </row>
        <row r="1913">
          <cell r="I1913" t="str">
            <v>EDI</v>
          </cell>
          <cell r="L1913">
            <v>3486</v>
          </cell>
          <cell r="N1913" t="str">
            <v>Production</v>
          </cell>
          <cell r="O1913" t="str">
            <v>No</v>
          </cell>
          <cell r="Q1913" t="str">
            <v>Cancelled</v>
          </cell>
          <cell r="R1913">
            <v>45630.935196759259</v>
          </cell>
          <cell r="S1913" t="str">
            <v>Omnia Abdelaziz</v>
          </cell>
          <cell r="T1913">
            <v>45641</v>
          </cell>
          <cell r="U1913" t="str">
            <v>Ron Anderson</v>
          </cell>
          <cell r="V1913">
            <v>45678</v>
          </cell>
          <cell r="W1913">
            <v>45699</v>
          </cell>
          <cell r="Y1913">
            <v>45637</v>
          </cell>
          <cell r="AC1913">
            <v>45699</v>
          </cell>
        </row>
        <row r="1914">
          <cell r="I1914" t="str">
            <v>EDI</v>
          </cell>
          <cell r="L1914">
            <v>3547</v>
          </cell>
          <cell r="N1914" t="str">
            <v>Production</v>
          </cell>
          <cell r="O1914" t="str">
            <v>No</v>
          </cell>
          <cell r="Q1914" t="str">
            <v>Live</v>
          </cell>
          <cell r="R1914">
            <v>45630.932025462957</v>
          </cell>
          <cell r="S1914" t="str">
            <v>Reem Radwan</v>
          </cell>
          <cell r="T1914">
            <v>45669</v>
          </cell>
          <cell r="U1914" t="str">
            <v>Matt Howell</v>
          </cell>
          <cell r="V1914">
            <v>45672</v>
          </cell>
          <cell r="W1914">
            <v>45684</v>
          </cell>
          <cell r="Y1914">
            <v>45666</v>
          </cell>
          <cell r="AC1914">
            <v>45683</v>
          </cell>
        </row>
        <row r="1915">
          <cell r="I1915" t="str">
            <v>EDI</v>
          </cell>
          <cell r="L1915">
            <v>3475</v>
          </cell>
          <cell r="N1915" t="str">
            <v>Production</v>
          </cell>
          <cell r="O1915" t="str">
            <v>No</v>
          </cell>
          <cell r="Q1915" t="str">
            <v>Live</v>
          </cell>
          <cell r="R1915">
            <v>45630.890983796293</v>
          </cell>
          <cell r="S1915" t="str">
            <v>Mina George</v>
          </cell>
          <cell r="T1915">
            <v>45637</v>
          </cell>
          <cell r="U1915" t="str">
            <v>Tyler  Raposa</v>
          </cell>
          <cell r="V1915">
            <v>45643</v>
          </cell>
          <cell r="W1915">
            <v>45698</v>
          </cell>
          <cell r="Y1915">
            <v>45635</v>
          </cell>
          <cell r="AC1915">
            <v>45698</v>
          </cell>
        </row>
        <row r="1916">
          <cell r="I1916" t="str">
            <v>EDI</v>
          </cell>
          <cell r="L1916">
            <v>4139</v>
          </cell>
          <cell r="N1916" t="str">
            <v>Production</v>
          </cell>
          <cell r="O1916" t="str">
            <v>No</v>
          </cell>
          <cell r="Q1916" t="str">
            <v>Live</v>
          </cell>
          <cell r="R1916">
            <v>45630.890694444453</v>
          </cell>
          <cell r="S1916" t="str">
            <v>Omnia Abdelaziz</v>
          </cell>
          <cell r="T1916">
            <v>45925</v>
          </cell>
          <cell r="U1916" t="str">
            <v>Scott Henrehan</v>
          </cell>
          <cell r="V1916">
            <v>45957</v>
          </cell>
          <cell r="W1916">
            <v>46014</v>
          </cell>
          <cell r="Y1916">
            <v>45925</v>
          </cell>
          <cell r="AC1916">
            <v>46009</v>
          </cell>
        </row>
        <row r="1917">
          <cell r="I1917" t="str">
            <v>EDI</v>
          </cell>
          <cell r="L1917">
            <v>3549</v>
          </cell>
          <cell r="N1917" t="str">
            <v>Production</v>
          </cell>
          <cell r="O1917" t="str">
            <v>No</v>
          </cell>
          <cell r="Q1917" t="str">
            <v>Live</v>
          </cell>
          <cell r="R1917">
            <v>45630.887048611112</v>
          </cell>
          <cell r="S1917" t="str">
            <v>Noha Moustafa</v>
          </cell>
          <cell r="T1917">
            <v>45655</v>
          </cell>
          <cell r="U1917" t="str">
            <v>Scott Henrehan</v>
          </cell>
          <cell r="V1917">
            <v>25569</v>
          </cell>
          <cell r="W1917">
            <v>25569</v>
          </cell>
          <cell r="Y1917">
            <v>45650</v>
          </cell>
          <cell r="AC1917">
            <v>45783</v>
          </cell>
        </row>
        <row r="1918">
          <cell r="I1918" t="str">
            <v>EDI</v>
          </cell>
          <cell r="L1918">
            <v>3572</v>
          </cell>
          <cell r="N1918" t="str">
            <v>Production</v>
          </cell>
          <cell r="O1918" t="str">
            <v>No</v>
          </cell>
          <cell r="Q1918" t="str">
            <v>Live</v>
          </cell>
          <cell r="R1918">
            <v>45630.885740740741</v>
          </cell>
          <cell r="S1918" t="str">
            <v>Andrew Ramy</v>
          </cell>
          <cell r="T1918">
            <v>45669</v>
          </cell>
          <cell r="U1918" t="str">
            <v>Scott Henrehan</v>
          </cell>
          <cell r="V1918">
            <v>45713</v>
          </cell>
          <cell r="W1918">
            <v>45786</v>
          </cell>
          <cell r="Y1918">
            <v>45669</v>
          </cell>
          <cell r="AC1918">
            <v>45782</v>
          </cell>
        </row>
        <row r="1919">
          <cell r="I1919" t="str">
            <v>EDI</v>
          </cell>
          <cell r="L1919">
            <v>3578</v>
          </cell>
          <cell r="N1919" t="str">
            <v>Testing</v>
          </cell>
          <cell r="O1919" t="str">
            <v>No</v>
          </cell>
          <cell r="Q1919" t="str">
            <v>In Progress</v>
          </cell>
          <cell r="R1919">
            <v>45630.884386574071</v>
          </cell>
          <cell r="S1919" t="str">
            <v>Andrew Ramy</v>
          </cell>
          <cell r="T1919">
            <v>45669</v>
          </cell>
          <cell r="U1919" t="str">
            <v>Scott Henrehan</v>
          </cell>
          <cell r="V1919">
            <v>45744</v>
          </cell>
          <cell r="Y1919">
            <v>45667</v>
          </cell>
          <cell r="AC1919">
            <v>45778</v>
          </cell>
        </row>
        <row r="1920">
          <cell r="I1920" t="str">
            <v>EDI</v>
          </cell>
          <cell r="L1920">
            <v>3669</v>
          </cell>
          <cell r="N1920" t="str">
            <v>Production</v>
          </cell>
          <cell r="O1920" t="str">
            <v>No</v>
          </cell>
          <cell r="Q1920" t="str">
            <v>Live</v>
          </cell>
          <cell r="R1920">
            <v>45630.882465277777</v>
          </cell>
          <cell r="S1920" t="str">
            <v>Omnia Abdelaziz</v>
          </cell>
          <cell r="T1920">
            <v>45705</v>
          </cell>
          <cell r="U1920" t="str">
            <v>Scott Henrehan</v>
          </cell>
          <cell r="V1920">
            <v>45742</v>
          </cell>
          <cell r="W1920">
            <v>45828</v>
          </cell>
          <cell r="Y1920">
            <v>45703</v>
          </cell>
          <cell r="AC1920">
            <v>45824</v>
          </cell>
        </row>
        <row r="1921">
          <cell r="I1921" t="str">
            <v>EDI</v>
          </cell>
          <cell r="L1921">
            <v>3495</v>
          </cell>
          <cell r="N1921" t="str">
            <v>Production</v>
          </cell>
          <cell r="O1921" t="str">
            <v>No</v>
          </cell>
          <cell r="Q1921" t="str">
            <v>Live</v>
          </cell>
          <cell r="R1921">
            <v>45630.880046296297</v>
          </cell>
          <cell r="S1921" t="str">
            <v>Omnia Abdelaziz</v>
          </cell>
          <cell r="T1921">
            <v>45645</v>
          </cell>
          <cell r="U1921" t="str">
            <v>Scott Henrehan</v>
          </cell>
          <cell r="V1921">
            <v>45665</v>
          </cell>
          <cell r="W1921">
            <v>45831</v>
          </cell>
          <cell r="Y1921">
            <v>45644</v>
          </cell>
          <cell r="AC1921">
            <v>45827</v>
          </cell>
        </row>
        <row r="1922">
          <cell r="I1922" t="str">
            <v>EDI</v>
          </cell>
          <cell r="L1922">
            <v>3691</v>
          </cell>
          <cell r="N1922" t="str">
            <v>Production</v>
          </cell>
          <cell r="O1922" t="str">
            <v>No</v>
          </cell>
          <cell r="Q1922" t="str">
            <v>Live</v>
          </cell>
          <cell r="R1922">
            <v>45630.877349537041</v>
          </cell>
          <cell r="S1922" t="str">
            <v>Alaa Yehia</v>
          </cell>
          <cell r="T1922">
            <v>45711</v>
          </cell>
          <cell r="U1922" t="str">
            <v>Scott Henrehan</v>
          </cell>
          <cell r="V1922">
            <v>45775</v>
          </cell>
          <cell r="W1922">
            <v>45926</v>
          </cell>
          <cell r="Y1922">
            <v>45708</v>
          </cell>
          <cell r="AC1922">
            <v>45921</v>
          </cell>
        </row>
        <row r="1923">
          <cell r="I1923" t="str">
            <v>EDI</v>
          </cell>
          <cell r="L1923">
            <v>3488</v>
          </cell>
          <cell r="N1923" t="str">
            <v>Production</v>
          </cell>
          <cell r="O1923" t="str">
            <v>No</v>
          </cell>
          <cell r="Q1923" t="str">
            <v>Live</v>
          </cell>
          <cell r="R1923">
            <v>45630.711111111108</v>
          </cell>
          <cell r="S1923" t="str">
            <v>Andrew Ramy</v>
          </cell>
          <cell r="T1923">
            <v>45637</v>
          </cell>
          <cell r="U1923" t="str">
            <v>Trish Kalinczok</v>
          </cell>
          <cell r="V1923">
            <v>45691</v>
          </cell>
          <cell r="W1923">
            <v>45803</v>
          </cell>
          <cell r="Y1923">
            <v>45635</v>
          </cell>
          <cell r="AC1923">
            <v>45802</v>
          </cell>
        </row>
        <row r="1924">
          <cell r="I1924" t="str">
            <v>EDI</v>
          </cell>
          <cell r="L1924">
            <v>3466</v>
          </cell>
          <cell r="N1924" t="str">
            <v>Production</v>
          </cell>
          <cell r="O1924" t="str">
            <v>No</v>
          </cell>
          <cell r="Q1924" t="str">
            <v>Cancelled</v>
          </cell>
          <cell r="R1924">
            <v>45629.813935185193</v>
          </cell>
          <cell r="S1924" t="str">
            <v>Mirna Azmy</v>
          </cell>
          <cell r="T1924">
            <v>45637</v>
          </cell>
          <cell r="U1924" t="str">
            <v>Gregory Dubec</v>
          </cell>
          <cell r="V1924">
            <v>45683</v>
          </cell>
          <cell r="W1924">
            <v>45694</v>
          </cell>
          <cell r="Y1924">
            <v>45635</v>
          </cell>
          <cell r="AC1924">
            <v>45694</v>
          </cell>
        </row>
        <row r="1925">
          <cell r="I1925" t="str">
            <v>EDI</v>
          </cell>
          <cell r="L1925">
            <v>3525</v>
          </cell>
          <cell r="N1925" t="str">
            <v>Production</v>
          </cell>
          <cell r="O1925" t="str">
            <v>No</v>
          </cell>
          <cell r="Q1925" t="str">
            <v>Live</v>
          </cell>
          <cell r="R1925">
            <v>45629.75990740741</v>
          </cell>
          <cell r="S1925" t="str">
            <v>Hazem Rostom</v>
          </cell>
          <cell r="T1925">
            <v>45659</v>
          </cell>
          <cell r="U1925" t="str">
            <v>Scott Henrehan</v>
          </cell>
          <cell r="V1925">
            <v>45701</v>
          </cell>
          <cell r="W1925">
            <v>45765</v>
          </cell>
          <cell r="Y1925">
            <v>45656</v>
          </cell>
          <cell r="AC1925">
            <v>45760</v>
          </cell>
        </row>
        <row r="1926">
          <cell r="I1926" t="str">
            <v>EDI</v>
          </cell>
          <cell r="L1926">
            <v>3479</v>
          </cell>
          <cell r="N1926" t="str">
            <v>Production</v>
          </cell>
          <cell r="O1926" t="str">
            <v>No</v>
          </cell>
          <cell r="Q1926" t="str">
            <v>Live</v>
          </cell>
          <cell r="R1926">
            <v>45629.720983796287</v>
          </cell>
          <cell r="S1926" t="str">
            <v>Ahmed Ali</v>
          </cell>
          <cell r="T1926">
            <v>45643</v>
          </cell>
          <cell r="U1926" t="str">
            <v>Rhettsmey Meak</v>
          </cell>
          <cell r="V1926">
            <v>45659</v>
          </cell>
          <cell r="W1926">
            <v>45730</v>
          </cell>
          <cell r="Y1926">
            <v>45642</v>
          </cell>
          <cell r="AC1926">
            <v>45725</v>
          </cell>
        </row>
        <row r="1927">
          <cell r="I1927" t="str">
            <v>EDI</v>
          </cell>
          <cell r="L1927">
            <v>3464</v>
          </cell>
          <cell r="N1927" t="str">
            <v>Production</v>
          </cell>
          <cell r="O1927" t="str">
            <v>No</v>
          </cell>
          <cell r="Q1927" t="str">
            <v>Live</v>
          </cell>
          <cell r="R1927">
            <v>45629.720462962963</v>
          </cell>
          <cell r="S1927" t="str">
            <v>Mahmoud Ashraf</v>
          </cell>
          <cell r="T1927">
            <v>45634</v>
          </cell>
          <cell r="U1927" t="str">
            <v>Trish Kalinczok</v>
          </cell>
          <cell r="V1927">
            <v>45663</v>
          </cell>
          <cell r="W1927">
            <v>45685</v>
          </cell>
          <cell r="Y1927">
            <v>45633</v>
          </cell>
          <cell r="AC1927">
            <v>45683</v>
          </cell>
        </row>
        <row r="1928">
          <cell r="I1928" t="str">
            <v>EDI</v>
          </cell>
          <cell r="L1928">
            <v>3544</v>
          </cell>
          <cell r="N1928" t="str">
            <v>Production</v>
          </cell>
          <cell r="O1928" t="str">
            <v>No</v>
          </cell>
          <cell r="Q1928" t="str">
            <v>Cancelled</v>
          </cell>
          <cell r="R1928">
            <v>45629.68409722222</v>
          </cell>
          <cell r="S1928" t="str">
            <v>Ahmed Ali</v>
          </cell>
          <cell r="T1928">
            <v>45669</v>
          </cell>
          <cell r="U1928" t="str">
            <v>Carolina Tanoue</v>
          </cell>
          <cell r="V1928">
            <v>45692</v>
          </cell>
          <cell r="W1928">
            <v>45782</v>
          </cell>
          <cell r="Y1928">
            <v>45666</v>
          </cell>
          <cell r="AC1928">
            <v>45779</v>
          </cell>
        </row>
        <row r="1929">
          <cell r="I1929" t="str">
            <v>EDI</v>
          </cell>
          <cell r="N1929" t="str">
            <v>Requirements Gathering</v>
          </cell>
          <cell r="O1929" t="str">
            <v>No</v>
          </cell>
          <cell r="Q1929" t="str">
            <v>Cancelled</v>
          </cell>
          <cell r="R1929">
            <v>45628.950520833343</v>
          </cell>
          <cell r="S1929" t="str">
            <v>Lourina Edmon</v>
          </cell>
          <cell r="T1929">
            <v>45663</v>
          </cell>
          <cell r="U1929" t="str">
            <v>Gregory Dubec</v>
          </cell>
          <cell r="Y1929">
            <v>45633</v>
          </cell>
        </row>
        <row r="1930">
          <cell r="I1930" t="str">
            <v>EDI</v>
          </cell>
          <cell r="L1930">
            <v>3474</v>
          </cell>
          <cell r="N1930" t="str">
            <v>Testing</v>
          </cell>
          <cell r="O1930" t="str">
            <v>No</v>
          </cell>
          <cell r="Q1930" t="str">
            <v>Cancelled</v>
          </cell>
          <cell r="R1930">
            <v>45628.950509259259</v>
          </cell>
          <cell r="S1930" t="str">
            <v>Mina Adel</v>
          </cell>
          <cell r="T1930">
            <v>45634</v>
          </cell>
          <cell r="U1930" t="str">
            <v>Gregory Dubec</v>
          </cell>
          <cell r="Y1930">
            <v>45633</v>
          </cell>
        </row>
        <row r="1931">
          <cell r="I1931" t="str">
            <v>EDI</v>
          </cell>
          <cell r="L1931">
            <v>3531</v>
          </cell>
          <cell r="N1931" t="str">
            <v>Production</v>
          </cell>
          <cell r="O1931" t="str">
            <v>No</v>
          </cell>
          <cell r="Q1931" t="str">
            <v>Cancelled</v>
          </cell>
          <cell r="R1931">
            <v>45623.723240740743</v>
          </cell>
          <cell r="S1931" t="str">
            <v>Mina Kamil</v>
          </cell>
          <cell r="T1931">
            <v>45659</v>
          </cell>
          <cell r="U1931" t="str">
            <v>Trish Kalinczok</v>
          </cell>
          <cell r="W1931">
            <v>25569</v>
          </cell>
          <cell r="Y1931">
            <v>45656</v>
          </cell>
          <cell r="AC1931">
            <v>45704</v>
          </cell>
        </row>
        <row r="1932">
          <cell r="I1932" t="str">
            <v>EDI</v>
          </cell>
          <cell r="L1932">
            <v>3573</v>
          </cell>
          <cell r="N1932" t="str">
            <v>Production</v>
          </cell>
          <cell r="O1932" t="str">
            <v>No</v>
          </cell>
          <cell r="Q1932" t="str">
            <v>Live</v>
          </cell>
          <cell r="R1932">
            <v>45622.91070601852</v>
          </cell>
          <cell r="S1932" t="str">
            <v>Ahmed Ali</v>
          </cell>
          <cell r="T1932">
            <v>46043</v>
          </cell>
          <cell r="U1932" t="str">
            <v>Scott Henrehan</v>
          </cell>
          <cell r="V1932">
            <v>45799</v>
          </cell>
          <cell r="W1932">
            <v>46086</v>
          </cell>
          <cell r="Y1932">
            <v>45672</v>
          </cell>
          <cell r="AC1932">
            <v>46086</v>
          </cell>
        </row>
        <row r="1933">
          <cell r="I1933" t="str">
            <v>EDI</v>
          </cell>
          <cell r="L1933">
            <v>3503</v>
          </cell>
          <cell r="N1933" t="str">
            <v>Production</v>
          </cell>
          <cell r="O1933" t="str">
            <v>No</v>
          </cell>
          <cell r="Q1933" t="str">
            <v>Cancelled</v>
          </cell>
          <cell r="R1933">
            <v>45622.907534722217</v>
          </cell>
          <cell r="S1933" t="str">
            <v>Noha Moustafa</v>
          </cell>
          <cell r="T1933">
            <v>45637</v>
          </cell>
          <cell r="U1933" t="str">
            <v>Trish Kalinczok</v>
          </cell>
          <cell r="V1933">
            <v>45683</v>
          </cell>
          <cell r="W1933">
            <v>45695</v>
          </cell>
          <cell r="Y1933">
            <v>45635</v>
          </cell>
          <cell r="AC1933">
            <v>45693</v>
          </cell>
        </row>
        <row r="1934">
          <cell r="I1934" t="str">
            <v>EDI</v>
          </cell>
          <cell r="L1934">
            <v>3458</v>
          </cell>
          <cell r="N1934" t="str">
            <v>Production</v>
          </cell>
          <cell r="O1934" t="str">
            <v>No</v>
          </cell>
          <cell r="Q1934" t="str">
            <v>Cancelled</v>
          </cell>
          <cell r="R1934">
            <v>45621.904699074083</v>
          </cell>
          <cell r="S1934" t="str">
            <v>Karim Tarek</v>
          </cell>
          <cell r="T1934">
            <v>45687</v>
          </cell>
          <cell r="U1934" t="str">
            <v>Tammy Davies</v>
          </cell>
          <cell r="V1934">
            <v>45691</v>
          </cell>
          <cell r="W1934">
            <v>45726</v>
          </cell>
          <cell r="Y1934">
            <v>45628</v>
          </cell>
          <cell r="AC1934">
            <v>45721</v>
          </cell>
        </row>
        <row r="1935">
          <cell r="I1935" t="str">
            <v>EDI</v>
          </cell>
          <cell r="L1935">
            <v>3498</v>
          </cell>
          <cell r="N1935" t="str">
            <v>Production</v>
          </cell>
          <cell r="O1935" t="str">
            <v>No</v>
          </cell>
          <cell r="Q1935" t="str">
            <v>Cancelled</v>
          </cell>
          <cell r="R1935">
            <v>45621.904687499999</v>
          </cell>
          <cell r="S1935" t="str">
            <v>Hazem Rostom</v>
          </cell>
          <cell r="T1935">
            <v>45634</v>
          </cell>
          <cell r="U1935" t="str">
            <v>Tammy Davies</v>
          </cell>
          <cell r="V1935">
            <v>45714</v>
          </cell>
          <cell r="W1935">
            <v>45783</v>
          </cell>
          <cell r="Y1935">
            <v>45632</v>
          </cell>
          <cell r="AC1935">
            <v>45783</v>
          </cell>
        </row>
        <row r="1936">
          <cell r="I1936" t="str">
            <v>EDI</v>
          </cell>
          <cell r="L1936">
            <v>3602</v>
          </cell>
          <cell r="N1936" t="str">
            <v>Production</v>
          </cell>
          <cell r="O1936" t="str">
            <v>No</v>
          </cell>
          <cell r="Q1936" t="str">
            <v>Live</v>
          </cell>
          <cell r="R1936">
            <v>45621.883368055547</v>
          </cell>
          <cell r="S1936" t="str">
            <v>Alaa Yehia</v>
          </cell>
          <cell r="T1936">
            <v>45693</v>
          </cell>
          <cell r="U1936" t="str">
            <v>Tammy Davies</v>
          </cell>
          <cell r="V1936">
            <v>45736</v>
          </cell>
          <cell r="W1936">
            <v>45884</v>
          </cell>
          <cell r="Y1936">
            <v>45692</v>
          </cell>
          <cell r="AC1936">
            <v>45886</v>
          </cell>
        </row>
        <row r="1937">
          <cell r="I1937" t="str">
            <v>EDI</v>
          </cell>
          <cell r="L1937">
            <v>3505</v>
          </cell>
          <cell r="N1937" t="str">
            <v>Production</v>
          </cell>
          <cell r="O1937" t="str">
            <v>No</v>
          </cell>
          <cell r="Q1937" t="str">
            <v>Cancelled</v>
          </cell>
          <cell r="R1937">
            <v>45621.883368055547</v>
          </cell>
          <cell r="S1937" t="str">
            <v>Mirna Azmy</v>
          </cell>
          <cell r="T1937">
            <v>45840</v>
          </cell>
          <cell r="U1937" t="str">
            <v>Tammy Davies</v>
          </cell>
          <cell r="V1937">
            <v>45700</v>
          </cell>
          <cell r="W1937">
            <v>25569</v>
          </cell>
          <cell r="Y1937">
            <v>45646</v>
          </cell>
          <cell r="AC1937">
            <v>45890</v>
          </cell>
        </row>
        <row r="1938">
          <cell r="I1938" t="str">
            <v>EDI</v>
          </cell>
          <cell r="L1938">
            <v>3454</v>
          </cell>
          <cell r="N1938" t="str">
            <v>Production</v>
          </cell>
          <cell r="O1938" t="str">
            <v>No</v>
          </cell>
          <cell r="Q1938" t="str">
            <v>Live</v>
          </cell>
          <cell r="R1938">
            <v>45621.883356481478</v>
          </cell>
          <cell r="S1938" t="str">
            <v>Karim Tarek</v>
          </cell>
          <cell r="T1938">
            <v>45687</v>
          </cell>
          <cell r="U1938" t="str">
            <v>Tammy Davies</v>
          </cell>
          <cell r="V1938">
            <v>45693</v>
          </cell>
          <cell r="W1938">
            <v>45777</v>
          </cell>
          <cell r="Y1938">
            <v>45627</v>
          </cell>
          <cell r="AC1938">
            <v>45776</v>
          </cell>
        </row>
        <row r="1939">
          <cell r="I1939" t="str">
            <v>EDI</v>
          </cell>
          <cell r="L1939">
            <v>3490</v>
          </cell>
          <cell r="N1939" t="str">
            <v>Production</v>
          </cell>
          <cell r="O1939" t="str">
            <v>No</v>
          </cell>
          <cell r="Q1939" t="str">
            <v>Live</v>
          </cell>
          <cell r="R1939">
            <v>45618.925891203697</v>
          </cell>
          <cell r="S1939" t="str">
            <v>Alaa Yehia</v>
          </cell>
          <cell r="T1939">
            <v>45641</v>
          </cell>
          <cell r="U1939" t="str">
            <v>Trish Kalinczok</v>
          </cell>
          <cell r="V1939">
            <v>25569</v>
          </cell>
          <cell r="W1939">
            <v>45677</v>
          </cell>
          <cell r="Y1939">
            <v>45637</v>
          </cell>
          <cell r="AC1939">
            <v>45674</v>
          </cell>
        </row>
        <row r="1940">
          <cell r="I1940" t="str">
            <v>EDI</v>
          </cell>
          <cell r="L1940">
            <v>3449</v>
          </cell>
          <cell r="N1940" t="str">
            <v>Production</v>
          </cell>
          <cell r="O1940" t="str">
            <v>No</v>
          </cell>
          <cell r="Q1940" t="str">
            <v>Live</v>
          </cell>
          <cell r="R1940">
            <v>45618.925879629627</v>
          </cell>
          <cell r="S1940" t="str">
            <v>Marwan Tawfik</v>
          </cell>
          <cell r="T1940">
            <v>45622</v>
          </cell>
          <cell r="U1940" t="str">
            <v>Trish Kalinczok</v>
          </cell>
          <cell r="V1940">
            <v>45648</v>
          </cell>
          <cell r="W1940">
            <v>45670</v>
          </cell>
          <cell r="Y1940">
            <v>45621</v>
          </cell>
          <cell r="AC1940">
            <v>45666</v>
          </cell>
        </row>
        <row r="1941">
          <cell r="I1941" t="str">
            <v>EDI</v>
          </cell>
          <cell r="L1941">
            <v>3467</v>
          </cell>
          <cell r="N1941" t="str">
            <v>Production</v>
          </cell>
          <cell r="O1941" t="str">
            <v>No</v>
          </cell>
          <cell r="Q1941" t="str">
            <v>Cancelled</v>
          </cell>
          <cell r="R1941">
            <v>45618.908680555563</v>
          </cell>
          <cell r="S1941" t="str">
            <v>Joseph Atef</v>
          </cell>
          <cell r="T1941">
            <v>45622</v>
          </cell>
          <cell r="U1941" t="str">
            <v>Trish Kalinczok</v>
          </cell>
          <cell r="W1941">
            <v>45657</v>
          </cell>
          <cell r="Y1941">
            <v>45621</v>
          </cell>
          <cell r="AC1941">
            <v>45657</v>
          </cell>
        </row>
        <row r="1942">
          <cell r="I1942" t="str">
            <v>EDI</v>
          </cell>
          <cell r="N1942" t="str">
            <v>Mapping</v>
          </cell>
          <cell r="O1942" t="str">
            <v>No</v>
          </cell>
          <cell r="Q1942" t="str">
            <v>Cancelled</v>
          </cell>
          <cell r="R1942">
            <v>45618.784062500003</v>
          </cell>
          <cell r="S1942" t="str">
            <v>Dina Medhat</v>
          </cell>
          <cell r="T1942">
            <v>45620</v>
          </cell>
          <cell r="U1942" t="str">
            <v>Hans De Grouw</v>
          </cell>
        </row>
        <row r="1943">
          <cell r="I1943" t="str">
            <v>EDI</v>
          </cell>
          <cell r="L1943">
            <v>3535</v>
          </cell>
          <cell r="N1943" t="str">
            <v>Production</v>
          </cell>
          <cell r="O1943" t="str">
            <v>No</v>
          </cell>
          <cell r="Q1943" t="str">
            <v>Cancelled</v>
          </cell>
          <cell r="R1943">
            <v>45618.784050925933</v>
          </cell>
          <cell r="S1943" t="str">
            <v>Dina Medhat</v>
          </cell>
          <cell r="T1943">
            <v>45620</v>
          </cell>
          <cell r="U1943" t="str">
            <v>Hans De Grouw</v>
          </cell>
          <cell r="V1943">
            <v>45692</v>
          </cell>
          <cell r="W1943">
            <v>45834</v>
          </cell>
          <cell r="AC1943">
            <v>45883</v>
          </cell>
        </row>
        <row r="1944">
          <cell r="I1944" t="str">
            <v>EDI</v>
          </cell>
          <cell r="L1944">
            <v>3463</v>
          </cell>
          <cell r="N1944" t="str">
            <v>Mapping</v>
          </cell>
          <cell r="O1944" t="str">
            <v>No</v>
          </cell>
          <cell r="Q1944" t="str">
            <v>Cancelled</v>
          </cell>
          <cell r="R1944">
            <v>45618.784039351849</v>
          </cell>
          <cell r="S1944" t="str">
            <v>Dina Medhat</v>
          </cell>
          <cell r="T1944">
            <v>45620</v>
          </cell>
          <cell r="U1944" t="str">
            <v>Hans De Grouw</v>
          </cell>
        </row>
        <row r="1945">
          <cell r="I1945" t="str">
            <v>EDI</v>
          </cell>
          <cell r="L1945">
            <v>3509</v>
          </cell>
          <cell r="N1945" t="str">
            <v>Production</v>
          </cell>
          <cell r="O1945" t="str">
            <v>No</v>
          </cell>
          <cell r="Q1945" t="str">
            <v>Live</v>
          </cell>
          <cell r="R1945">
            <v>45618.784039351849</v>
          </cell>
          <cell r="S1945" t="str">
            <v>Dina Medhat</v>
          </cell>
          <cell r="T1945">
            <v>45620</v>
          </cell>
          <cell r="U1945" t="str">
            <v>Hans De Grouw</v>
          </cell>
          <cell r="V1945">
            <v>45747</v>
          </cell>
          <cell r="W1945">
            <v>45841</v>
          </cell>
          <cell r="AC1945">
            <v>45883</v>
          </cell>
        </row>
        <row r="1946">
          <cell r="I1946" t="str">
            <v>EDI</v>
          </cell>
          <cell r="L1946">
            <v>3494</v>
          </cell>
          <cell r="N1946" t="str">
            <v>Production</v>
          </cell>
          <cell r="O1946" t="str">
            <v>No</v>
          </cell>
          <cell r="Q1946" t="str">
            <v>Live</v>
          </cell>
          <cell r="R1946">
            <v>45618.784016203703</v>
          </cell>
          <cell r="S1946" t="str">
            <v>Dina Medhat</v>
          </cell>
          <cell r="T1946">
            <v>45620</v>
          </cell>
          <cell r="U1946" t="str">
            <v>Hans De Grouw</v>
          </cell>
          <cell r="V1946">
            <v>45732</v>
          </cell>
          <cell r="W1946">
            <v>45799</v>
          </cell>
          <cell r="AC1946">
            <v>45795</v>
          </cell>
        </row>
        <row r="1947">
          <cell r="I1947" t="str">
            <v>EDI</v>
          </cell>
          <cell r="L1947">
            <v>3535</v>
          </cell>
          <cell r="N1947" t="str">
            <v>Production</v>
          </cell>
          <cell r="O1947" t="str">
            <v>No</v>
          </cell>
          <cell r="Q1947" t="str">
            <v>Cancelled</v>
          </cell>
          <cell r="R1947">
            <v>45618.774733796286</v>
          </cell>
          <cell r="S1947" t="str">
            <v>Dina Medhat</v>
          </cell>
          <cell r="T1947">
            <v>45620</v>
          </cell>
          <cell r="U1947" t="str">
            <v>Hans De Grouw</v>
          </cell>
          <cell r="V1947">
            <v>45692</v>
          </cell>
          <cell r="W1947">
            <v>45834</v>
          </cell>
          <cell r="AC1947">
            <v>45883</v>
          </cell>
        </row>
        <row r="1948">
          <cell r="I1948" t="str">
            <v>EDI</v>
          </cell>
          <cell r="N1948" t="str">
            <v>Mapping</v>
          </cell>
          <cell r="O1948" t="str">
            <v>No</v>
          </cell>
          <cell r="Q1948" t="str">
            <v>Cancelled</v>
          </cell>
          <cell r="R1948">
            <v>45618.774733796286</v>
          </cell>
          <cell r="S1948" t="str">
            <v>Dina Medhat</v>
          </cell>
          <cell r="T1948">
            <v>45620</v>
          </cell>
          <cell r="U1948" t="str">
            <v>Hans De Grouw</v>
          </cell>
        </row>
        <row r="1949">
          <cell r="I1949" t="str">
            <v>EDI</v>
          </cell>
          <cell r="L1949">
            <v>3463</v>
          </cell>
          <cell r="N1949" t="str">
            <v>Mapping</v>
          </cell>
          <cell r="O1949" t="str">
            <v>No</v>
          </cell>
          <cell r="Q1949" t="str">
            <v>Cancelled</v>
          </cell>
          <cell r="R1949">
            <v>45618.774722222217</v>
          </cell>
          <cell r="S1949" t="str">
            <v>Dina Medhat</v>
          </cell>
          <cell r="T1949">
            <v>45620</v>
          </cell>
          <cell r="U1949" t="str">
            <v>Hans De Grouw</v>
          </cell>
        </row>
        <row r="1950">
          <cell r="I1950" t="str">
            <v>EDI</v>
          </cell>
          <cell r="L1950">
            <v>3494</v>
          </cell>
          <cell r="N1950" t="str">
            <v>Production</v>
          </cell>
          <cell r="O1950" t="str">
            <v>No</v>
          </cell>
          <cell r="Q1950" t="str">
            <v>Live</v>
          </cell>
          <cell r="R1950">
            <v>45618.774710648147</v>
          </cell>
          <cell r="S1950" t="str">
            <v>Dina Medhat</v>
          </cell>
          <cell r="T1950">
            <v>45620</v>
          </cell>
          <cell r="U1950" t="str">
            <v>Hans De Grouw</v>
          </cell>
          <cell r="V1950">
            <v>45732</v>
          </cell>
          <cell r="W1950">
            <v>45799</v>
          </cell>
          <cell r="AC1950">
            <v>45795</v>
          </cell>
        </row>
        <row r="1951">
          <cell r="I1951" t="str">
            <v>EDI</v>
          </cell>
          <cell r="L1951">
            <v>3509</v>
          </cell>
          <cell r="N1951" t="str">
            <v>Production</v>
          </cell>
          <cell r="O1951" t="str">
            <v>No</v>
          </cell>
          <cell r="Q1951" t="str">
            <v>Live</v>
          </cell>
          <cell r="R1951">
            <v>45618.774699074071</v>
          </cell>
          <cell r="S1951" t="str">
            <v>Dina Medhat</v>
          </cell>
          <cell r="T1951">
            <v>45620</v>
          </cell>
          <cell r="U1951" t="str">
            <v>Hans De Grouw</v>
          </cell>
          <cell r="V1951">
            <v>45747</v>
          </cell>
          <cell r="W1951">
            <v>45841</v>
          </cell>
          <cell r="AC1951">
            <v>45883</v>
          </cell>
        </row>
        <row r="1952">
          <cell r="I1952" t="str">
            <v>EDI</v>
          </cell>
          <cell r="L1952">
            <v>3535</v>
          </cell>
          <cell r="N1952" t="str">
            <v>Production</v>
          </cell>
          <cell r="O1952" t="str">
            <v>No</v>
          </cell>
          <cell r="Q1952" t="str">
            <v>Cancelled</v>
          </cell>
          <cell r="R1952">
            <v>45618.767291666663</v>
          </cell>
          <cell r="S1952" t="str">
            <v>Dina Medhat</v>
          </cell>
          <cell r="T1952">
            <v>45620</v>
          </cell>
          <cell r="U1952" t="str">
            <v>Hans De Grouw</v>
          </cell>
          <cell r="V1952">
            <v>45692</v>
          </cell>
          <cell r="W1952">
            <v>45834</v>
          </cell>
          <cell r="AC1952">
            <v>45883</v>
          </cell>
        </row>
        <row r="1953">
          <cell r="I1953" t="str">
            <v>EDI</v>
          </cell>
          <cell r="N1953" t="str">
            <v>Mapping</v>
          </cell>
          <cell r="O1953" t="str">
            <v>No</v>
          </cell>
          <cell r="Q1953" t="str">
            <v>Cancelled</v>
          </cell>
          <cell r="R1953">
            <v>45618.767291666663</v>
          </cell>
          <cell r="S1953" t="str">
            <v>Dina Medhat</v>
          </cell>
          <cell r="T1953">
            <v>45620</v>
          </cell>
          <cell r="U1953" t="str">
            <v>Hans De Grouw</v>
          </cell>
        </row>
        <row r="1954">
          <cell r="I1954" t="str">
            <v>EDI</v>
          </cell>
          <cell r="L1954">
            <v>3463</v>
          </cell>
          <cell r="N1954" t="str">
            <v>Mapping</v>
          </cell>
          <cell r="O1954" t="str">
            <v>No</v>
          </cell>
          <cell r="Q1954" t="str">
            <v>Cancelled</v>
          </cell>
          <cell r="R1954">
            <v>45618.767280092587</v>
          </cell>
          <cell r="S1954" t="str">
            <v>Dina Medhat</v>
          </cell>
          <cell r="T1954">
            <v>45620</v>
          </cell>
          <cell r="U1954" t="str">
            <v>Hans De Grouw</v>
          </cell>
        </row>
        <row r="1955">
          <cell r="I1955" t="str">
            <v>EDI</v>
          </cell>
          <cell r="L1955">
            <v>3509</v>
          </cell>
          <cell r="N1955" t="str">
            <v>Production</v>
          </cell>
          <cell r="O1955" t="str">
            <v>No</v>
          </cell>
          <cell r="Q1955" t="str">
            <v>Live</v>
          </cell>
          <cell r="R1955">
            <v>45618.767280092587</v>
          </cell>
          <cell r="S1955" t="str">
            <v>Dina Medhat</v>
          </cell>
          <cell r="T1955">
            <v>45620</v>
          </cell>
          <cell r="U1955" t="str">
            <v>Hans De Grouw</v>
          </cell>
          <cell r="V1955">
            <v>45747</v>
          </cell>
          <cell r="W1955">
            <v>45841</v>
          </cell>
          <cell r="AC1955">
            <v>45883</v>
          </cell>
        </row>
        <row r="1956">
          <cell r="I1956" t="str">
            <v>EDI</v>
          </cell>
          <cell r="L1956">
            <v>3494</v>
          </cell>
          <cell r="N1956" t="str">
            <v>Production</v>
          </cell>
          <cell r="O1956" t="str">
            <v>No</v>
          </cell>
          <cell r="Q1956" t="str">
            <v>Live</v>
          </cell>
          <cell r="R1956">
            <v>45618.767268518517</v>
          </cell>
          <cell r="S1956" t="str">
            <v>Dina Medhat</v>
          </cell>
          <cell r="T1956">
            <v>45620</v>
          </cell>
          <cell r="U1956" t="str">
            <v>Hans De Grouw</v>
          </cell>
          <cell r="V1956">
            <v>45732</v>
          </cell>
          <cell r="W1956">
            <v>45799</v>
          </cell>
          <cell r="AC1956">
            <v>45795</v>
          </cell>
        </row>
        <row r="1957">
          <cell r="I1957" t="str">
            <v>EDI</v>
          </cell>
          <cell r="N1957" t="str">
            <v>Mapping</v>
          </cell>
          <cell r="O1957" t="str">
            <v>No</v>
          </cell>
          <cell r="Q1957" t="str">
            <v>Cancelled</v>
          </cell>
          <cell r="R1957">
            <v>45618.758888888893</v>
          </cell>
          <cell r="S1957" t="str">
            <v>Dina Medhat</v>
          </cell>
          <cell r="T1957">
            <v>45620</v>
          </cell>
          <cell r="U1957" t="str">
            <v>Hans De Grouw</v>
          </cell>
        </row>
        <row r="1958">
          <cell r="I1958" t="str">
            <v>EDI</v>
          </cell>
          <cell r="L1958">
            <v>3509</v>
          </cell>
          <cell r="N1958" t="str">
            <v>Production</v>
          </cell>
          <cell r="O1958" t="str">
            <v>No</v>
          </cell>
          <cell r="Q1958" t="str">
            <v>Live</v>
          </cell>
          <cell r="R1958">
            <v>45618.758877314824</v>
          </cell>
          <cell r="S1958" t="str">
            <v>Dina Medhat</v>
          </cell>
          <cell r="T1958">
            <v>45620</v>
          </cell>
          <cell r="U1958" t="str">
            <v>Hans De Grouw</v>
          </cell>
          <cell r="V1958">
            <v>45747</v>
          </cell>
          <cell r="W1958">
            <v>45841</v>
          </cell>
          <cell r="AC1958">
            <v>45883</v>
          </cell>
        </row>
        <row r="1959">
          <cell r="I1959" t="str">
            <v>EDI</v>
          </cell>
          <cell r="L1959">
            <v>3535</v>
          </cell>
          <cell r="N1959" t="str">
            <v>Production</v>
          </cell>
          <cell r="O1959" t="str">
            <v>No</v>
          </cell>
          <cell r="Q1959" t="str">
            <v>Cancelled</v>
          </cell>
          <cell r="R1959">
            <v>45618.758877314824</v>
          </cell>
          <cell r="S1959" t="str">
            <v>Dina Medhat</v>
          </cell>
          <cell r="T1959">
            <v>45620</v>
          </cell>
          <cell r="U1959" t="str">
            <v>Hans De Grouw</v>
          </cell>
          <cell r="V1959">
            <v>45692</v>
          </cell>
          <cell r="W1959">
            <v>45834</v>
          </cell>
          <cell r="AC1959">
            <v>45883</v>
          </cell>
        </row>
        <row r="1960">
          <cell r="I1960" t="str">
            <v>EDI</v>
          </cell>
          <cell r="L1960">
            <v>3463</v>
          </cell>
          <cell r="N1960" t="str">
            <v>Mapping</v>
          </cell>
          <cell r="O1960" t="str">
            <v>No</v>
          </cell>
          <cell r="Q1960" t="str">
            <v>Cancelled</v>
          </cell>
          <cell r="R1960">
            <v>45618.75886574074</v>
          </cell>
          <cell r="S1960" t="str">
            <v>Dina Medhat</v>
          </cell>
          <cell r="T1960">
            <v>45620</v>
          </cell>
          <cell r="U1960" t="str">
            <v>Hans De Grouw</v>
          </cell>
        </row>
        <row r="1961">
          <cell r="I1961" t="str">
            <v>EDI</v>
          </cell>
          <cell r="L1961">
            <v>3494</v>
          </cell>
          <cell r="N1961" t="str">
            <v>Production</v>
          </cell>
          <cell r="O1961" t="str">
            <v>No</v>
          </cell>
          <cell r="Q1961" t="str">
            <v>Live</v>
          </cell>
          <cell r="R1961">
            <v>45618.75885416667</v>
          </cell>
          <cell r="S1961" t="str">
            <v>Dina Medhat</v>
          </cell>
          <cell r="T1961">
            <v>45620</v>
          </cell>
          <cell r="U1961" t="str">
            <v>Hans De Grouw</v>
          </cell>
          <cell r="V1961">
            <v>45732</v>
          </cell>
          <cell r="W1961">
            <v>45799</v>
          </cell>
          <cell r="AC1961">
            <v>45795</v>
          </cell>
        </row>
        <row r="1962">
          <cell r="I1962" t="str">
            <v>EDI</v>
          </cell>
          <cell r="N1962" t="str">
            <v>Mapping</v>
          </cell>
          <cell r="O1962" t="str">
            <v>No</v>
          </cell>
          <cell r="Q1962" t="str">
            <v>Cancelled</v>
          </cell>
          <cell r="R1962">
            <v>45618.750324074077</v>
          </cell>
          <cell r="S1962" t="str">
            <v>Dina Medhat</v>
          </cell>
          <cell r="T1962">
            <v>45620</v>
          </cell>
          <cell r="U1962" t="str">
            <v>Hans De Grouw</v>
          </cell>
        </row>
        <row r="1963">
          <cell r="I1963" t="str">
            <v>EDI</v>
          </cell>
          <cell r="L1963">
            <v>3509</v>
          </cell>
          <cell r="N1963" t="str">
            <v>Production</v>
          </cell>
          <cell r="O1963" t="str">
            <v>No</v>
          </cell>
          <cell r="Q1963" t="str">
            <v>Live</v>
          </cell>
          <cell r="R1963">
            <v>45618.7503125</v>
          </cell>
          <cell r="S1963" t="str">
            <v>Dina Medhat</v>
          </cell>
          <cell r="T1963">
            <v>45620</v>
          </cell>
          <cell r="U1963" t="str">
            <v>Hans De Grouw</v>
          </cell>
          <cell r="V1963">
            <v>45747</v>
          </cell>
          <cell r="W1963">
            <v>45841</v>
          </cell>
          <cell r="AC1963">
            <v>45883</v>
          </cell>
        </row>
        <row r="1964">
          <cell r="I1964" t="str">
            <v>EDI</v>
          </cell>
          <cell r="L1964">
            <v>3535</v>
          </cell>
          <cell r="N1964" t="str">
            <v>Production</v>
          </cell>
          <cell r="O1964" t="str">
            <v>No</v>
          </cell>
          <cell r="Q1964" t="str">
            <v>Cancelled</v>
          </cell>
          <cell r="R1964">
            <v>45618.7503125</v>
          </cell>
          <cell r="S1964" t="str">
            <v>Dina Medhat</v>
          </cell>
          <cell r="T1964">
            <v>45620</v>
          </cell>
          <cell r="U1964" t="str">
            <v>Hans De Grouw</v>
          </cell>
          <cell r="V1964">
            <v>45692</v>
          </cell>
          <cell r="W1964">
            <v>45834</v>
          </cell>
          <cell r="AC1964">
            <v>45883</v>
          </cell>
        </row>
        <row r="1965">
          <cell r="I1965" t="str">
            <v>EDI</v>
          </cell>
          <cell r="L1965">
            <v>3463</v>
          </cell>
          <cell r="N1965" t="str">
            <v>Mapping</v>
          </cell>
          <cell r="O1965" t="str">
            <v>No</v>
          </cell>
          <cell r="Q1965" t="str">
            <v>Cancelled</v>
          </cell>
          <cell r="R1965">
            <v>45618.750300925924</v>
          </cell>
          <cell r="S1965" t="str">
            <v>Dina Medhat</v>
          </cell>
          <cell r="T1965">
            <v>45620</v>
          </cell>
          <cell r="U1965" t="str">
            <v>Hans De Grouw</v>
          </cell>
        </row>
        <row r="1966">
          <cell r="I1966" t="str">
            <v>EDI</v>
          </cell>
          <cell r="L1966">
            <v>3494</v>
          </cell>
          <cell r="N1966" t="str">
            <v>Production</v>
          </cell>
          <cell r="O1966" t="str">
            <v>No</v>
          </cell>
          <cell r="Q1966" t="str">
            <v>Live</v>
          </cell>
          <cell r="R1966">
            <v>45618.750289351847</v>
          </cell>
          <cell r="S1966" t="str">
            <v>Dina Medhat</v>
          </cell>
          <cell r="T1966">
            <v>45620</v>
          </cell>
          <cell r="U1966" t="str">
            <v>Hans De Grouw</v>
          </cell>
          <cell r="V1966">
            <v>45732</v>
          </cell>
          <cell r="W1966">
            <v>45799</v>
          </cell>
          <cell r="AC1966">
            <v>45795</v>
          </cell>
        </row>
        <row r="1967">
          <cell r="I1967" t="str">
            <v>EDI</v>
          </cell>
          <cell r="N1967" t="str">
            <v>Mapping</v>
          </cell>
          <cell r="O1967" t="str">
            <v>No</v>
          </cell>
          <cell r="Q1967" t="str">
            <v>Cancelled</v>
          </cell>
          <cell r="R1967">
            <v>45618.736238425918</v>
          </cell>
          <cell r="S1967" t="str">
            <v>Dina Medhat</v>
          </cell>
          <cell r="T1967">
            <v>45620</v>
          </cell>
          <cell r="U1967" t="str">
            <v>Hans De Grouw</v>
          </cell>
        </row>
        <row r="1968">
          <cell r="I1968" t="str">
            <v>EDI</v>
          </cell>
          <cell r="L1968">
            <v>3509</v>
          </cell>
          <cell r="N1968" t="str">
            <v>Production</v>
          </cell>
          <cell r="O1968" t="str">
            <v>No</v>
          </cell>
          <cell r="Q1968" t="str">
            <v>Live</v>
          </cell>
          <cell r="R1968">
            <v>45618.736226851863</v>
          </cell>
          <cell r="S1968" t="str">
            <v>Dina Medhat</v>
          </cell>
          <cell r="T1968">
            <v>45620</v>
          </cell>
          <cell r="U1968" t="str">
            <v>Hans De Grouw</v>
          </cell>
          <cell r="V1968">
            <v>45747</v>
          </cell>
          <cell r="W1968">
            <v>45841</v>
          </cell>
          <cell r="AC1968">
            <v>45883</v>
          </cell>
        </row>
        <row r="1969">
          <cell r="I1969" t="str">
            <v>EDI</v>
          </cell>
          <cell r="L1969">
            <v>3494</v>
          </cell>
          <cell r="N1969" t="str">
            <v>Production</v>
          </cell>
          <cell r="O1969" t="str">
            <v>No</v>
          </cell>
          <cell r="Q1969" t="str">
            <v>Live</v>
          </cell>
          <cell r="R1969">
            <v>45618.736215277779</v>
          </cell>
          <cell r="S1969" t="str">
            <v>Dina Medhat</v>
          </cell>
          <cell r="T1969">
            <v>45620</v>
          </cell>
          <cell r="U1969" t="str">
            <v>Hans De Grouw</v>
          </cell>
          <cell r="V1969">
            <v>45732</v>
          </cell>
          <cell r="W1969">
            <v>45799</v>
          </cell>
          <cell r="AC1969">
            <v>45795</v>
          </cell>
        </row>
        <row r="1970">
          <cell r="I1970" t="str">
            <v>EDI</v>
          </cell>
          <cell r="L1970">
            <v>3463</v>
          </cell>
          <cell r="N1970" t="str">
            <v>Mapping</v>
          </cell>
          <cell r="O1970" t="str">
            <v>No</v>
          </cell>
          <cell r="Q1970" t="str">
            <v>Cancelled</v>
          </cell>
          <cell r="R1970">
            <v>45618.736203703702</v>
          </cell>
          <cell r="S1970" t="str">
            <v>Dina Medhat</v>
          </cell>
          <cell r="T1970">
            <v>45620</v>
          </cell>
          <cell r="U1970" t="str">
            <v>Hans De Grouw</v>
          </cell>
        </row>
        <row r="1971">
          <cell r="I1971" t="str">
            <v>EDI</v>
          </cell>
          <cell r="L1971">
            <v>3535</v>
          </cell>
          <cell r="N1971" t="str">
            <v>Production</v>
          </cell>
          <cell r="O1971" t="str">
            <v>No</v>
          </cell>
          <cell r="Q1971" t="str">
            <v>Cancelled</v>
          </cell>
          <cell r="R1971">
            <v>45618.736203703702</v>
          </cell>
          <cell r="S1971" t="str">
            <v>Dina Medhat</v>
          </cell>
          <cell r="T1971">
            <v>45620</v>
          </cell>
          <cell r="U1971" t="str">
            <v>Hans De Grouw</v>
          </cell>
          <cell r="V1971">
            <v>45692</v>
          </cell>
          <cell r="W1971">
            <v>45834</v>
          </cell>
          <cell r="AC1971">
            <v>45883</v>
          </cell>
        </row>
        <row r="1972">
          <cell r="I1972" t="str">
            <v>EDI</v>
          </cell>
          <cell r="N1972" t="str">
            <v>Mapping</v>
          </cell>
          <cell r="O1972" t="str">
            <v>No</v>
          </cell>
          <cell r="Q1972" t="str">
            <v>Cancelled</v>
          </cell>
          <cell r="R1972">
            <v>45618.6640625</v>
          </cell>
          <cell r="S1972" t="str">
            <v>Dina Medhat</v>
          </cell>
          <cell r="T1972">
            <v>45620</v>
          </cell>
          <cell r="U1972" t="str">
            <v>Hans De Grouw</v>
          </cell>
        </row>
        <row r="1973">
          <cell r="I1973" t="str">
            <v>EDI</v>
          </cell>
          <cell r="L1973">
            <v>3535</v>
          </cell>
          <cell r="N1973" t="str">
            <v>Production</v>
          </cell>
          <cell r="O1973" t="str">
            <v>No</v>
          </cell>
          <cell r="Q1973" t="str">
            <v>Cancelled</v>
          </cell>
          <cell r="R1973">
            <v>45618.664050925923</v>
          </cell>
          <cell r="S1973" t="str">
            <v>Dina Medhat</v>
          </cell>
          <cell r="T1973">
            <v>45620</v>
          </cell>
          <cell r="U1973" t="str">
            <v>Hans De Grouw</v>
          </cell>
          <cell r="V1973">
            <v>45692</v>
          </cell>
          <cell r="W1973">
            <v>45834</v>
          </cell>
          <cell r="AC1973">
            <v>45883</v>
          </cell>
        </row>
        <row r="1974">
          <cell r="I1974" t="str">
            <v>EDI</v>
          </cell>
          <cell r="L1974">
            <v>3463</v>
          </cell>
          <cell r="N1974" t="str">
            <v>Mapping</v>
          </cell>
          <cell r="O1974" t="str">
            <v>No</v>
          </cell>
          <cell r="Q1974" t="str">
            <v>Cancelled</v>
          </cell>
          <cell r="R1974">
            <v>45618.664039351846</v>
          </cell>
          <cell r="S1974" t="str">
            <v>Dina Medhat</v>
          </cell>
          <cell r="T1974">
            <v>45620</v>
          </cell>
          <cell r="U1974" t="str">
            <v>Hans De Grouw</v>
          </cell>
        </row>
        <row r="1975">
          <cell r="I1975" t="str">
            <v>EDI</v>
          </cell>
          <cell r="L1975">
            <v>3509</v>
          </cell>
          <cell r="N1975" t="str">
            <v>Production</v>
          </cell>
          <cell r="O1975" t="str">
            <v>No</v>
          </cell>
          <cell r="Q1975" t="str">
            <v>Live</v>
          </cell>
          <cell r="R1975">
            <v>45618.664039351846</v>
          </cell>
          <cell r="S1975" t="str">
            <v>Dina Medhat</v>
          </cell>
          <cell r="T1975">
            <v>45620</v>
          </cell>
          <cell r="U1975" t="str">
            <v>Hans De Grouw</v>
          </cell>
          <cell r="V1975">
            <v>45747</v>
          </cell>
          <cell r="W1975">
            <v>45841</v>
          </cell>
          <cell r="AC1975">
            <v>45883</v>
          </cell>
        </row>
        <row r="1976">
          <cell r="I1976" t="str">
            <v>EDI</v>
          </cell>
          <cell r="L1976">
            <v>3494</v>
          </cell>
          <cell r="N1976" t="str">
            <v>Production</v>
          </cell>
          <cell r="O1976" t="str">
            <v>No</v>
          </cell>
          <cell r="Q1976" t="str">
            <v>Live</v>
          </cell>
          <cell r="R1976">
            <v>45618.664027777777</v>
          </cell>
          <cell r="S1976" t="str">
            <v>Dina Medhat</v>
          </cell>
          <cell r="T1976">
            <v>45620</v>
          </cell>
          <cell r="U1976" t="str">
            <v>Hans De Grouw</v>
          </cell>
          <cell r="V1976">
            <v>45732</v>
          </cell>
          <cell r="W1976">
            <v>45799</v>
          </cell>
          <cell r="AC1976">
            <v>45795</v>
          </cell>
        </row>
        <row r="1977">
          <cell r="I1977" t="str">
            <v>EDI</v>
          </cell>
          <cell r="L1977">
            <v>3535</v>
          </cell>
          <cell r="N1977" t="str">
            <v>Production</v>
          </cell>
          <cell r="O1977" t="str">
            <v>No</v>
          </cell>
          <cell r="Q1977" t="str">
            <v>Cancelled</v>
          </cell>
          <cell r="R1977">
            <v>45618.657152777778</v>
          </cell>
          <cell r="S1977" t="str">
            <v>Dina Medhat</v>
          </cell>
          <cell r="T1977">
            <v>45620</v>
          </cell>
          <cell r="U1977" t="str">
            <v>Hans De Grouw</v>
          </cell>
          <cell r="V1977">
            <v>45692</v>
          </cell>
          <cell r="W1977">
            <v>45834</v>
          </cell>
          <cell r="AC1977">
            <v>45883</v>
          </cell>
        </row>
        <row r="1978">
          <cell r="I1978" t="str">
            <v>EDI</v>
          </cell>
          <cell r="N1978" t="str">
            <v>Mapping</v>
          </cell>
          <cell r="O1978" t="str">
            <v>No</v>
          </cell>
          <cell r="Q1978" t="str">
            <v>Cancelled</v>
          </cell>
          <cell r="R1978">
            <v>45618.657152777778</v>
          </cell>
          <cell r="S1978" t="str">
            <v>Dina Medhat</v>
          </cell>
          <cell r="T1978">
            <v>45620</v>
          </cell>
          <cell r="U1978" t="str">
            <v>Hans De Grouw</v>
          </cell>
        </row>
        <row r="1979">
          <cell r="I1979" t="str">
            <v>EDI</v>
          </cell>
          <cell r="L1979">
            <v>3509</v>
          </cell>
          <cell r="N1979" t="str">
            <v>Production</v>
          </cell>
          <cell r="O1979" t="str">
            <v>No</v>
          </cell>
          <cell r="Q1979" t="str">
            <v>Live</v>
          </cell>
          <cell r="R1979">
            <v>45618.657141203701</v>
          </cell>
          <cell r="S1979" t="str">
            <v>Dina Medhat</v>
          </cell>
          <cell r="T1979">
            <v>45620</v>
          </cell>
          <cell r="U1979" t="str">
            <v>Hans De Grouw</v>
          </cell>
          <cell r="V1979">
            <v>45747</v>
          </cell>
          <cell r="W1979">
            <v>45841</v>
          </cell>
          <cell r="AC1979">
            <v>45883</v>
          </cell>
        </row>
        <row r="1980">
          <cell r="I1980" t="str">
            <v>EDI</v>
          </cell>
          <cell r="L1980">
            <v>3463</v>
          </cell>
          <cell r="N1980" t="str">
            <v>Mapping</v>
          </cell>
          <cell r="O1980" t="str">
            <v>No</v>
          </cell>
          <cell r="Q1980" t="str">
            <v>Cancelled</v>
          </cell>
          <cell r="R1980">
            <v>45618.657129629632</v>
          </cell>
          <cell r="S1980" t="str">
            <v>Dina Medhat</v>
          </cell>
          <cell r="T1980">
            <v>45620</v>
          </cell>
          <cell r="U1980" t="str">
            <v>Hans De Grouw</v>
          </cell>
        </row>
        <row r="1981">
          <cell r="I1981" t="str">
            <v>EDI</v>
          </cell>
          <cell r="L1981">
            <v>3494</v>
          </cell>
          <cell r="N1981" t="str">
            <v>Production</v>
          </cell>
          <cell r="O1981" t="str">
            <v>No</v>
          </cell>
          <cell r="Q1981" t="str">
            <v>Live</v>
          </cell>
          <cell r="R1981">
            <v>45618.657118055547</v>
          </cell>
          <cell r="S1981" t="str">
            <v>Dina Medhat</v>
          </cell>
          <cell r="T1981">
            <v>45620</v>
          </cell>
          <cell r="U1981" t="str">
            <v>Hans De Grouw</v>
          </cell>
          <cell r="V1981">
            <v>45732</v>
          </cell>
          <cell r="W1981">
            <v>45799</v>
          </cell>
          <cell r="AC1981">
            <v>45795</v>
          </cell>
        </row>
        <row r="1982">
          <cell r="I1982" t="str">
            <v>EDI</v>
          </cell>
          <cell r="N1982" t="str">
            <v>Mapping</v>
          </cell>
          <cell r="O1982" t="str">
            <v>No</v>
          </cell>
          <cell r="Q1982" t="str">
            <v>Cancelled</v>
          </cell>
          <cell r="R1982">
            <v>45618.59107638889</v>
          </cell>
          <cell r="S1982" t="str">
            <v>Dina Medhat</v>
          </cell>
          <cell r="T1982">
            <v>45620</v>
          </cell>
          <cell r="U1982" t="str">
            <v>Hans De Grouw</v>
          </cell>
        </row>
        <row r="1983">
          <cell r="I1983" t="str">
            <v>EDI</v>
          </cell>
          <cell r="L1983">
            <v>3535</v>
          </cell>
          <cell r="N1983" t="str">
            <v>Production</v>
          </cell>
          <cell r="O1983" t="str">
            <v>No</v>
          </cell>
          <cell r="Q1983" t="str">
            <v>Cancelled</v>
          </cell>
          <cell r="R1983">
            <v>45618.591064814813</v>
          </cell>
          <cell r="S1983" t="str">
            <v>Dina Medhat</v>
          </cell>
          <cell r="T1983">
            <v>45620</v>
          </cell>
          <cell r="U1983" t="str">
            <v>Hans De Grouw</v>
          </cell>
          <cell r="V1983">
            <v>45692</v>
          </cell>
          <cell r="W1983">
            <v>45834</v>
          </cell>
          <cell r="AC1983">
            <v>45883</v>
          </cell>
        </row>
        <row r="1984">
          <cell r="I1984" t="str">
            <v>EDI</v>
          </cell>
          <cell r="L1984">
            <v>3509</v>
          </cell>
          <cell r="N1984" t="str">
            <v>Production</v>
          </cell>
          <cell r="O1984" t="str">
            <v>No</v>
          </cell>
          <cell r="Q1984" t="str">
            <v>Live</v>
          </cell>
          <cell r="R1984">
            <v>45618.591053240743</v>
          </cell>
          <cell r="S1984" t="str">
            <v>Dina Medhat</v>
          </cell>
          <cell r="T1984">
            <v>45620</v>
          </cell>
          <cell r="U1984" t="str">
            <v>Hans De Grouw</v>
          </cell>
          <cell r="V1984">
            <v>45747</v>
          </cell>
          <cell r="W1984">
            <v>45841</v>
          </cell>
          <cell r="AC1984">
            <v>45883</v>
          </cell>
        </row>
        <row r="1985">
          <cell r="I1985" t="str">
            <v>EDI</v>
          </cell>
          <cell r="L1985">
            <v>3463</v>
          </cell>
          <cell r="N1985" t="str">
            <v>Mapping</v>
          </cell>
          <cell r="O1985" t="str">
            <v>No</v>
          </cell>
          <cell r="Q1985" t="str">
            <v>Cancelled</v>
          </cell>
          <cell r="R1985">
            <v>45618.591041666667</v>
          </cell>
          <cell r="S1985" t="str">
            <v>Dina Medhat</v>
          </cell>
          <cell r="T1985">
            <v>45620</v>
          </cell>
          <cell r="U1985" t="str">
            <v>Hans De Grouw</v>
          </cell>
        </row>
        <row r="1986">
          <cell r="I1986" t="str">
            <v>EDI</v>
          </cell>
          <cell r="L1986">
            <v>3494</v>
          </cell>
          <cell r="N1986" t="str">
            <v>Production</v>
          </cell>
          <cell r="O1986" t="str">
            <v>No</v>
          </cell>
          <cell r="Q1986" t="str">
            <v>Live</v>
          </cell>
          <cell r="R1986">
            <v>45618.59101851852</v>
          </cell>
          <cell r="S1986" t="str">
            <v>Dina Medhat</v>
          </cell>
          <cell r="T1986">
            <v>45620</v>
          </cell>
          <cell r="U1986" t="str">
            <v>Hans De Grouw</v>
          </cell>
          <cell r="V1986">
            <v>45732</v>
          </cell>
          <cell r="W1986">
            <v>45799</v>
          </cell>
          <cell r="AC1986">
            <v>45795</v>
          </cell>
        </row>
        <row r="1987">
          <cell r="I1987" t="str">
            <v>EDI</v>
          </cell>
          <cell r="L1987">
            <v>3535</v>
          </cell>
          <cell r="N1987" t="str">
            <v>Production</v>
          </cell>
          <cell r="O1987" t="str">
            <v>No</v>
          </cell>
          <cell r="Q1987" t="str">
            <v>Cancelled</v>
          </cell>
          <cell r="R1987">
            <v>45618.579918981479</v>
          </cell>
          <cell r="S1987" t="str">
            <v>Dina Medhat</v>
          </cell>
          <cell r="T1987">
            <v>45620</v>
          </cell>
          <cell r="U1987" t="str">
            <v>Hans De Grouw</v>
          </cell>
          <cell r="V1987">
            <v>45692</v>
          </cell>
          <cell r="W1987">
            <v>45834</v>
          </cell>
          <cell r="AC1987">
            <v>45883</v>
          </cell>
        </row>
        <row r="1988">
          <cell r="I1988" t="str">
            <v>EDI</v>
          </cell>
          <cell r="N1988" t="str">
            <v>Mapping</v>
          </cell>
          <cell r="O1988" t="str">
            <v>No</v>
          </cell>
          <cell r="Q1988" t="str">
            <v>Cancelled</v>
          </cell>
          <cell r="R1988">
            <v>45618.579918981479</v>
          </cell>
          <cell r="S1988" t="str">
            <v>Dina Medhat</v>
          </cell>
          <cell r="T1988">
            <v>45620</v>
          </cell>
          <cell r="U1988" t="str">
            <v>Hans De Grouw</v>
          </cell>
        </row>
        <row r="1989">
          <cell r="I1989" t="str">
            <v>EDI</v>
          </cell>
          <cell r="L1989">
            <v>3509</v>
          </cell>
          <cell r="N1989" t="str">
            <v>Production</v>
          </cell>
          <cell r="O1989" t="str">
            <v>No</v>
          </cell>
          <cell r="Q1989" t="str">
            <v>Live</v>
          </cell>
          <cell r="R1989">
            <v>45618.579907407409</v>
          </cell>
          <cell r="S1989" t="str">
            <v>Dina Medhat</v>
          </cell>
          <cell r="T1989">
            <v>45620</v>
          </cell>
          <cell r="U1989" t="str">
            <v>Hans De Grouw</v>
          </cell>
          <cell r="V1989">
            <v>45747</v>
          </cell>
          <cell r="W1989">
            <v>45841</v>
          </cell>
          <cell r="AC1989">
            <v>45883</v>
          </cell>
        </row>
        <row r="1990">
          <cell r="I1990" t="str">
            <v>EDI</v>
          </cell>
          <cell r="L1990">
            <v>3463</v>
          </cell>
          <cell r="N1990" t="str">
            <v>Mapping</v>
          </cell>
          <cell r="O1990" t="str">
            <v>No</v>
          </cell>
          <cell r="Q1990" t="str">
            <v>Cancelled</v>
          </cell>
          <cell r="R1990">
            <v>45618.579895833333</v>
          </cell>
          <cell r="S1990" t="str">
            <v>Dina Medhat</v>
          </cell>
          <cell r="T1990">
            <v>45620</v>
          </cell>
          <cell r="U1990" t="str">
            <v>Hans De Grouw</v>
          </cell>
        </row>
        <row r="1991">
          <cell r="I1991" t="str">
            <v>EDI</v>
          </cell>
          <cell r="L1991">
            <v>3494</v>
          </cell>
          <cell r="N1991" t="str">
            <v>Production</v>
          </cell>
          <cell r="O1991" t="str">
            <v>No</v>
          </cell>
          <cell r="Q1991" t="str">
            <v>Live</v>
          </cell>
          <cell r="R1991">
            <v>45618.579884259263</v>
          </cell>
          <cell r="S1991" t="str">
            <v>Dina Medhat</v>
          </cell>
          <cell r="T1991">
            <v>45620</v>
          </cell>
          <cell r="U1991" t="str">
            <v>Hans De Grouw</v>
          </cell>
          <cell r="V1991">
            <v>45732</v>
          </cell>
          <cell r="W1991">
            <v>45799</v>
          </cell>
          <cell r="AC1991">
            <v>45795</v>
          </cell>
        </row>
        <row r="1992">
          <cell r="I1992" t="str">
            <v>EDI</v>
          </cell>
          <cell r="L1992">
            <v>3535</v>
          </cell>
          <cell r="N1992" t="str">
            <v>Production</v>
          </cell>
          <cell r="O1992" t="str">
            <v>No</v>
          </cell>
          <cell r="Q1992" t="str">
            <v>Cancelled</v>
          </cell>
          <cell r="R1992">
            <v>45618.563425925917</v>
          </cell>
          <cell r="S1992" t="str">
            <v>Andrew Ramy</v>
          </cell>
          <cell r="T1992">
            <v>45659</v>
          </cell>
          <cell r="U1992" t="str">
            <v>Hans De Grouw</v>
          </cell>
          <cell r="V1992">
            <v>45692</v>
          </cell>
          <cell r="W1992">
            <v>45834</v>
          </cell>
          <cell r="Y1992">
            <v>45656</v>
          </cell>
          <cell r="AC1992">
            <v>45831</v>
          </cell>
        </row>
        <row r="1993">
          <cell r="I1993" t="str">
            <v>EDI</v>
          </cell>
          <cell r="N1993" t="str">
            <v>Requirements Gathering</v>
          </cell>
          <cell r="O1993" t="str">
            <v>No</v>
          </cell>
          <cell r="Q1993" t="str">
            <v>Cancelled</v>
          </cell>
          <cell r="R1993">
            <v>45618.563425925917</v>
          </cell>
          <cell r="S1993" t="str">
            <v>Abdulrahman Tarek</v>
          </cell>
          <cell r="T1993">
            <v>45620</v>
          </cell>
          <cell r="U1993" t="str">
            <v>Hans De Grouw</v>
          </cell>
        </row>
        <row r="1994">
          <cell r="I1994" t="str">
            <v>EDI</v>
          </cell>
          <cell r="L1994">
            <v>3509</v>
          </cell>
          <cell r="N1994" t="str">
            <v>Production</v>
          </cell>
          <cell r="O1994" t="str">
            <v>No</v>
          </cell>
          <cell r="Q1994" t="str">
            <v>Live</v>
          </cell>
          <cell r="R1994">
            <v>45618.563414351847</v>
          </cell>
          <cell r="S1994" t="str">
            <v>Mina Adel</v>
          </cell>
          <cell r="T1994">
            <v>45648</v>
          </cell>
          <cell r="U1994" t="str">
            <v>Hans De Grouw</v>
          </cell>
          <cell r="V1994">
            <v>45747</v>
          </cell>
          <cell r="W1994">
            <v>45841</v>
          </cell>
          <cell r="Y1994">
            <v>45646</v>
          </cell>
          <cell r="AC1994">
            <v>45839</v>
          </cell>
        </row>
        <row r="1995">
          <cell r="I1995" t="str">
            <v>EDI</v>
          </cell>
          <cell r="L1995">
            <v>3494</v>
          </cell>
          <cell r="N1995" t="str">
            <v>Production</v>
          </cell>
          <cell r="O1995" t="str">
            <v>No</v>
          </cell>
          <cell r="Q1995" t="str">
            <v>Live</v>
          </cell>
          <cell r="R1995">
            <v>45618.563402777778</v>
          </cell>
          <cell r="S1995" t="str">
            <v>Alaa Yehia</v>
          </cell>
          <cell r="T1995">
            <v>45648</v>
          </cell>
          <cell r="U1995" t="str">
            <v>Hans De Grouw</v>
          </cell>
          <cell r="V1995">
            <v>45732</v>
          </cell>
          <cell r="W1995">
            <v>45799</v>
          </cell>
          <cell r="Y1995">
            <v>45646</v>
          </cell>
          <cell r="AC1995">
            <v>45795</v>
          </cell>
        </row>
        <row r="1996">
          <cell r="I1996" t="str">
            <v>EDI</v>
          </cell>
          <cell r="L1996">
            <v>3463</v>
          </cell>
          <cell r="N1996" t="str">
            <v>Mapping</v>
          </cell>
          <cell r="O1996" t="str">
            <v>No</v>
          </cell>
          <cell r="Q1996" t="str">
            <v>Cancelled</v>
          </cell>
          <cell r="R1996">
            <v>45618.563402777778</v>
          </cell>
          <cell r="S1996" t="str">
            <v>Noha Moustafa</v>
          </cell>
          <cell r="T1996">
            <v>45634</v>
          </cell>
          <cell r="U1996" t="str">
            <v>Hans De Grouw</v>
          </cell>
          <cell r="Y1996">
            <v>45632</v>
          </cell>
        </row>
        <row r="1997">
          <cell r="I1997" t="str">
            <v>EDI</v>
          </cell>
          <cell r="L1997">
            <v>3501</v>
          </cell>
          <cell r="N1997" t="str">
            <v>Production</v>
          </cell>
          <cell r="O1997" t="str">
            <v>No</v>
          </cell>
          <cell r="Q1997" t="str">
            <v>Live</v>
          </cell>
          <cell r="R1997">
            <v>45617.82304398148</v>
          </cell>
          <cell r="S1997" t="str">
            <v>Mina George</v>
          </cell>
          <cell r="T1997">
            <v>45643</v>
          </cell>
          <cell r="U1997" t="str">
            <v>Matt Howell</v>
          </cell>
          <cell r="V1997">
            <v>45677</v>
          </cell>
          <cell r="W1997">
            <v>45687</v>
          </cell>
          <cell r="Y1997">
            <v>45641</v>
          </cell>
          <cell r="AC1997">
            <v>45687</v>
          </cell>
        </row>
        <row r="1998">
          <cell r="I1998" t="str">
            <v>EDI</v>
          </cell>
          <cell r="L1998">
            <v>3554</v>
          </cell>
          <cell r="N1998" t="str">
            <v>Production</v>
          </cell>
          <cell r="O1998" t="str">
            <v>No</v>
          </cell>
          <cell r="Q1998" t="str">
            <v>Live</v>
          </cell>
          <cell r="R1998">
            <v>45616.963483796288</v>
          </cell>
          <cell r="S1998" t="str">
            <v>Mirna Azmy</v>
          </cell>
          <cell r="T1998">
            <v>45670</v>
          </cell>
          <cell r="U1998" t="str">
            <v>Scott Henrehan</v>
          </cell>
          <cell r="V1998">
            <v>45673</v>
          </cell>
          <cell r="W1998">
            <v>45775</v>
          </cell>
          <cell r="Y1998">
            <v>45669</v>
          </cell>
          <cell r="AC1998">
            <v>45771</v>
          </cell>
        </row>
        <row r="1999">
          <cell r="I1999" t="str">
            <v>EDI</v>
          </cell>
          <cell r="L1999">
            <v>3472</v>
          </cell>
          <cell r="N1999" t="str">
            <v>Production</v>
          </cell>
          <cell r="O1999" t="str">
            <v>No</v>
          </cell>
          <cell r="Q1999" t="str">
            <v>Live</v>
          </cell>
          <cell r="R1999">
            <v>45616.947175925918</v>
          </cell>
          <cell r="S1999" t="str">
            <v>Mirna Azmy</v>
          </cell>
          <cell r="T1999">
            <v>45638</v>
          </cell>
          <cell r="U1999" t="str">
            <v>Scott Henrehan</v>
          </cell>
          <cell r="V1999">
            <v>25569</v>
          </cell>
          <cell r="W1999">
            <v>45718</v>
          </cell>
          <cell r="Y1999">
            <v>45638</v>
          </cell>
          <cell r="AC1999">
            <v>45718</v>
          </cell>
        </row>
        <row r="2000">
          <cell r="I2000" t="str">
            <v>EDI</v>
          </cell>
          <cell r="L2000">
            <v>3485</v>
          </cell>
          <cell r="N2000" t="str">
            <v>Production</v>
          </cell>
          <cell r="O2000" t="str">
            <v>No</v>
          </cell>
          <cell r="Q2000" t="str">
            <v>Live</v>
          </cell>
          <cell r="R2000">
            <v>45616.922951388893</v>
          </cell>
          <cell r="S2000" t="str">
            <v>Dina Medhat</v>
          </cell>
          <cell r="T2000">
            <v>45657</v>
          </cell>
          <cell r="U2000" t="str">
            <v>Hans De Grouw</v>
          </cell>
          <cell r="V2000">
            <v>45672</v>
          </cell>
          <cell r="W2000">
            <v>45846</v>
          </cell>
          <cell r="AC2000">
            <v>45840</v>
          </cell>
        </row>
        <row r="2001">
          <cell r="I2001" t="str">
            <v>EDI</v>
          </cell>
          <cell r="L2001">
            <v>3485</v>
          </cell>
          <cell r="N2001" t="str">
            <v>Production</v>
          </cell>
          <cell r="O2001" t="str">
            <v>No</v>
          </cell>
          <cell r="Q2001" t="str">
            <v>Live</v>
          </cell>
          <cell r="R2001">
            <v>45616.916712962957</v>
          </cell>
          <cell r="S2001" t="str">
            <v>Karim Tarek</v>
          </cell>
          <cell r="T2001">
            <v>45687</v>
          </cell>
          <cell r="U2001" t="str">
            <v>Hans De Grouw</v>
          </cell>
          <cell r="V2001">
            <v>45672</v>
          </cell>
          <cell r="W2001">
            <v>45846</v>
          </cell>
          <cell r="Y2001">
            <v>45644</v>
          </cell>
          <cell r="AC2001">
            <v>45840</v>
          </cell>
        </row>
        <row r="2002">
          <cell r="I2002" t="str">
            <v>EDI</v>
          </cell>
          <cell r="L2002">
            <v>3445</v>
          </cell>
          <cell r="N2002" t="str">
            <v>Production</v>
          </cell>
          <cell r="O2002" t="str">
            <v>No</v>
          </cell>
          <cell r="Q2002" t="str">
            <v>Live</v>
          </cell>
          <cell r="R2002">
            <v>45616.896539351852</v>
          </cell>
          <cell r="S2002" t="str">
            <v>Karim Tarek</v>
          </cell>
          <cell r="T2002">
            <v>45687</v>
          </cell>
          <cell r="U2002" t="str">
            <v>Trish Kalinczok</v>
          </cell>
          <cell r="V2002">
            <v>45700</v>
          </cell>
          <cell r="W2002">
            <v>45726</v>
          </cell>
          <cell r="Y2002">
            <v>45618</v>
          </cell>
          <cell r="AC2002">
            <v>45723</v>
          </cell>
        </row>
        <row r="2003">
          <cell r="I2003" t="str">
            <v>EDI</v>
          </cell>
          <cell r="L2003">
            <v>3510</v>
          </cell>
          <cell r="N2003" t="str">
            <v>Production</v>
          </cell>
          <cell r="O2003" t="str">
            <v>No</v>
          </cell>
          <cell r="Q2003" t="str">
            <v>Live</v>
          </cell>
          <cell r="R2003">
            <v>45616.844884259262</v>
          </cell>
          <cell r="S2003" t="str">
            <v>Mina Kamil</v>
          </cell>
          <cell r="T2003">
            <v>45652</v>
          </cell>
          <cell r="U2003" t="str">
            <v>Nicole Stevens</v>
          </cell>
          <cell r="W2003">
            <v>45785</v>
          </cell>
          <cell r="Y2003">
            <v>45650</v>
          </cell>
          <cell r="AC2003">
            <v>45782</v>
          </cell>
        </row>
        <row r="2004">
          <cell r="I2004" t="str">
            <v>EDI</v>
          </cell>
          <cell r="L2004">
            <v>3542</v>
          </cell>
          <cell r="N2004" t="str">
            <v>Production</v>
          </cell>
          <cell r="O2004" t="str">
            <v>No</v>
          </cell>
          <cell r="Q2004" t="str">
            <v>Live</v>
          </cell>
          <cell r="R2004">
            <v>45616.825358796297</v>
          </cell>
          <cell r="S2004" t="str">
            <v>Marwan Tawfik</v>
          </cell>
          <cell r="T2004">
            <v>45669</v>
          </cell>
          <cell r="U2004" t="str">
            <v>Nicole Stevens</v>
          </cell>
          <cell r="V2004">
            <v>45756</v>
          </cell>
          <cell r="W2004">
            <v>45764</v>
          </cell>
          <cell r="Y2004">
            <v>45666</v>
          </cell>
          <cell r="AC2004">
            <v>45764</v>
          </cell>
        </row>
        <row r="2005">
          <cell r="I2005" t="str">
            <v>EDI</v>
          </cell>
          <cell r="L2005">
            <v>3886</v>
          </cell>
          <cell r="N2005" t="str">
            <v>Production</v>
          </cell>
          <cell r="O2005" t="str">
            <v>No</v>
          </cell>
          <cell r="Q2005" t="str">
            <v>Live</v>
          </cell>
          <cell r="R2005">
            <v>45616.790277777778</v>
          </cell>
          <cell r="S2005" t="str">
            <v>Noha Moustafa</v>
          </cell>
          <cell r="T2005">
            <v>45789</v>
          </cell>
          <cell r="U2005" t="str">
            <v>Hans De Grouw</v>
          </cell>
          <cell r="V2005">
            <v>45803</v>
          </cell>
          <cell r="W2005">
            <v>45946</v>
          </cell>
          <cell r="Y2005">
            <v>45788</v>
          </cell>
          <cell r="AC2005">
            <v>45940</v>
          </cell>
        </row>
        <row r="2006">
          <cell r="I2006" t="str">
            <v>EDI</v>
          </cell>
          <cell r="L2006">
            <v>3468</v>
          </cell>
          <cell r="N2006" t="str">
            <v>Production</v>
          </cell>
          <cell r="O2006" t="str">
            <v>No</v>
          </cell>
          <cell r="Q2006" t="str">
            <v>Live</v>
          </cell>
          <cell r="R2006">
            <v>45616.790277777778</v>
          </cell>
          <cell r="S2006" t="str">
            <v>Alaa Yehia</v>
          </cell>
          <cell r="T2006">
            <v>45634</v>
          </cell>
          <cell r="U2006" t="str">
            <v>Hans De Grouw</v>
          </cell>
          <cell r="V2006">
            <v>45648</v>
          </cell>
          <cell r="W2006">
            <v>45778</v>
          </cell>
          <cell r="Y2006">
            <v>45633</v>
          </cell>
          <cell r="AC2006">
            <v>45778</v>
          </cell>
        </row>
        <row r="2007">
          <cell r="I2007" t="str">
            <v>EDI</v>
          </cell>
          <cell r="L2007">
            <v>3550</v>
          </cell>
          <cell r="N2007" t="str">
            <v>Production</v>
          </cell>
          <cell r="O2007" t="str">
            <v>No</v>
          </cell>
          <cell r="Q2007" t="str">
            <v>Live</v>
          </cell>
          <cell r="R2007">
            <v>45616.790277777778</v>
          </cell>
          <cell r="S2007" t="str">
            <v>Noha Moustafa</v>
          </cell>
          <cell r="T2007">
            <v>45669</v>
          </cell>
          <cell r="U2007" t="str">
            <v>Tammy Davies</v>
          </cell>
          <cell r="V2007">
            <v>46037</v>
          </cell>
          <cell r="W2007">
            <v>46076</v>
          </cell>
          <cell r="Y2007">
            <v>45667</v>
          </cell>
          <cell r="AC2007">
            <v>46075</v>
          </cell>
        </row>
        <row r="2008">
          <cell r="I2008" t="str">
            <v>EDI</v>
          </cell>
          <cell r="L2008">
            <v>3511</v>
          </cell>
          <cell r="N2008" t="str">
            <v>Production</v>
          </cell>
          <cell r="O2008" t="str">
            <v>No</v>
          </cell>
          <cell r="Q2008" t="str">
            <v>Live</v>
          </cell>
          <cell r="R2008">
            <v>45614.824120370373</v>
          </cell>
          <cell r="S2008" t="str">
            <v>Marwan Tawfik</v>
          </cell>
          <cell r="T2008">
            <v>45652</v>
          </cell>
          <cell r="U2008" t="str">
            <v>Nicole Stevens</v>
          </cell>
          <cell r="V2008">
            <v>45691</v>
          </cell>
          <cell r="W2008">
            <v>45761</v>
          </cell>
          <cell r="Y2008">
            <v>45650</v>
          </cell>
          <cell r="AC2008">
            <v>45757</v>
          </cell>
        </row>
        <row r="2009">
          <cell r="I2009" t="str">
            <v>EDI</v>
          </cell>
          <cell r="L2009">
            <v>3446</v>
          </cell>
          <cell r="N2009" t="str">
            <v>Production</v>
          </cell>
          <cell r="O2009" t="str">
            <v>No</v>
          </cell>
          <cell r="Q2009" t="str">
            <v>Live</v>
          </cell>
          <cell r="R2009">
            <v>45613.853854166657</v>
          </cell>
          <cell r="S2009" t="str">
            <v>Marwan Tawfik</v>
          </cell>
          <cell r="T2009">
            <v>45621</v>
          </cell>
          <cell r="U2009" t="str">
            <v>Matt Howell</v>
          </cell>
          <cell r="V2009">
            <v>45644</v>
          </cell>
          <cell r="W2009">
            <v>45664</v>
          </cell>
          <cell r="Y2009">
            <v>45620</v>
          </cell>
          <cell r="AC2009">
            <v>45662</v>
          </cell>
        </row>
        <row r="2010">
          <cell r="I2010" t="str">
            <v>EDI</v>
          </cell>
          <cell r="N2010" t="str">
            <v>Requirements Gathering</v>
          </cell>
          <cell r="O2010" t="str">
            <v>No</v>
          </cell>
          <cell r="Q2010" t="str">
            <v>Cancelled</v>
          </cell>
          <cell r="R2010">
            <v>45613.853854166657</v>
          </cell>
          <cell r="S2010" t="str">
            <v>Sandra Adel</v>
          </cell>
          <cell r="T2010">
            <v>45614</v>
          </cell>
          <cell r="U2010" t="str">
            <v>Matt Howell</v>
          </cell>
        </row>
        <row r="2011">
          <cell r="I2011" t="str">
            <v>EDI</v>
          </cell>
          <cell r="N2011" t="str">
            <v>Dataset Validation</v>
          </cell>
          <cell r="O2011" t="str">
            <v>No</v>
          </cell>
          <cell r="Q2011" t="str">
            <v>Cancelled</v>
          </cell>
          <cell r="R2011">
            <v>45613.853854166657</v>
          </cell>
          <cell r="S2011" t="str">
            <v>Mina Adel</v>
          </cell>
          <cell r="T2011">
            <v>45673</v>
          </cell>
          <cell r="U2011" t="str">
            <v>Matt Howell</v>
          </cell>
          <cell r="Y2011">
            <v>45672</v>
          </cell>
        </row>
        <row r="2012">
          <cell r="I2012" t="str">
            <v>EDI</v>
          </cell>
          <cell r="L2012">
            <v>3460</v>
          </cell>
          <cell r="N2012" t="str">
            <v>Production</v>
          </cell>
          <cell r="O2012" t="str">
            <v>No</v>
          </cell>
          <cell r="Q2012" t="str">
            <v>Live</v>
          </cell>
          <cell r="R2012">
            <v>45613.853842592587</v>
          </cell>
          <cell r="S2012" t="str">
            <v>Marwan Tawfik</v>
          </cell>
          <cell r="T2012">
            <v>45624</v>
          </cell>
          <cell r="U2012" t="str">
            <v>Matt Howell</v>
          </cell>
          <cell r="V2012">
            <v>45648</v>
          </cell>
          <cell r="W2012">
            <v>45680</v>
          </cell>
          <cell r="Y2012">
            <v>45624</v>
          </cell>
          <cell r="AC2012">
            <v>45676</v>
          </cell>
        </row>
        <row r="2013">
          <cell r="I2013" t="str">
            <v>EDI</v>
          </cell>
          <cell r="L2013">
            <v>3438</v>
          </cell>
          <cell r="N2013" t="str">
            <v>Production</v>
          </cell>
          <cell r="O2013" t="str">
            <v>No</v>
          </cell>
          <cell r="Q2013" t="str">
            <v>Live</v>
          </cell>
          <cell r="R2013">
            <v>45613.827453703707</v>
          </cell>
          <cell r="S2013" t="str">
            <v>Karim Tarek</v>
          </cell>
          <cell r="T2013">
            <v>45687</v>
          </cell>
          <cell r="U2013" t="str">
            <v>Matt Howell</v>
          </cell>
          <cell r="V2013">
            <v>45658</v>
          </cell>
          <cell r="W2013">
            <v>45748</v>
          </cell>
          <cell r="Y2013">
            <v>45615</v>
          </cell>
          <cell r="AC2013">
            <v>45747</v>
          </cell>
        </row>
        <row r="2014">
          <cell r="I2014" t="str">
            <v>EDI</v>
          </cell>
          <cell r="L2014">
            <v>3632</v>
          </cell>
          <cell r="N2014" t="str">
            <v>Production</v>
          </cell>
          <cell r="O2014" t="str">
            <v>No</v>
          </cell>
          <cell r="Q2014" t="str">
            <v>Live</v>
          </cell>
          <cell r="R2014">
            <v>45611.789166666669</v>
          </cell>
          <cell r="S2014" t="str">
            <v>Mina George</v>
          </cell>
          <cell r="T2014">
            <v>45679</v>
          </cell>
          <cell r="U2014" t="str">
            <v>Hans De Grouw</v>
          </cell>
          <cell r="V2014">
            <v>45704</v>
          </cell>
          <cell r="W2014">
            <v>45785</v>
          </cell>
          <cell r="Y2014">
            <v>45678</v>
          </cell>
          <cell r="AC2014">
            <v>45784</v>
          </cell>
        </row>
        <row r="2015">
          <cell r="I2015" t="str">
            <v>EDI</v>
          </cell>
          <cell r="L2015">
            <v>3496</v>
          </cell>
          <cell r="N2015" t="str">
            <v>Testing</v>
          </cell>
          <cell r="O2015" t="str">
            <v>No</v>
          </cell>
          <cell r="Q2015" t="str">
            <v>Cancelled</v>
          </cell>
          <cell r="R2015">
            <v>45611.712268518517</v>
          </cell>
          <cell r="S2015" t="str">
            <v>Andrew Ramy</v>
          </cell>
          <cell r="T2015">
            <v>45648</v>
          </cell>
          <cell r="U2015" t="str">
            <v>Tyler  Raposa</v>
          </cell>
          <cell r="V2015">
            <v>45685</v>
          </cell>
          <cell r="Y2015">
            <v>45646</v>
          </cell>
        </row>
        <row r="2016">
          <cell r="I2016" t="str">
            <v>EDI</v>
          </cell>
          <cell r="L2016">
            <v>3455</v>
          </cell>
          <cell r="N2016" t="str">
            <v>Production</v>
          </cell>
          <cell r="O2016" t="str">
            <v>No</v>
          </cell>
          <cell r="Q2016" t="str">
            <v>Live</v>
          </cell>
          <cell r="R2016">
            <v>45610.960462962961</v>
          </cell>
          <cell r="S2016" t="str">
            <v>Mahmoud Ashraf</v>
          </cell>
          <cell r="T2016">
            <v>45624</v>
          </cell>
          <cell r="U2016" t="str">
            <v>Scott Henrehan</v>
          </cell>
          <cell r="V2016">
            <v>45665</v>
          </cell>
          <cell r="W2016">
            <v>45683</v>
          </cell>
          <cell r="Y2016">
            <v>45623</v>
          </cell>
          <cell r="AC2016">
            <v>45680</v>
          </cell>
        </row>
        <row r="2017">
          <cell r="I2017" t="str">
            <v>EDI</v>
          </cell>
          <cell r="L2017">
            <v>3470</v>
          </cell>
          <cell r="N2017" t="str">
            <v>Production</v>
          </cell>
          <cell r="O2017" t="str">
            <v>No</v>
          </cell>
          <cell r="Q2017" t="str">
            <v>Live</v>
          </cell>
          <cell r="R2017">
            <v>45610.701574074083</v>
          </cell>
          <cell r="S2017" t="str">
            <v>Aya Fathy</v>
          </cell>
          <cell r="T2017">
            <v>45734</v>
          </cell>
          <cell r="U2017" t="str">
            <v>Rhettsmey Meak</v>
          </cell>
          <cell r="V2017">
            <v>45665</v>
          </cell>
          <cell r="W2017">
            <v>45772</v>
          </cell>
          <cell r="Y2017">
            <v>45635</v>
          </cell>
          <cell r="AC2017">
            <v>45770</v>
          </cell>
        </row>
        <row r="2018">
          <cell r="I2018" t="str">
            <v>EDI</v>
          </cell>
          <cell r="L2018">
            <v>3477</v>
          </cell>
          <cell r="N2018" t="str">
            <v>Production</v>
          </cell>
          <cell r="O2018" t="str">
            <v>No</v>
          </cell>
          <cell r="Q2018" t="str">
            <v>Live</v>
          </cell>
          <cell r="R2018">
            <v>45610.701574074083</v>
          </cell>
          <cell r="S2018" t="str">
            <v>Youssef Muhareb</v>
          </cell>
          <cell r="T2018">
            <v>45642</v>
          </cell>
          <cell r="U2018" t="str">
            <v>Rhettsmey Meak</v>
          </cell>
          <cell r="V2018">
            <v>45652</v>
          </cell>
          <cell r="W2018">
            <v>45680</v>
          </cell>
          <cell r="Y2018">
            <v>45642</v>
          </cell>
          <cell r="AC2018">
            <v>45679</v>
          </cell>
        </row>
        <row r="2019">
          <cell r="I2019" t="str">
            <v>EDI</v>
          </cell>
          <cell r="L2019">
            <v>3473</v>
          </cell>
          <cell r="N2019" t="str">
            <v>Production</v>
          </cell>
          <cell r="O2019" t="str">
            <v>No</v>
          </cell>
          <cell r="Q2019" t="str">
            <v>Live</v>
          </cell>
          <cell r="R2019">
            <v>45604.997627314813</v>
          </cell>
          <cell r="S2019" t="str">
            <v>Karim Tarek</v>
          </cell>
          <cell r="T2019">
            <v>45687</v>
          </cell>
          <cell r="U2019" t="str">
            <v>Tammy Davies</v>
          </cell>
          <cell r="V2019">
            <v>45678</v>
          </cell>
          <cell r="W2019">
            <v>45753</v>
          </cell>
          <cell r="Y2019">
            <v>45640</v>
          </cell>
          <cell r="AC2019">
            <v>45729</v>
          </cell>
        </row>
        <row r="2020">
          <cell r="I2020" t="str">
            <v>EDI</v>
          </cell>
          <cell r="L2020">
            <v>3581</v>
          </cell>
          <cell r="N2020" t="str">
            <v>Production</v>
          </cell>
          <cell r="O2020" t="str">
            <v>No</v>
          </cell>
          <cell r="Q2020" t="str">
            <v>Live</v>
          </cell>
          <cell r="R2020">
            <v>45604.997627314813</v>
          </cell>
          <cell r="S2020" t="str">
            <v>Alaa Yehia</v>
          </cell>
          <cell r="T2020">
            <v>45677</v>
          </cell>
          <cell r="U2020" t="str">
            <v>Tammy Davies</v>
          </cell>
          <cell r="V2020">
            <v>45693</v>
          </cell>
          <cell r="W2020">
            <v>45743</v>
          </cell>
          <cell r="Y2020">
            <v>45673</v>
          </cell>
          <cell r="AC2020">
            <v>45742</v>
          </cell>
        </row>
        <row r="2021">
          <cell r="I2021" t="str">
            <v>EDI</v>
          </cell>
          <cell r="L2021">
            <v>3465</v>
          </cell>
          <cell r="N2021" t="str">
            <v>Production</v>
          </cell>
          <cell r="O2021" t="str">
            <v>No</v>
          </cell>
          <cell r="Q2021" t="str">
            <v>Live</v>
          </cell>
          <cell r="R2021">
            <v>45604.986458333333</v>
          </cell>
          <cell r="S2021" t="str">
            <v>Karim Tarek</v>
          </cell>
          <cell r="T2021">
            <v>45687</v>
          </cell>
          <cell r="U2021" t="str">
            <v>Tammy Davies</v>
          </cell>
          <cell r="V2021">
            <v>45733</v>
          </cell>
          <cell r="W2021">
            <v>45755</v>
          </cell>
          <cell r="Y2021">
            <v>45635</v>
          </cell>
          <cell r="AC2021">
            <v>45752</v>
          </cell>
        </row>
        <row r="2022">
          <cell r="I2022" t="str">
            <v>EDI</v>
          </cell>
          <cell r="L2022">
            <v>3565</v>
          </cell>
          <cell r="N2022" t="str">
            <v>Production</v>
          </cell>
          <cell r="O2022" t="str">
            <v>No</v>
          </cell>
          <cell r="Q2022" t="str">
            <v>Live</v>
          </cell>
          <cell r="R2022">
            <v>45604.856793981482</v>
          </cell>
          <cell r="S2022" t="str">
            <v>Mirna Azmy</v>
          </cell>
          <cell r="T2022">
            <v>45839</v>
          </cell>
          <cell r="U2022" t="str">
            <v>Hans De Grouw</v>
          </cell>
          <cell r="V2022">
            <v>45679</v>
          </cell>
          <cell r="W2022">
            <v>45848</v>
          </cell>
          <cell r="Y2022">
            <v>45668</v>
          </cell>
          <cell r="AC2022">
            <v>45844</v>
          </cell>
        </row>
        <row r="2023">
          <cell r="I2023" t="str">
            <v>EDI</v>
          </cell>
          <cell r="L2023">
            <v>3461</v>
          </cell>
          <cell r="N2023" t="str">
            <v>Production</v>
          </cell>
          <cell r="O2023" t="str">
            <v>No</v>
          </cell>
          <cell r="Q2023" t="str">
            <v>Live</v>
          </cell>
          <cell r="R2023">
            <v>45604.856793981482</v>
          </cell>
          <cell r="S2023" t="str">
            <v>Mina Adel</v>
          </cell>
          <cell r="T2023">
            <v>45620</v>
          </cell>
          <cell r="U2023" t="str">
            <v>Hans De Grouw</v>
          </cell>
          <cell r="V2023">
            <v>45643</v>
          </cell>
          <cell r="W2023">
            <v>45799</v>
          </cell>
          <cell r="Y2023">
            <v>45618</v>
          </cell>
          <cell r="AC2023">
            <v>45798</v>
          </cell>
        </row>
        <row r="2024">
          <cell r="I2024" t="str">
            <v>Forms</v>
          </cell>
          <cell r="L2024" t="str">
            <v>[3430]</v>
          </cell>
          <cell r="N2024" t="str">
            <v>Testing</v>
          </cell>
          <cell r="O2024" t="str">
            <v>Everything Benefits</v>
          </cell>
          <cell r="P2024" t="str">
            <v>Migration Testing</v>
          </cell>
          <cell r="Q2024" t="str">
            <v>Cancelled</v>
          </cell>
          <cell r="R2024">
            <v>45604.794988425929</v>
          </cell>
          <cell r="S2024" t="str">
            <v>Karim Tarek</v>
          </cell>
          <cell r="T2024">
            <v>45606</v>
          </cell>
          <cell r="U2024" t="str">
            <v>Trish Kalinczok</v>
          </cell>
          <cell r="Y2024">
            <v>45606</v>
          </cell>
        </row>
        <row r="2025">
          <cell r="I2025" t="str">
            <v>EDI</v>
          </cell>
          <cell r="N2025" t="str">
            <v>Requirements Gathering</v>
          </cell>
          <cell r="O2025" t="str">
            <v>No</v>
          </cell>
          <cell r="Q2025" t="str">
            <v>Cancelled</v>
          </cell>
          <cell r="R2025">
            <v>45603.894884259258</v>
          </cell>
          <cell r="S2025" t="str">
            <v>Sandra Adel</v>
          </cell>
          <cell r="T2025">
            <v>45606</v>
          </cell>
          <cell r="U2025" t="str">
            <v>Rhettsmey Meak</v>
          </cell>
        </row>
        <row r="2026">
          <cell r="I2026" t="str">
            <v>EDI</v>
          </cell>
          <cell r="L2026">
            <v>3452</v>
          </cell>
          <cell r="N2026" t="str">
            <v>Testing</v>
          </cell>
          <cell r="O2026" t="str">
            <v>No</v>
          </cell>
          <cell r="Q2026" t="str">
            <v>Cancelled</v>
          </cell>
          <cell r="R2026">
            <v>45603.742060185177</v>
          </cell>
          <cell r="S2026" t="str">
            <v>Mina George</v>
          </cell>
          <cell r="T2026">
            <v>45610</v>
          </cell>
          <cell r="U2026" t="str">
            <v>Tyler  Raposa</v>
          </cell>
          <cell r="V2026">
            <v>45670</v>
          </cell>
          <cell r="Y2026">
            <v>45610</v>
          </cell>
        </row>
        <row r="2027">
          <cell r="I2027" t="str">
            <v>EDI</v>
          </cell>
          <cell r="N2027" t="str">
            <v>Requirements Gathering</v>
          </cell>
          <cell r="O2027" t="str">
            <v>No</v>
          </cell>
          <cell r="Q2027" t="str">
            <v>Cancelled</v>
          </cell>
          <cell r="R2027">
            <v>45603.742048611108</v>
          </cell>
          <cell r="S2027" t="str">
            <v>Lourina Edmon</v>
          </cell>
          <cell r="T2027">
            <v>45606</v>
          </cell>
          <cell r="U2027" t="str">
            <v>Tyler  Raposa</v>
          </cell>
        </row>
        <row r="2028">
          <cell r="I2028" t="str">
            <v>EDI</v>
          </cell>
          <cell r="L2028">
            <v>3440</v>
          </cell>
          <cell r="N2028" t="str">
            <v>Production</v>
          </cell>
          <cell r="O2028" t="str">
            <v>No</v>
          </cell>
          <cell r="Q2028" t="str">
            <v>Live</v>
          </cell>
          <cell r="R2028">
            <v>45603.740601851852</v>
          </cell>
          <cell r="S2028" t="str">
            <v>Mina Adel</v>
          </cell>
          <cell r="T2028">
            <v>45607</v>
          </cell>
          <cell r="U2028" t="str">
            <v>Trish Kalinczok</v>
          </cell>
          <cell r="V2028">
            <v>45633</v>
          </cell>
          <cell r="W2028">
            <v>25569</v>
          </cell>
          <cell r="Y2028">
            <v>45607</v>
          </cell>
          <cell r="AC2028">
            <v>45669</v>
          </cell>
        </row>
        <row r="2029">
          <cell r="I2029" t="str">
            <v>EDI</v>
          </cell>
          <cell r="L2029">
            <v>3432</v>
          </cell>
          <cell r="N2029" t="str">
            <v>Production</v>
          </cell>
          <cell r="O2029" t="str">
            <v>No</v>
          </cell>
          <cell r="Q2029" t="str">
            <v>Live</v>
          </cell>
          <cell r="R2029">
            <v>45603.611446759263</v>
          </cell>
          <cell r="S2029" t="str">
            <v>Youssef Muhareb</v>
          </cell>
          <cell r="T2029">
            <v>45609</v>
          </cell>
          <cell r="U2029" t="str">
            <v>Robbie Schappell</v>
          </cell>
          <cell r="V2029">
            <v>45613</v>
          </cell>
          <cell r="W2029">
            <v>45628</v>
          </cell>
          <cell r="Y2029">
            <v>45609</v>
          </cell>
          <cell r="AC2029">
            <v>45624</v>
          </cell>
        </row>
        <row r="2030">
          <cell r="I2030" t="str">
            <v>EDI</v>
          </cell>
          <cell r="L2030">
            <v>3435</v>
          </cell>
          <cell r="N2030" t="str">
            <v>Production</v>
          </cell>
          <cell r="O2030" t="str">
            <v>No</v>
          </cell>
          <cell r="Q2030" t="str">
            <v>Live</v>
          </cell>
          <cell r="R2030">
            <v>45603.611446759263</v>
          </cell>
          <cell r="S2030" t="str">
            <v>Youssef Muhareb</v>
          </cell>
          <cell r="T2030">
            <v>45613</v>
          </cell>
          <cell r="U2030" t="str">
            <v>Robbie Schappell</v>
          </cell>
          <cell r="V2030">
            <v>45638</v>
          </cell>
          <cell r="W2030">
            <v>45688</v>
          </cell>
          <cell r="Y2030">
            <v>45610</v>
          </cell>
          <cell r="AC2030">
            <v>45680</v>
          </cell>
        </row>
        <row r="2031">
          <cell r="I2031" t="str">
            <v>EDI</v>
          </cell>
          <cell r="L2031">
            <v>3443</v>
          </cell>
          <cell r="N2031" t="str">
            <v>Production</v>
          </cell>
          <cell r="O2031" t="str">
            <v>No</v>
          </cell>
          <cell r="Q2031" t="str">
            <v>Live</v>
          </cell>
          <cell r="R2031">
            <v>45602.604432870372</v>
          </cell>
          <cell r="S2031" t="str">
            <v>Joseph Atef</v>
          </cell>
          <cell r="T2031">
            <v>45607</v>
          </cell>
          <cell r="U2031" t="str">
            <v>Robbie Schappell</v>
          </cell>
          <cell r="V2031">
            <v>45628</v>
          </cell>
          <cell r="W2031">
            <v>45684</v>
          </cell>
          <cell r="Y2031">
            <v>45606</v>
          </cell>
          <cell r="AC2031">
            <v>45683</v>
          </cell>
        </row>
        <row r="2032">
          <cell r="I2032" t="str">
            <v>EDI</v>
          </cell>
          <cell r="L2032">
            <v>3447</v>
          </cell>
          <cell r="N2032" t="str">
            <v>Production</v>
          </cell>
          <cell r="O2032" t="str">
            <v>No</v>
          </cell>
          <cell r="Q2032" t="str">
            <v>Live</v>
          </cell>
          <cell r="R2032">
            <v>45601.844201388893</v>
          </cell>
          <cell r="S2032" t="str">
            <v>Mina Kamil</v>
          </cell>
          <cell r="T2032">
            <v>45734</v>
          </cell>
          <cell r="U2032" t="str">
            <v>Trish Kalinczok</v>
          </cell>
          <cell r="V2032">
            <v>45665</v>
          </cell>
          <cell r="W2032">
            <v>45817</v>
          </cell>
          <cell r="Y2032">
            <v>45618</v>
          </cell>
          <cell r="AC2032">
            <v>45810</v>
          </cell>
        </row>
        <row r="2033">
          <cell r="I2033" t="str">
            <v>EDI</v>
          </cell>
          <cell r="L2033">
            <v>3422</v>
          </cell>
          <cell r="N2033" t="str">
            <v>Production</v>
          </cell>
          <cell r="O2033" t="str">
            <v>No</v>
          </cell>
          <cell r="Q2033" t="str">
            <v>Live</v>
          </cell>
          <cell r="R2033">
            <v>45600.730891203697</v>
          </cell>
          <cell r="S2033" t="str">
            <v>Hazem Rostom</v>
          </cell>
          <cell r="T2033">
            <v>45606</v>
          </cell>
          <cell r="U2033" t="str">
            <v>Matt Howell</v>
          </cell>
          <cell r="V2033">
            <v>45691</v>
          </cell>
          <cell r="W2033">
            <v>45765</v>
          </cell>
          <cell r="Y2033">
            <v>45606</v>
          </cell>
          <cell r="AC2033">
            <v>45763</v>
          </cell>
        </row>
        <row r="2034">
          <cell r="I2034" t="str">
            <v>EDI</v>
          </cell>
          <cell r="L2034">
            <v>3431</v>
          </cell>
          <cell r="N2034" t="str">
            <v>Production</v>
          </cell>
          <cell r="O2034" t="str">
            <v>No</v>
          </cell>
          <cell r="Q2034" t="str">
            <v>Live</v>
          </cell>
          <cell r="R2034">
            <v>45599.675949074073</v>
          </cell>
          <cell r="S2034" t="str">
            <v>Noha Moustafa</v>
          </cell>
          <cell r="T2034">
            <v>45606</v>
          </cell>
          <cell r="U2034" t="str">
            <v>Hans De Grouw</v>
          </cell>
          <cell r="V2034">
            <v>45628</v>
          </cell>
          <cell r="W2034">
            <v>45645</v>
          </cell>
          <cell r="Y2034">
            <v>45606</v>
          </cell>
          <cell r="AC2034">
            <v>45643</v>
          </cell>
        </row>
        <row r="2035">
          <cell r="I2035" t="str">
            <v>EDI</v>
          </cell>
          <cell r="L2035">
            <v>3444</v>
          </cell>
          <cell r="N2035" t="str">
            <v>Production</v>
          </cell>
          <cell r="O2035" t="str">
            <v>No</v>
          </cell>
          <cell r="Q2035" t="str">
            <v>Cancelled</v>
          </cell>
          <cell r="R2035">
            <v>45597.891122685192</v>
          </cell>
          <cell r="S2035" t="str">
            <v>Alaa Yehia</v>
          </cell>
          <cell r="T2035">
            <v>45615</v>
          </cell>
          <cell r="U2035" t="str">
            <v>Trish Kalinczok</v>
          </cell>
          <cell r="V2035">
            <v>45670</v>
          </cell>
          <cell r="W2035">
            <v>45705</v>
          </cell>
          <cell r="Y2035">
            <v>45613</v>
          </cell>
          <cell r="AC2035">
            <v>45699</v>
          </cell>
        </row>
        <row r="2036">
          <cell r="I2036" t="str">
            <v>EDI</v>
          </cell>
          <cell r="L2036">
            <v>3420</v>
          </cell>
          <cell r="N2036" t="str">
            <v>Production</v>
          </cell>
          <cell r="O2036" t="str">
            <v>No</v>
          </cell>
          <cell r="Q2036" t="str">
            <v>Cancelled</v>
          </cell>
          <cell r="R2036">
            <v>45597.880787037036</v>
          </cell>
          <cell r="S2036" t="str">
            <v>Mina George</v>
          </cell>
          <cell r="T2036">
            <v>45601</v>
          </cell>
          <cell r="U2036" t="str">
            <v>Julie Lombardi</v>
          </cell>
          <cell r="V2036">
            <v>45630</v>
          </cell>
          <cell r="W2036">
            <v>45649</v>
          </cell>
          <cell r="Y2036">
            <v>45600</v>
          </cell>
          <cell r="AC2036">
            <v>45649</v>
          </cell>
        </row>
        <row r="2037">
          <cell r="I2037" t="str">
            <v>Forms</v>
          </cell>
          <cell r="L2037" t="str">
            <v>[3411]</v>
          </cell>
          <cell r="N2037" t="str">
            <v>Testing</v>
          </cell>
          <cell r="O2037" t="str">
            <v>Everything Benefits</v>
          </cell>
          <cell r="P2037" t="str">
            <v>Migration Testing</v>
          </cell>
          <cell r="Q2037" t="str">
            <v>Cancelled</v>
          </cell>
          <cell r="R2037">
            <v>45597.798495370371</v>
          </cell>
          <cell r="S2037" t="str">
            <v>Ahmed Ali</v>
          </cell>
          <cell r="T2037">
            <v>45600</v>
          </cell>
          <cell r="U2037" t="str">
            <v>Trish Kalinczok</v>
          </cell>
        </row>
        <row r="2038">
          <cell r="I2038" t="str">
            <v>Forms</v>
          </cell>
          <cell r="L2038" t="str">
            <v>[3414]</v>
          </cell>
          <cell r="N2038" t="str">
            <v>Testing</v>
          </cell>
          <cell r="O2038" t="str">
            <v>Everything Benefits</v>
          </cell>
          <cell r="P2038" t="str">
            <v>Migration Testing</v>
          </cell>
          <cell r="Q2038" t="str">
            <v>Cancelled</v>
          </cell>
          <cell r="R2038">
            <v>45597.795636574083</v>
          </cell>
          <cell r="S2038" t="str">
            <v>Reem Radwan</v>
          </cell>
          <cell r="T2038">
            <v>45600</v>
          </cell>
          <cell r="U2038" t="str">
            <v>Trish Kalinczok</v>
          </cell>
        </row>
        <row r="2039">
          <cell r="I2039" t="str">
            <v>Forms</v>
          </cell>
          <cell r="L2039" t="str">
            <v>[3405]</v>
          </cell>
          <cell r="N2039" t="str">
            <v>Testing</v>
          </cell>
          <cell r="O2039" t="str">
            <v>Everything Benefits</v>
          </cell>
          <cell r="P2039" t="str">
            <v>Migration Testing</v>
          </cell>
          <cell r="Q2039" t="str">
            <v>Cancelled</v>
          </cell>
          <cell r="R2039">
            <v>45597.661585648151</v>
          </cell>
          <cell r="S2039" t="str">
            <v>Mirna Azmy</v>
          </cell>
          <cell r="T2039">
            <v>45600</v>
          </cell>
          <cell r="U2039" t="str">
            <v>Trish Kalinczok</v>
          </cell>
        </row>
        <row r="2040">
          <cell r="I2040" t="str">
            <v>EDI</v>
          </cell>
          <cell r="L2040">
            <v>3524</v>
          </cell>
          <cell r="N2040" t="str">
            <v>Production</v>
          </cell>
          <cell r="O2040" t="str">
            <v>No</v>
          </cell>
          <cell r="Q2040" t="str">
            <v>Live</v>
          </cell>
          <cell r="R2040">
            <v>45596.850937499999</v>
          </cell>
          <cell r="S2040" t="str">
            <v>Alaa Yehia</v>
          </cell>
          <cell r="T2040">
            <v>45659</v>
          </cell>
          <cell r="U2040" t="str">
            <v>Robbie Schappell</v>
          </cell>
          <cell r="V2040">
            <v>45700</v>
          </cell>
          <cell r="W2040">
            <v>45757</v>
          </cell>
          <cell r="Y2040">
            <v>45656</v>
          </cell>
          <cell r="AC2040">
            <v>45755</v>
          </cell>
        </row>
        <row r="2041">
          <cell r="I2041" t="str">
            <v>EDI</v>
          </cell>
          <cell r="L2041">
            <v>3450</v>
          </cell>
          <cell r="N2041" t="str">
            <v>Mapping</v>
          </cell>
          <cell r="O2041" t="str">
            <v>No</v>
          </cell>
          <cell r="Q2041" t="str">
            <v>Cancelled</v>
          </cell>
          <cell r="R2041">
            <v>45596.730914351851</v>
          </cell>
          <cell r="S2041" t="str">
            <v>Mina Kamil</v>
          </cell>
          <cell r="T2041">
            <v>45620</v>
          </cell>
          <cell r="U2041" t="str">
            <v>Amy Bergstrom</v>
          </cell>
          <cell r="Y2041">
            <v>45618</v>
          </cell>
        </row>
        <row r="2042">
          <cell r="I2042" t="str">
            <v>EDI</v>
          </cell>
          <cell r="L2042">
            <v>3451</v>
          </cell>
          <cell r="N2042" t="str">
            <v>Production</v>
          </cell>
          <cell r="O2042" t="str">
            <v>No</v>
          </cell>
          <cell r="Q2042" t="str">
            <v>Live</v>
          </cell>
          <cell r="R2042">
            <v>45596.730914351851</v>
          </cell>
          <cell r="S2042" t="str">
            <v>Mina Kamil</v>
          </cell>
          <cell r="T2042">
            <v>45620</v>
          </cell>
          <cell r="U2042" t="str">
            <v>Amy Bergstrom</v>
          </cell>
          <cell r="W2042">
            <v>45712</v>
          </cell>
          <cell r="Y2042">
            <v>45618</v>
          </cell>
          <cell r="AC2042">
            <v>45707</v>
          </cell>
        </row>
        <row r="2043">
          <cell r="I2043" t="str">
            <v>EDI</v>
          </cell>
          <cell r="L2043">
            <v>3427</v>
          </cell>
          <cell r="N2043" t="str">
            <v>Production</v>
          </cell>
          <cell r="O2043" t="str">
            <v>No</v>
          </cell>
          <cell r="Q2043" t="str">
            <v>Live</v>
          </cell>
          <cell r="R2043">
            <v>45596.561006944437</v>
          </cell>
          <cell r="S2043" t="str">
            <v>Mina Kamil</v>
          </cell>
          <cell r="T2043">
            <v>45733</v>
          </cell>
          <cell r="U2043" t="str">
            <v>Scott Henrehan</v>
          </cell>
          <cell r="V2043">
            <v>45650</v>
          </cell>
          <cell r="W2043">
            <v>25569</v>
          </cell>
          <cell r="Y2043">
            <v>45606</v>
          </cell>
          <cell r="AC2043">
            <v>45756</v>
          </cell>
        </row>
        <row r="2044">
          <cell r="I2044" t="str">
            <v>Forms</v>
          </cell>
          <cell r="L2044" t="str">
            <v>[3415]</v>
          </cell>
          <cell r="N2044" t="str">
            <v>Testing</v>
          </cell>
          <cell r="O2044" t="str">
            <v>Everything Benefits</v>
          </cell>
          <cell r="P2044" t="str">
            <v>Migration Testing</v>
          </cell>
          <cell r="Q2044" t="str">
            <v>Cancelled</v>
          </cell>
          <cell r="R2044">
            <v>45596.556712962964</v>
          </cell>
          <cell r="S2044" t="str">
            <v>Mina Kamil</v>
          </cell>
          <cell r="T2044">
            <v>45600</v>
          </cell>
          <cell r="U2044" t="str">
            <v>Trish Kalinczok</v>
          </cell>
        </row>
        <row r="2045">
          <cell r="I2045" t="str">
            <v>EDI</v>
          </cell>
          <cell r="L2045">
            <v>3545</v>
          </cell>
          <cell r="N2045" t="str">
            <v>Testing</v>
          </cell>
          <cell r="O2045" t="str">
            <v>No</v>
          </cell>
          <cell r="Q2045" t="str">
            <v>Cancelled</v>
          </cell>
          <cell r="R2045">
            <v>45595.817349537043</v>
          </cell>
          <cell r="S2045" t="str">
            <v>Ahmed Ali</v>
          </cell>
          <cell r="T2045">
            <v>45669</v>
          </cell>
          <cell r="U2045" t="str">
            <v>Trish Kalinczok</v>
          </cell>
          <cell r="V2045">
            <v>45688</v>
          </cell>
          <cell r="Y2045">
            <v>45668</v>
          </cell>
        </row>
        <row r="2046">
          <cell r="I2046" t="str">
            <v>EDI</v>
          </cell>
          <cell r="L2046">
            <v>3457</v>
          </cell>
          <cell r="N2046" t="str">
            <v>Production</v>
          </cell>
          <cell r="O2046" t="str">
            <v>No</v>
          </cell>
          <cell r="Q2046" t="str">
            <v>Live</v>
          </cell>
          <cell r="R2046">
            <v>45595.80133101852</v>
          </cell>
          <cell r="S2046" t="str">
            <v>Ahmed Ali</v>
          </cell>
          <cell r="T2046">
            <v>45620</v>
          </cell>
          <cell r="U2046" t="str">
            <v>Trish Kalinczok</v>
          </cell>
          <cell r="V2046">
            <v>45665</v>
          </cell>
          <cell r="W2046">
            <v>25569</v>
          </cell>
          <cell r="Y2046">
            <v>45618</v>
          </cell>
          <cell r="AC2046">
            <v>45688</v>
          </cell>
        </row>
        <row r="2047">
          <cell r="I2047" t="str">
            <v>EDI</v>
          </cell>
          <cell r="L2047">
            <v>3434</v>
          </cell>
          <cell r="N2047" t="str">
            <v>Production</v>
          </cell>
          <cell r="O2047" t="str">
            <v>No</v>
          </cell>
          <cell r="Q2047" t="str">
            <v>Cancelled</v>
          </cell>
          <cell r="R2047">
            <v>45595.788321759261</v>
          </cell>
          <cell r="S2047" t="str">
            <v>Zeyad Khaled</v>
          </cell>
          <cell r="T2047">
            <v>45599</v>
          </cell>
          <cell r="U2047" t="str">
            <v>Tammy Davies</v>
          </cell>
          <cell r="V2047">
            <v>45629</v>
          </cell>
          <cell r="W2047">
            <v>45649</v>
          </cell>
          <cell r="Y2047">
            <v>45596</v>
          </cell>
          <cell r="AC2047">
            <v>45644</v>
          </cell>
        </row>
        <row r="2048">
          <cell r="I2048" t="str">
            <v>EDI</v>
          </cell>
          <cell r="L2048">
            <v>3425</v>
          </cell>
          <cell r="N2048" t="str">
            <v>Production</v>
          </cell>
          <cell r="O2048" t="str">
            <v>No</v>
          </cell>
          <cell r="Q2048" t="str">
            <v>Cancelled</v>
          </cell>
          <cell r="R2048">
            <v>45595.788321759261</v>
          </cell>
          <cell r="S2048" t="str">
            <v>Mahmoud Ashraf</v>
          </cell>
          <cell r="T2048">
            <v>45603</v>
          </cell>
          <cell r="U2048" t="str">
            <v>Tammy Davies</v>
          </cell>
          <cell r="V2048">
            <v>45607</v>
          </cell>
          <cell r="W2048">
            <v>45617</v>
          </cell>
          <cell r="Y2048">
            <v>45602</v>
          </cell>
          <cell r="AC2048">
            <v>45613</v>
          </cell>
        </row>
        <row r="2049">
          <cell r="I2049" t="str">
            <v>EDI</v>
          </cell>
          <cell r="N2049" t="str">
            <v>Requirements Gathering</v>
          </cell>
          <cell r="O2049" t="str">
            <v>No</v>
          </cell>
          <cell r="Q2049" t="str">
            <v>Cancelled</v>
          </cell>
          <cell r="R2049">
            <v>45595.788321759261</v>
          </cell>
          <cell r="S2049" t="str">
            <v>Sandra Adel</v>
          </cell>
          <cell r="T2049">
            <v>45596</v>
          </cell>
          <cell r="U2049" t="str">
            <v>Tammy Davies</v>
          </cell>
        </row>
        <row r="2050">
          <cell r="I2050" t="str">
            <v>EDI</v>
          </cell>
          <cell r="L2050">
            <v>3502</v>
          </cell>
          <cell r="N2050" t="str">
            <v>Mapping</v>
          </cell>
          <cell r="O2050" t="str">
            <v>No</v>
          </cell>
          <cell r="Q2050" t="str">
            <v>Cancelled</v>
          </cell>
          <cell r="R2050">
            <v>45595.788310185177</v>
          </cell>
          <cell r="S2050" t="str">
            <v>Zeyad Khaled</v>
          </cell>
          <cell r="T2050">
            <v>45630</v>
          </cell>
          <cell r="U2050" t="str">
            <v>Tammy Davies</v>
          </cell>
          <cell r="Y2050">
            <v>45630</v>
          </cell>
        </row>
        <row r="2051">
          <cell r="I2051" t="str">
            <v>EDI</v>
          </cell>
          <cell r="L2051">
            <v>3413</v>
          </cell>
          <cell r="N2051" t="str">
            <v>Production</v>
          </cell>
          <cell r="O2051" t="str">
            <v>No</v>
          </cell>
          <cell r="Q2051" t="str">
            <v>Cancelled</v>
          </cell>
          <cell r="R2051">
            <v>45595.788310185177</v>
          </cell>
          <cell r="S2051" t="str">
            <v>Marwan Tawfik</v>
          </cell>
          <cell r="T2051">
            <v>45601</v>
          </cell>
          <cell r="U2051" t="str">
            <v>Tammy Davies</v>
          </cell>
          <cell r="V2051">
            <v>45614</v>
          </cell>
          <cell r="W2051">
            <v>45629</v>
          </cell>
          <cell r="Y2051">
            <v>45601</v>
          </cell>
          <cell r="AC2051">
            <v>45623</v>
          </cell>
        </row>
        <row r="2052">
          <cell r="I2052" t="str">
            <v>EDI</v>
          </cell>
          <cell r="L2052">
            <v>3516</v>
          </cell>
          <cell r="N2052" t="str">
            <v>Mapping</v>
          </cell>
          <cell r="O2052" t="str">
            <v>No</v>
          </cell>
          <cell r="Q2052" t="str">
            <v>Cancelled</v>
          </cell>
          <cell r="R2052">
            <v>45595.788310185177</v>
          </cell>
          <cell r="S2052" t="str">
            <v>Omnia Abdelaziz</v>
          </cell>
          <cell r="T2052">
            <v>45652</v>
          </cell>
          <cell r="U2052" t="str">
            <v>Tammy Davies</v>
          </cell>
          <cell r="Y2052">
            <v>45650</v>
          </cell>
        </row>
        <row r="2053">
          <cell r="I2053" t="str">
            <v>EDI</v>
          </cell>
          <cell r="L2053">
            <v>3417</v>
          </cell>
          <cell r="N2053" t="str">
            <v>Mapping</v>
          </cell>
          <cell r="O2053" t="str">
            <v>No</v>
          </cell>
          <cell r="Q2053" t="str">
            <v>Cancelled</v>
          </cell>
          <cell r="R2053">
            <v>45595.788298611107</v>
          </cell>
          <cell r="S2053" t="str">
            <v>Aya Fathy</v>
          </cell>
          <cell r="T2053">
            <v>45601</v>
          </cell>
          <cell r="U2053" t="str">
            <v>Tammy Davies</v>
          </cell>
          <cell r="Y2053">
            <v>45600</v>
          </cell>
        </row>
        <row r="2054">
          <cell r="I2054" t="str">
            <v>EDI</v>
          </cell>
          <cell r="L2054">
            <v>3478</v>
          </cell>
          <cell r="N2054" t="str">
            <v>Production</v>
          </cell>
          <cell r="O2054" t="str">
            <v>No</v>
          </cell>
          <cell r="Q2054" t="str">
            <v>Cancelled</v>
          </cell>
          <cell r="R2054">
            <v>45595.768657407411</v>
          </cell>
          <cell r="S2054" t="str">
            <v>Marwan Tawfik</v>
          </cell>
          <cell r="T2054">
            <v>45641</v>
          </cell>
          <cell r="U2054" t="str">
            <v>Trish Kalinczok</v>
          </cell>
          <cell r="V2054">
            <v>45701</v>
          </cell>
          <cell r="W2054">
            <v>45712</v>
          </cell>
          <cell r="Y2054">
            <v>45637</v>
          </cell>
          <cell r="AC2054">
            <v>45704</v>
          </cell>
        </row>
        <row r="2055">
          <cell r="I2055" t="str">
            <v>EDI</v>
          </cell>
          <cell r="L2055">
            <v>3428</v>
          </cell>
          <cell r="N2055" t="str">
            <v>Testing</v>
          </cell>
          <cell r="O2055" t="str">
            <v>No</v>
          </cell>
          <cell r="Q2055" t="str">
            <v>Cancelled</v>
          </cell>
          <cell r="R2055">
            <v>45595.703715277778</v>
          </cell>
          <cell r="S2055" t="str">
            <v>Omnia Abdelaziz</v>
          </cell>
          <cell r="T2055">
            <v>45606</v>
          </cell>
          <cell r="U2055" t="str">
            <v>Joel Costanzo</v>
          </cell>
          <cell r="V2055">
            <v>45635</v>
          </cell>
          <cell r="Y2055">
            <v>45606</v>
          </cell>
        </row>
        <row r="2056">
          <cell r="I2056" t="str">
            <v>EDI</v>
          </cell>
          <cell r="L2056">
            <v>3407</v>
          </cell>
          <cell r="N2056" t="str">
            <v>Production</v>
          </cell>
          <cell r="O2056" t="str">
            <v>No</v>
          </cell>
          <cell r="Q2056" t="str">
            <v>Live</v>
          </cell>
          <cell r="R2056">
            <v>45594.901469907411</v>
          </cell>
          <cell r="S2056" t="str">
            <v>Alaa Yehia</v>
          </cell>
          <cell r="T2056">
            <v>45599</v>
          </cell>
          <cell r="U2056" t="str">
            <v>Trish Kalinczok</v>
          </cell>
          <cell r="V2056">
            <v>45628</v>
          </cell>
          <cell r="W2056">
            <v>45681</v>
          </cell>
          <cell r="Y2056">
            <v>45597</v>
          </cell>
          <cell r="AC2056">
            <v>45676</v>
          </cell>
        </row>
        <row r="2057">
          <cell r="I2057" t="str">
            <v>EDI</v>
          </cell>
          <cell r="L2057">
            <v>3521</v>
          </cell>
          <cell r="N2057" t="str">
            <v>Production</v>
          </cell>
          <cell r="O2057" t="str">
            <v>No</v>
          </cell>
          <cell r="Q2057" t="str">
            <v>Live</v>
          </cell>
          <cell r="R2057">
            <v>45594.737916666672</v>
          </cell>
          <cell r="S2057" t="str">
            <v>Mina George</v>
          </cell>
          <cell r="T2057">
            <v>45648</v>
          </cell>
          <cell r="U2057" t="str">
            <v>Gregory Dubec</v>
          </cell>
          <cell r="V2057">
            <v>45684</v>
          </cell>
          <cell r="W2057">
            <v>45723</v>
          </cell>
          <cell r="Y2057">
            <v>45647</v>
          </cell>
          <cell r="AC2057">
            <v>45721</v>
          </cell>
        </row>
        <row r="2058">
          <cell r="I2058" t="str">
            <v>EDI</v>
          </cell>
          <cell r="L2058">
            <v>3412</v>
          </cell>
          <cell r="N2058" t="str">
            <v>Production</v>
          </cell>
          <cell r="O2058" t="str">
            <v>No</v>
          </cell>
          <cell r="Q2058" t="str">
            <v>Cancelled</v>
          </cell>
          <cell r="R2058">
            <v>45593.763715277782</v>
          </cell>
          <cell r="S2058" t="str">
            <v>Youssef Muhareb</v>
          </cell>
          <cell r="T2058">
            <v>45601</v>
          </cell>
          <cell r="U2058" t="str">
            <v>Gregory Dubec</v>
          </cell>
          <cell r="V2058">
            <v>45603</v>
          </cell>
          <cell r="W2058">
            <v>45624</v>
          </cell>
          <cell r="Y2058">
            <v>45600</v>
          </cell>
          <cell r="AC2058">
            <v>45623</v>
          </cell>
        </row>
        <row r="2059">
          <cell r="I2059" t="str">
            <v>EDI</v>
          </cell>
          <cell r="L2059">
            <v>3403</v>
          </cell>
          <cell r="N2059" t="str">
            <v>Production</v>
          </cell>
          <cell r="O2059" t="str">
            <v>No</v>
          </cell>
          <cell r="Q2059" t="str">
            <v>Cancelled</v>
          </cell>
          <cell r="R2059">
            <v>45593.763715277782</v>
          </cell>
          <cell r="S2059" t="str">
            <v>Karim Tarek</v>
          </cell>
          <cell r="T2059">
            <v>45687</v>
          </cell>
          <cell r="U2059" t="str">
            <v>Gregory Dubec</v>
          </cell>
          <cell r="V2059">
            <v>45691</v>
          </cell>
          <cell r="W2059">
            <v>45756</v>
          </cell>
          <cell r="Y2059">
            <v>45599</v>
          </cell>
          <cell r="AC2059">
            <v>45752</v>
          </cell>
        </row>
        <row r="2060">
          <cell r="I2060" t="str">
            <v>EDI</v>
          </cell>
          <cell r="L2060">
            <v>3423</v>
          </cell>
          <cell r="N2060" t="str">
            <v>Production</v>
          </cell>
          <cell r="O2060" t="str">
            <v>No</v>
          </cell>
          <cell r="Q2060" t="str">
            <v>Cancelled</v>
          </cell>
          <cell r="R2060">
            <v>45593.763703703713</v>
          </cell>
          <cell r="S2060" t="str">
            <v>Youssef Muhareb</v>
          </cell>
          <cell r="T2060">
            <v>45606</v>
          </cell>
          <cell r="U2060" t="str">
            <v>Gregory Dubec</v>
          </cell>
          <cell r="V2060">
            <v>45629</v>
          </cell>
          <cell r="W2060">
            <v>45659</v>
          </cell>
          <cell r="Y2060">
            <v>45604</v>
          </cell>
          <cell r="AC2060">
            <v>45655</v>
          </cell>
        </row>
        <row r="2061">
          <cell r="I2061" t="str">
            <v>EDI</v>
          </cell>
          <cell r="L2061">
            <v>3424</v>
          </cell>
          <cell r="N2061" t="str">
            <v>Production</v>
          </cell>
          <cell r="O2061" t="str">
            <v>No</v>
          </cell>
          <cell r="Q2061" t="str">
            <v>Live</v>
          </cell>
          <cell r="R2061">
            <v>45590.713807870372</v>
          </cell>
          <cell r="S2061" t="str">
            <v>Marwan Tawfik</v>
          </cell>
          <cell r="T2061">
            <v>45606</v>
          </cell>
          <cell r="U2061" t="str">
            <v>Trish Kalinczok</v>
          </cell>
          <cell r="V2061">
            <v>45665</v>
          </cell>
          <cell r="W2061">
            <v>45705</v>
          </cell>
          <cell r="Y2061">
            <v>45604</v>
          </cell>
          <cell r="AC2061">
            <v>45698</v>
          </cell>
        </row>
        <row r="2062">
          <cell r="I2062" t="str">
            <v>EDI</v>
          </cell>
          <cell r="L2062">
            <v>3404</v>
          </cell>
          <cell r="N2062" t="str">
            <v>Production</v>
          </cell>
          <cell r="O2062" t="str">
            <v>No</v>
          </cell>
          <cell r="Q2062" t="str">
            <v>Live</v>
          </cell>
          <cell r="R2062">
            <v>45590.713807870372</v>
          </cell>
          <cell r="S2062" t="str">
            <v>Mina Kamil</v>
          </cell>
          <cell r="T2062">
            <v>45599</v>
          </cell>
          <cell r="U2062" t="str">
            <v>Trish Kalinczok</v>
          </cell>
          <cell r="W2062">
            <v>45705</v>
          </cell>
          <cell r="Y2062">
            <v>45598</v>
          </cell>
          <cell r="AC2062">
            <v>45701</v>
          </cell>
        </row>
        <row r="2063">
          <cell r="I2063" t="str">
            <v>EDI</v>
          </cell>
          <cell r="L2063">
            <v>3410</v>
          </cell>
          <cell r="N2063" t="str">
            <v>Production</v>
          </cell>
          <cell r="O2063" t="str">
            <v>No</v>
          </cell>
          <cell r="Q2063" t="str">
            <v>Live</v>
          </cell>
          <cell r="R2063">
            <v>45590.713796296302</v>
          </cell>
          <cell r="S2063" t="str">
            <v>Ahmed Ali</v>
          </cell>
          <cell r="T2063">
            <v>45599</v>
          </cell>
          <cell r="U2063" t="str">
            <v>Trish Kalinczok</v>
          </cell>
          <cell r="V2063">
            <v>45666</v>
          </cell>
          <cell r="W2063">
            <v>45733</v>
          </cell>
          <cell r="Y2063">
            <v>45597</v>
          </cell>
          <cell r="AC2063">
            <v>45727</v>
          </cell>
        </row>
        <row r="2064">
          <cell r="I2064" t="str">
            <v>EDI</v>
          </cell>
          <cell r="L2064">
            <v>3416</v>
          </cell>
          <cell r="N2064" t="str">
            <v>Production</v>
          </cell>
          <cell r="O2064" t="str">
            <v>No</v>
          </cell>
          <cell r="Q2064" t="str">
            <v>Cancelled</v>
          </cell>
          <cell r="R2064">
            <v>45590.706134259257</v>
          </cell>
          <cell r="S2064" t="str">
            <v>Mina Adel</v>
          </cell>
          <cell r="T2064">
            <v>45596</v>
          </cell>
          <cell r="U2064" t="str">
            <v>Trish Kalinczok</v>
          </cell>
          <cell r="V2064">
            <v>45614</v>
          </cell>
          <cell r="W2064">
            <v>45728</v>
          </cell>
          <cell r="Y2064">
            <v>45595</v>
          </cell>
          <cell r="AC2064">
            <v>45635</v>
          </cell>
        </row>
        <row r="2065">
          <cell r="I2065" t="str">
            <v>EDI</v>
          </cell>
          <cell r="L2065">
            <v>3399</v>
          </cell>
          <cell r="N2065" t="str">
            <v>Production</v>
          </cell>
          <cell r="O2065" t="str">
            <v>No</v>
          </cell>
          <cell r="Q2065" t="str">
            <v>Live</v>
          </cell>
          <cell r="R2065">
            <v>45589.619803240741</v>
          </cell>
          <cell r="S2065" t="str">
            <v>Mirna Azmy</v>
          </cell>
          <cell r="T2065">
            <v>45595</v>
          </cell>
          <cell r="U2065" t="str">
            <v>Trish Kalinczok</v>
          </cell>
          <cell r="V2065">
            <v>45683</v>
          </cell>
          <cell r="W2065">
            <v>45698</v>
          </cell>
          <cell r="Y2065">
            <v>45595</v>
          </cell>
          <cell r="AC2065">
            <v>45694</v>
          </cell>
        </row>
        <row r="2066">
          <cell r="I2066" t="str">
            <v>EDI</v>
          </cell>
          <cell r="L2066">
            <v>3433</v>
          </cell>
          <cell r="N2066" t="str">
            <v>Production</v>
          </cell>
          <cell r="O2066" t="str">
            <v>No</v>
          </cell>
          <cell r="Q2066" t="str">
            <v>Live</v>
          </cell>
          <cell r="R2066">
            <v>45589.578611111108</v>
          </cell>
          <cell r="S2066" t="str">
            <v>Mina Adel</v>
          </cell>
          <cell r="T2066">
            <v>45603</v>
          </cell>
          <cell r="U2066" t="str">
            <v>Trish Kalinczok</v>
          </cell>
          <cell r="V2066">
            <v>45726</v>
          </cell>
          <cell r="W2066">
            <v>45741</v>
          </cell>
          <cell r="Y2066">
            <v>45602</v>
          </cell>
          <cell r="AC2066">
            <v>45735</v>
          </cell>
        </row>
        <row r="2067">
          <cell r="I2067" t="str">
            <v>EDI</v>
          </cell>
          <cell r="L2067">
            <v>3433</v>
          </cell>
          <cell r="N2067" t="str">
            <v>Production</v>
          </cell>
          <cell r="O2067" t="str">
            <v>No</v>
          </cell>
          <cell r="Q2067" t="str">
            <v>Live</v>
          </cell>
          <cell r="R2067">
            <v>45589.57435185185</v>
          </cell>
          <cell r="S2067" t="str">
            <v>Dina Medhat</v>
          </cell>
          <cell r="T2067">
            <v>45592</v>
          </cell>
          <cell r="U2067" t="str">
            <v>Trish Kalinczok</v>
          </cell>
          <cell r="V2067">
            <v>45726</v>
          </cell>
          <cell r="W2067">
            <v>45741</v>
          </cell>
          <cell r="AC2067">
            <v>45778</v>
          </cell>
        </row>
        <row r="2068">
          <cell r="I2068" t="str">
            <v>EDI</v>
          </cell>
          <cell r="L2068">
            <v>3421</v>
          </cell>
          <cell r="N2068" t="str">
            <v>Production</v>
          </cell>
          <cell r="O2068" t="str">
            <v>No</v>
          </cell>
          <cell r="Q2068" t="str">
            <v>Live</v>
          </cell>
          <cell r="R2068">
            <v>45588.963958333326</v>
          </cell>
          <cell r="S2068" t="str">
            <v>Mirna Azmy</v>
          </cell>
          <cell r="T2068">
            <v>45606</v>
          </cell>
          <cell r="U2068" t="str">
            <v>Trish Kalinczok</v>
          </cell>
          <cell r="V2068">
            <v>25569</v>
          </cell>
          <cell r="W2068">
            <v>45649</v>
          </cell>
          <cell r="Y2068">
            <v>45604</v>
          </cell>
          <cell r="AC2068">
            <v>45642</v>
          </cell>
        </row>
        <row r="2069">
          <cell r="I2069" t="str">
            <v>EDI</v>
          </cell>
          <cell r="L2069">
            <v>3402</v>
          </cell>
          <cell r="N2069" t="str">
            <v>Production</v>
          </cell>
          <cell r="O2069" t="str">
            <v>No</v>
          </cell>
          <cell r="Q2069" t="str">
            <v>Cancelled</v>
          </cell>
          <cell r="R2069">
            <v>45588.878425925926</v>
          </cell>
          <cell r="S2069" t="str">
            <v>Mirna Azmy</v>
          </cell>
          <cell r="T2069">
            <v>45599</v>
          </cell>
          <cell r="U2069" t="str">
            <v>Matt Howell</v>
          </cell>
          <cell r="V2069">
            <v>45613</v>
          </cell>
          <cell r="W2069">
            <v>45617</v>
          </cell>
          <cell r="Y2069">
            <v>45597</v>
          </cell>
          <cell r="AC2069">
            <v>45617</v>
          </cell>
        </row>
        <row r="2070">
          <cell r="I2070" t="str">
            <v>EDI</v>
          </cell>
          <cell r="L2070">
            <v>3442</v>
          </cell>
          <cell r="N2070" t="str">
            <v>Testing</v>
          </cell>
          <cell r="O2070" t="str">
            <v>No</v>
          </cell>
          <cell r="Q2070" t="str">
            <v>Cancelled</v>
          </cell>
          <cell r="R2070">
            <v>45587.914293981477</v>
          </cell>
          <cell r="S2070" t="str">
            <v>Andrew Ramy</v>
          </cell>
          <cell r="T2070">
            <v>45613</v>
          </cell>
          <cell r="U2070" t="str">
            <v>Trish Kalinczok</v>
          </cell>
          <cell r="V2070">
            <v>45624</v>
          </cell>
          <cell r="Y2070">
            <v>45613</v>
          </cell>
        </row>
        <row r="2071">
          <cell r="I2071" t="str">
            <v>EDI</v>
          </cell>
          <cell r="L2071">
            <v>3408</v>
          </cell>
          <cell r="N2071" t="str">
            <v>Production</v>
          </cell>
          <cell r="O2071" t="str">
            <v>No</v>
          </cell>
          <cell r="Q2071" t="str">
            <v>Cancelled</v>
          </cell>
          <cell r="R2071">
            <v>45586.782372685193</v>
          </cell>
          <cell r="S2071" t="str">
            <v>Noha Moustafa</v>
          </cell>
          <cell r="T2071">
            <v>45599</v>
          </cell>
          <cell r="U2071" t="str">
            <v>Rhettsmey Meak</v>
          </cell>
          <cell r="V2071">
            <v>45628</v>
          </cell>
          <cell r="W2071">
            <v>45671</v>
          </cell>
          <cell r="Y2071">
            <v>45597</v>
          </cell>
          <cell r="AC2071">
            <v>45670</v>
          </cell>
        </row>
        <row r="2072">
          <cell r="I2072" t="str">
            <v>EDI</v>
          </cell>
          <cell r="L2072">
            <v>3398</v>
          </cell>
          <cell r="N2072" t="str">
            <v>Mapping</v>
          </cell>
          <cell r="O2072" t="str">
            <v>No</v>
          </cell>
          <cell r="Q2072" t="str">
            <v>Cancelled</v>
          </cell>
          <cell r="R2072">
            <v>45583.660185185188</v>
          </cell>
          <cell r="S2072" t="str">
            <v>Mina George</v>
          </cell>
          <cell r="T2072">
            <v>45592</v>
          </cell>
          <cell r="U2072" t="str">
            <v>Gregory Dubec</v>
          </cell>
          <cell r="Y2072">
            <v>45589</v>
          </cell>
        </row>
        <row r="2073">
          <cell r="I2073" t="str">
            <v>EDI</v>
          </cell>
          <cell r="L2073">
            <v>3441</v>
          </cell>
          <cell r="N2073" t="str">
            <v>Production</v>
          </cell>
          <cell r="O2073" t="str">
            <v>No</v>
          </cell>
          <cell r="Q2073" t="str">
            <v>Cancelled</v>
          </cell>
          <cell r="R2073">
            <v>45583.660173611112</v>
          </cell>
          <cell r="S2073" t="str">
            <v>Mina George</v>
          </cell>
          <cell r="T2073">
            <v>45616</v>
          </cell>
          <cell r="U2073" t="str">
            <v>Gregory Dubec</v>
          </cell>
          <cell r="V2073">
            <v>45685</v>
          </cell>
          <cell r="W2073">
            <v>45777</v>
          </cell>
          <cell r="Y2073">
            <v>45604</v>
          </cell>
          <cell r="AC2073">
            <v>45777</v>
          </cell>
        </row>
        <row r="2074">
          <cell r="I2074" t="str">
            <v>EDI</v>
          </cell>
          <cell r="L2074">
            <v>3630</v>
          </cell>
          <cell r="N2074" t="str">
            <v>Production</v>
          </cell>
          <cell r="O2074" t="str">
            <v>No</v>
          </cell>
          <cell r="Q2074" t="str">
            <v>Live</v>
          </cell>
          <cell r="R2074">
            <v>45582.855486111112</v>
          </cell>
          <cell r="S2074" t="str">
            <v>Mina Kamil</v>
          </cell>
          <cell r="T2074">
            <v>45693</v>
          </cell>
          <cell r="U2074" t="str">
            <v>Tyler  Raposa</v>
          </cell>
          <cell r="W2074">
            <v>45859</v>
          </cell>
          <cell r="Y2074">
            <v>45692</v>
          </cell>
          <cell r="AC2074">
            <v>45859</v>
          </cell>
        </row>
        <row r="2075">
          <cell r="I2075" t="str">
            <v>EDI</v>
          </cell>
          <cell r="L2075">
            <v>3629</v>
          </cell>
          <cell r="N2075" t="str">
            <v>Testing</v>
          </cell>
          <cell r="O2075" t="str">
            <v>No</v>
          </cell>
          <cell r="Q2075" t="str">
            <v>Cancelled</v>
          </cell>
          <cell r="R2075">
            <v>45582.855486111112</v>
          </cell>
          <cell r="S2075" t="str">
            <v>Mina Kamil</v>
          </cell>
          <cell r="T2075">
            <v>45693</v>
          </cell>
          <cell r="U2075" t="str">
            <v>Tyler  Raposa</v>
          </cell>
          <cell r="Y2075">
            <v>45692</v>
          </cell>
        </row>
        <row r="2076">
          <cell r="I2076" t="str">
            <v>EDI</v>
          </cell>
          <cell r="L2076">
            <v>3426</v>
          </cell>
          <cell r="N2076" t="str">
            <v>Mapping</v>
          </cell>
          <cell r="O2076" t="str">
            <v>No</v>
          </cell>
          <cell r="Q2076" t="str">
            <v>Cancelled</v>
          </cell>
          <cell r="R2076">
            <v>45582.855474537027</v>
          </cell>
          <cell r="S2076" t="str">
            <v>Mirna Azmy</v>
          </cell>
          <cell r="T2076">
            <v>45607</v>
          </cell>
          <cell r="U2076" t="str">
            <v>Tyler  Raposa</v>
          </cell>
          <cell r="Y2076">
            <v>45606</v>
          </cell>
        </row>
        <row r="2077">
          <cell r="I2077" t="str">
            <v>EDI</v>
          </cell>
          <cell r="L2077">
            <v>3508</v>
          </cell>
          <cell r="N2077" t="str">
            <v>Production</v>
          </cell>
          <cell r="O2077" t="str">
            <v>No</v>
          </cell>
          <cell r="Q2077" t="str">
            <v>Live</v>
          </cell>
          <cell r="R2077">
            <v>45582.842326388891</v>
          </cell>
          <cell r="S2077" t="str">
            <v>Reem Radwan</v>
          </cell>
          <cell r="T2077">
            <v>45648</v>
          </cell>
          <cell r="U2077" t="str">
            <v>Tyler  Raposa</v>
          </cell>
          <cell r="V2077">
            <v>45690</v>
          </cell>
          <cell r="W2077">
            <v>45782</v>
          </cell>
          <cell r="Y2077">
            <v>45646</v>
          </cell>
          <cell r="AC2077">
            <v>45860</v>
          </cell>
        </row>
        <row r="2078">
          <cell r="I2078" t="str">
            <v>EDI</v>
          </cell>
          <cell r="L2078">
            <v>3459</v>
          </cell>
          <cell r="N2078" t="str">
            <v>Testing</v>
          </cell>
          <cell r="O2078" t="str">
            <v>No</v>
          </cell>
          <cell r="Q2078" t="str">
            <v>Cancelled</v>
          </cell>
          <cell r="R2078">
            <v>45582.842326388891</v>
          </cell>
          <cell r="S2078" t="str">
            <v>Zeyad Khaled</v>
          </cell>
          <cell r="T2078">
            <v>45613</v>
          </cell>
          <cell r="U2078" t="str">
            <v>Tyler  Raposa</v>
          </cell>
          <cell r="V2078">
            <v>45706</v>
          </cell>
          <cell r="Y2078">
            <v>45611</v>
          </cell>
        </row>
        <row r="2079">
          <cell r="I2079" t="str">
            <v>EDI</v>
          </cell>
          <cell r="L2079">
            <v>3666</v>
          </cell>
          <cell r="N2079" t="str">
            <v>Production</v>
          </cell>
          <cell r="O2079" t="str">
            <v>No</v>
          </cell>
          <cell r="Q2079" t="str">
            <v>Live</v>
          </cell>
          <cell r="R2079">
            <v>45582.822118055563</v>
          </cell>
          <cell r="S2079" t="str">
            <v>Mina Kamil</v>
          </cell>
          <cell r="T2079">
            <v>45704</v>
          </cell>
          <cell r="U2079" t="str">
            <v>Tyler  Raposa</v>
          </cell>
          <cell r="W2079">
            <v>45819</v>
          </cell>
          <cell r="Y2079">
            <v>45701</v>
          </cell>
          <cell r="AC2079">
            <v>45819</v>
          </cell>
        </row>
        <row r="2080">
          <cell r="I2080" t="str">
            <v>EDI</v>
          </cell>
          <cell r="L2080">
            <v>3394</v>
          </cell>
          <cell r="N2080" t="str">
            <v>Production</v>
          </cell>
          <cell r="O2080" t="str">
            <v>No</v>
          </cell>
          <cell r="Q2080" t="str">
            <v>Live</v>
          </cell>
          <cell r="R2080">
            <v>45582.621030092603</v>
          </cell>
          <cell r="S2080" t="str">
            <v>Ahmed Ali</v>
          </cell>
          <cell r="T2080">
            <v>45839</v>
          </cell>
          <cell r="U2080" t="str">
            <v>Julie Lombardi</v>
          </cell>
          <cell r="V2080">
            <v>45691</v>
          </cell>
          <cell r="W2080">
            <v>45855</v>
          </cell>
          <cell r="Y2080">
            <v>45589</v>
          </cell>
          <cell r="AC2080">
            <v>45852</v>
          </cell>
        </row>
        <row r="2081">
          <cell r="I2081" t="str">
            <v>EDI</v>
          </cell>
          <cell r="L2081">
            <v>3453</v>
          </cell>
          <cell r="N2081" t="str">
            <v>Production</v>
          </cell>
          <cell r="O2081" t="str">
            <v>No</v>
          </cell>
          <cell r="Q2081" t="str">
            <v>Cancelled</v>
          </cell>
          <cell r="R2081">
            <v>45580.850439814807</v>
          </cell>
          <cell r="S2081" t="str">
            <v>Karim Tarek</v>
          </cell>
          <cell r="T2081">
            <v>45687</v>
          </cell>
          <cell r="U2081" t="str">
            <v>Gregory Dubec</v>
          </cell>
          <cell r="V2081">
            <v>45671</v>
          </cell>
          <cell r="W2081">
            <v>45715</v>
          </cell>
          <cell r="Y2081">
            <v>45623</v>
          </cell>
          <cell r="AC2081">
            <v>45713</v>
          </cell>
        </row>
        <row r="2082">
          <cell r="I2082" t="str">
            <v>EDI</v>
          </cell>
          <cell r="L2082">
            <v>3406</v>
          </cell>
          <cell r="N2082" t="str">
            <v>Testing</v>
          </cell>
          <cell r="O2082" t="str">
            <v>No</v>
          </cell>
          <cell r="Q2082" t="str">
            <v>Cancelled</v>
          </cell>
          <cell r="R2082">
            <v>45576.740347222221</v>
          </cell>
          <cell r="S2082" t="str">
            <v>Marwan Tawfik</v>
          </cell>
          <cell r="T2082">
            <v>45599</v>
          </cell>
          <cell r="U2082" t="str">
            <v>Julie Lombardi</v>
          </cell>
          <cell r="Y2082">
            <v>45598</v>
          </cell>
        </row>
        <row r="2083">
          <cell r="I2083" t="str">
            <v>EDI</v>
          </cell>
          <cell r="N2083" t="str">
            <v>Requirements Gathering</v>
          </cell>
          <cell r="O2083" t="str">
            <v>No</v>
          </cell>
          <cell r="Q2083" t="str">
            <v>Cancelled</v>
          </cell>
          <cell r="R2083">
            <v>45576.740347222221</v>
          </cell>
          <cell r="S2083" t="str">
            <v>Lourina Edmon</v>
          </cell>
          <cell r="T2083">
            <v>45578</v>
          </cell>
          <cell r="U2083" t="str">
            <v>Julie Lombardi</v>
          </cell>
        </row>
        <row r="2084">
          <cell r="I2084" t="str">
            <v>EDI</v>
          </cell>
          <cell r="L2084">
            <v>3370</v>
          </cell>
          <cell r="N2084" t="str">
            <v>Production</v>
          </cell>
          <cell r="O2084" t="str">
            <v>No</v>
          </cell>
          <cell r="Q2084" t="str">
            <v>Live</v>
          </cell>
          <cell r="R2084">
            <v>45574.696504629632</v>
          </cell>
          <cell r="S2084" t="str">
            <v>Noha Moustafa</v>
          </cell>
          <cell r="T2084">
            <v>45580</v>
          </cell>
          <cell r="U2084" t="str">
            <v>Scott Henrehan</v>
          </cell>
          <cell r="V2084">
            <v>45705</v>
          </cell>
          <cell r="W2084">
            <v>45786</v>
          </cell>
          <cell r="Y2084">
            <v>45575</v>
          </cell>
          <cell r="AC2084">
            <v>45783</v>
          </cell>
        </row>
        <row r="2085">
          <cell r="I2085" t="str">
            <v>EDI</v>
          </cell>
          <cell r="L2085">
            <v>3393</v>
          </cell>
          <cell r="N2085" t="str">
            <v>Production</v>
          </cell>
          <cell r="O2085" t="str">
            <v>No</v>
          </cell>
          <cell r="Q2085" t="str">
            <v>Live</v>
          </cell>
          <cell r="R2085">
            <v>45574.696504629632</v>
          </cell>
          <cell r="S2085" t="str">
            <v>Mina Adel</v>
          </cell>
          <cell r="T2085">
            <v>45586</v>
          </cell>
          <cell r="U2085" t="str">
            <v>Scott Henrehan</v>
          </cell>
          <cell r="V2085">
            <v>45615</v>
          </cell>
          <cell r="W2085">
            <v>45667</v>
          </cell>
          <cell r="Y2085">
            <v>45582</v>
          </cell>
          <cell r="AC2085">
            <v>45666</v>
          </cell>
        </row>
        <row r="2086">
          <cell r="I2086" t="str">
            <v>EDI</v>
          </cell>
          <cell r="L2086">
            <v>3400</v>
          </cell>
          <cell r="N2086" t="str">
            <v>Production</v>
          </cell>
          <cell r="O2086" t="str">
            <v>No</v>
          </cell>
          <cell r="Q2086" t="str">
            <v>Live</v>
          </cell>
          <cell r="R2086">
            <v>45573.930879629632</v>
          </cell>
          <cell r="S2086" t="str">
            <v>Karim Tarek</v>
          </cell>
          <cell r="T2086">
            <v>45687</v>
          </cell>
          <cell r="U2086" t="str">
            <v>Matt Howell</v>
          </cell>
          <cell r="V2086">
            <v>45693</v>
          </cell>
          <cell r="W2086">
            <v>45743</v>
          </cell>
          <cell r="Y2086">
            <v>45596</v>
          </cell>
          <cell r="AC2086">
            <v>45741</v>
          </cell>
        </row>
        <row r="2087">
          <cell r="I2087" t="str">
            <v>EDI</v>
          </cell>
          <cell r="L2087">
            <v>3392</v>
          </cell>
          <cell r="N2087" t="str">
            <v>Production</v>
          </cell>
          <cell r="O2087" t="str">
            <v>No</v>
          </cell>
          <cell r="Q2087" t="str">
            <v>Live</v>
          </cell>
          <cell r="R2087">
            <v>45573.930868055562</v>
          </cell>
          <cell r="S2087" t="str">
            <v>Andrew Ramy</v>
          </cell>
          <cell r="T2087">
            <v>45586</v>
          </cell>
          <cell r="U2087" t="str">
            <v>Matt Howell</v>
          </cell>
          <cell r="V2087">
            <v>45664</v>
          </cell>
          <cell r="W2087">
            <v>45694</v>
          </cell>
          <cell r="Y2087">
            <v>45580</v>
          </cell>
          <cell r="AC2087">
            <v>45692</v>
          </cell>
        </row>
        <row r="2088">
          <cell r="I2088" t="str">
            <v>EDI</v>
          </cell>
          <cell r="L2088">
            <v>3381</v>
          </cell>
          <cell r="N2088" t="str">
            <v>Production</v>
          </cell>
          <cell r="O2088" t="str">
            <v>No</v>
          </cell>
          <cell r="Q2088" t="str">
            <v>Live</v>
          </cell>
          <cell r="R2088">
            <v>45573.926793981482</v>
          </cell>
          <cell r="S2088" t="str">
            <v>Amr Salah</v>
          </cell>
          <cell r="T2088">
            <v>45581</v>
          </cell>
          <cell r="U2088" t="str">
            <v>Trish Kalinczok</v>
          </cell>
          <cell r="V2088">
            <v>45637</v>
          </cell>
          <cell r="W2088">
            <v>45656</v>
          </cell>
          <cell r="Y2088">
            <v>45580</v>
          </cell>
          <cell r="AC2088">
            <v>45656</v>
          </cell>
        </row>
        <row r="2089">
          <cell r="I2089" t="str">
            <v>EDI</v>
          </cell>
          <cell r="L2089">
            <v>3381</v>
          </cell>
          <cell r="N2089" t="str">
            <v>Production</v>
          </cell>
          <cell r="O2089" t="str">
            <v>No</v>
          </cell>
          <cell r="Q2089" t="str">
            <v>Live</v>
          </cell>
          <cell r="R2089">
            <v>45573.924861111111</v>
          </cell>
          <cell r="S2089" t="str">
            <v>Dina Medhat</v>
          </cell>
          <cell r="T2089">
            <v>45574</v>
          </cell>
          <cell r="U2089" t="str">
            <v>Trish Kalinczok</v>
          </cell>
          <cell r="V2089">
            <v>45637</v>
          </cell>
          <cell r="W2089">
            <v>45656</v>
          </cell>
          <cell r="AC2089">
            <v>45683</v>
          </cell>
        </row>
        <row r="2090">
          <cell r="I2090" t="str">
            <v>EDI</v>
          </cell>
          <cell r="L2090">
            <v>3388</v>
          </cell>
          <cell r="N2090" t="str">
            <v>Production</v>
          </cell>
          <cell r="O2090" t="str">
            <v>No</v>
          </cell>
          <cell r="Q2090" t="str">
            <v>Live</v>
          </cell>
          <cell r="R2090">
            <v>45573.748148148137</v>
          </cell>
          <cell r="S2090" t="str">
            <v>Ahmed Ali</v>
          </cell>
          <cell r="T2090">
            <v>45574</v>
          </cell>
          <cell r="U2090" t="str">
            <v>Trish Kalinczok</v>
          </cell>
          <cell r="V2090">
            <v>45589</v>
          </cell>
          <cell r="W2090">
            <v>45608</v>
          </cell>
          <cell r="AC2090">
            <v>45606</v>
          </cell>
        </row>
        <row r="2091">
          <cell r="I2091" t="str">
            <v>EDI</v>
          </cell>
          <cell r="L2091">
            <v>3383</v>
          </cell>
          <cell r="N2091" t="str">
            <v>Production</v>
          </cell>
          <cell r="O2091" t="str">
            <v>No</v>
          </cell>
          <cell r="Q2091" t="str">
            <v>Live</v>
          </cell>
          <cell r="R2091">
            <v>45573.723275462973</v>
          </cell>
          <cell r="S2091" t="str">
            <v>Alaa Yehia</v>
          </cell>
          <cell r="T2091">
            <v>45580</v>
          </cell>
          <cell r="U2091" t="str">
            <v>Robbie Schappell</v>
          </cell>
          <cell r="V2091">
            <v>45588</v>
          </cell>
          <cell r="W2091">
            <v>45629</v>
          </cell>
          <cell r="Y2091">
            <v>45575</v>
          </cell>
          <cell r="AC2091">
            <v>45625</v>
          </cell>
        </row>
        <row r="2092">
          <cell r="I2092" t="str">
            <v>EDI</v>
          </cell>
          <cell r="L2092">
            <v>3384</v>
          </cell>
          <cell r="N2092" t="str">
            <v>Production</v>
          </cell>
          <cell r="O2092" t="str">
            <v>No</v>
          </cell>
          <cell r="Q2092" t="str">
            <v>Live</v>
          </cell>
          <cell r="R2092">
            <v>45572.870636574073</v>
          </cell>
          <cell r="S2092" t="str">
            <v>Ahmed Ali</v>
          </cell>
          <cell r="T2092">
            <v>45586</v>
          </cell>
          <cell r="U2092" t="str">
            <v>Scott Henrehan</v>
          </cell>
          <cell r="V2092">
            <v>45637</v>
          </cell>
          <cell r="W2092">
            <v>45658</v>
          </cell>
          <cell r="Y2092">
            <v>45585</v>
          </cell>
          <cell r="AC2092">
            <v>45653</v>
          </cell>
        </row>
        <row r="2093">
          <cell r="I2093" t="str">
            <v>EDI</v>
          </cell>
          <cell r="L2093">
            <v>3396</v>
          </cell>
          <cell r="N2093" t="str">
            <v>Production</v>
          </cell>
          <cell r="O2093" t="str">
            <v>No</v>
          </cell>
          <cell r="Q2093" t="str">
            <v>Live</v>
          </cell>
          <cell r="R2093">
            <v>45572.870625000003</v>
          </cell>
          <cell r="S2093" t="str">
            <v>Marwan Tawfik</v>
          </cell>
          <cell r="T2093">
            <v>45594</v>
          </cell>
          <cell r="U2093" t="str">
            <v>Scott Henrehan</v>
          </cell>
          <cell r="V2093">
            <v>45600</v>
          </cell>
          <cell r="W2093">
            <v>45631</v>
          </cell>
          <cell r="Y2093">
            <v>45594</v>
          </cell>
          <cell r="AC2093">
            <v>45624</v>
          </cell>
        </row>
        <row r="2094">
          <cell r="I2094" t="str">
            <v>EDI</v>
          </cell>
          <cell r="L2094">
            <v>3375</v>
          </cell>
          <cell r="N2094" t="str">
            <v>Production</v>
          </cell>
          <cell r="O2094" t="str">
            <v>No</v>
          </cell>
          <cell r="Q2094" t="str">
            <v>Live</v>
          </cell>
          <cell r="R2094">
            <v>45572.870625000003</v>
          </cell>
          <cell r="S2094" t="str">
            <v>Omnia Abdelaziz</v>
          </cell>
          <cell r="T2094">
            <v>45580</v>
          </cell>
          <cell r="U2094" t="str">
            <v>Scott Henrehan</v>
          </cell>
          <cell r="V2094">
            <v>45590</v>
          </cell>
          <cell r="W2094">
            <v>45631</v>
          </cell>
          <cell r="Y2094">
            <v>45575</v>
          </cell>
          <cell r="AC2094">
            <v>45623</v>
          </cell>
        </row>
        <row r="2095">
          <cell r="I2095" t="str">
            <v>EDI</v>
          </cell>
          <cell r="L2095">
            <v>3377</v>
          </cell>
          <cell r="N2095" t="str">
            <v>Production</v>
          </cell>
          <cell r="O2095" t="str">
            <v>No</v>
          </cell>
          <cell r="Q2095" t="str">
            <v>Cancelled</v>
          </cell>
          <cell r="R2095">
            <v>45572.863425925927</v>
          </cell>
          <cell r="S2095" t="str">
            <v>Reem Radwan</v>
          </cell>
          <cell r="T2095">
            <v>45587</v>
          </cell>
          <cell r="U2095" t="str">
            <v>Julie Lombardi</v>
          </cell>
          <cell r="V2095">
            <v>45600</v>
          </cell>
          <cell r="W2095">
            <v>45607</v>
          </cell>
          <cell r="Y2095">
            <v>45578</v>
          </cell>
          <cell r="AC2095">
            <v>45606</v>
          </cell>
        </row>
        <row r="2096">
          <cell r="I2096" t="str">
            <v>EDI</v>
          </cell>
          <cell r="L2096">
            <v>3389</v>
          </cell>
          <cell r="N2096" t="str">
            <v>Production</v>
          </cell>
          <cell r="O2096" t="str">
            <v>No</v>
          </cell>
          <cell r="Q2096" t="str">
            <v>Live</v>
          </cell>
          <cell r="R2096">
            <v>45572.774027777778</v>
          </cell>
          <cell r="S2096" t="str">
            <v>Mina George</v>
          </cell>
          <cell r="T2096">
            <v>45580</v>
          </cell>
          <cell r="U2096" t="str">
            <v>Amy Bergstrom</v>
          </cell>
          <cell r="V2096">
            <v>45596</v>
          </cell>
          <cell r="W2096">
            <v>45641</v>
          </cell>
          <cell r="Y2096">
            <v>45574</v>
          </cell>
          <cell r="AC2096">
            <v>45638</v>
          </cell>
        </row>
        <row r="2097">
          <cell r="I2097" t="str">
            <v>EDI</v>
          </cell>
          <cell r="L2097">
            <v>3385</v>
          </cell>
          <cell r="N2097" t="str">
            <v>Production</v>
          </cell>
          <cell r="O2097" t="str">
            <v>No</v>
          </cell>
          <cell r="Q2097" t="str">
            <v>Live</v>
          </cell>
          <cell r="R2097">
            <v>45572.771562499998</v>
          </cell>
          <cell r="S2097" t="str">
            <v>Zeyad Khaled</v>
          </cell>
          <cell r="T2097">
            <v>45580</v>
          </cell>
          <cell r="U2097" t="str">
            <v>Amy Bergstrom</v>
          </cell>
          <cell r="V2097">
            <v>45600</v>
          </cell>
          <cell r="W2097">
            <v>45650</v>
          </cell>
          <cell r="Y2097">
            <v>45574</v>
          </cell>
          <cell r="AC2097">
            <v>45649</v>
          </cell>
        </row>
        <row r="2098">
          <cell r="I2098" t="str">
            <v>Forms</v>
          </cell>
          <cell r="L2098" t="str">
            <v>[3357]</v>
          </cell>
          <cell r="N2098" t="str">
            <v>Testing</v>
          </cell>
          <cell r="O2098" t="str">
            <v>Everything Benefits</v>
          </cell>
          <cell r="P2098" t="str">
            <v>Migration Testing</v>
          </cell>
          <cell r="Q2098" t="str">
            <v>Cancelled</v>
          </cell>
          <cell r="R2098">
            <v>45569.851585648154</v>
          </cell>
          <cell r="S2098" t="str">
            <v>Reem Radwan</v>
          </cell>
          <cell r="T2098">
            <v>45574</v>
          </cell>
          <cell r="U2098" t="str">
            <v>Trish Kalinczok</v>
          </cell>
        </row>
        <row r="2099">
          <cell r="I2099" t="str">
            <v>EDI</v>
          </cell>
          <cell r="L2099">
            <v>3395</v>
          </cell>
          <cell r="N2099" t="str">
            <v>Production</v>
          </cell>
          <cell r="O2099" t="str">
            <v>No</v>
          </cell>
          <cell r="Q2099" t="str">
            <v>Live</v>
          </cell>
          <cell r="R2099">
            <v>45569.791493055563</v>
          </cell>
          <cell r="S2099" t="str">
            <v>Youssef Muhareb</v>
          </cell>
          <cell r="T2099">
            <v>45593</v>
          </cell>
          <cell r="U2099" t="str">
            <v>Trish Kalinczok</v>
          </cell>
          <cell r="V2099">
            <v>45595</v>
          </cell>
          <cell r="W2099">
            <v>45614</v>
          </cell>
          <cell r="Y2099">
            <v>45592</v>
          </cell>
          <cell r="AC2099">
            <v>45614</v>
          </cell>
        </row>
        <row r="2100">
          <cell r="I2100" t="str">
            <v>EDI</v>
          </cell>
          <cell r="L2100">
            <v>3363</v>
          </cell>
          <cell r="N2100" t="str">
            <v>Production</v>
          </cell>
          <cell r="O2100" t="str">
            <v>No</v>
          </cell>
          <cell r="Q2100" t="str">
            <v>Live</v>
          </cell>
          <cell r="R2100">
            <v>45569.791493055563</v>
          </cell>
          <cell r="S2100" t="str">
            <v>Hazem Rostom</v>
          </cell>
          <cell r="T2100">
            <v>45578</v>
          </cell>
          <cell r="U2100" t="str">
            <v>Trish Kalinczok</v>
          </cell>
          <cell r="V2100">
            <v>45613</v>
          </cell>
          <cell r="W2100">
            <v>45649</v>
          </cell>
          <cell r="Y2100">
            <v>45573</v>
          </cell>
          <cell r="AC2100">
            <v>45649</v>
          </cell>
        </row>
        <row r="2101">
          <cell r="I2101" t="str">
            <v>EDI</v>
          </cell>
          <cell r="L2101">
            <v>3390</v>
          </cell>
          <cell r="N2101" t="str">
            <v>Production</v>
          </cell>
          <cell r="O2101" t="str">
            <v>No</v>
          </cell>
          <cell r="Q2101" t="str">
            <v>Live</v>
          </cell>
          <cell r="R2101">
            <v>45569.791493055563</v>
          </cell>
          <cell r="S2101" t="str">
            <v>Alaa Yehia</v>
          </cell>
          <cell r="T2101">
            <v>45586</v>
          </cell>
          <cell r="U2101" t="str">
            <v>Trish Kalinczok</v>
          </cell>
          <cell r="V2101">
            <v>45645</v>
          </cell>
          <cell r="W2101">
            <v>25569</v>
          </cell>
          <cell r="Y2101">
            <v>45580</v>
          </cell>
          <cell r="AC2101">
            <v>45659</v>
          </cell>
        </row>
        <row r="2102">
          <cell r="I2102" t="str">
            <v>EDI</v>
          </cell>
          <cell r="L2102">
            <v>3373</v>
          </cell>
          <cell r="N2102" t="str">
            <v>Production</v>
          </cell>
          <cell r="O2102" t="str">
            <v>No</v>
          </cell>
          <cell r="Q2102" t="str">
            <v>Live</v>
          </cell>
          <cell r="R2102">
            <v>45569.791493055563</v>
          </cell>
          <cell r="S2102" t="str">
            <v>Hazem Rostom</v>
          </cell>
          <cell r="T2102">
            <v>45580</v>
          </cell>
          <cell r="U2102" t="str">
            <v>Trish Kalinczok</v>
          </cell>
          <cell r="V2102">
            <v>45617</v>
          </cell>
          <cell r="W2102">
            <v>45656</v>
          </cell>
          <cell r="Y2102">
            <v>45573</v>
          </cell>
          <cell r="AC2102">
            <v>45656</v>
          </cell>
        </row>
        <row r="2103">
          <cell r="I2103" t="str">
            <v>EDI</v>
          </cell>
          <cell r="L2103">
            <v>3367</v>
          </cell>
          <cell r="N2103" t="str">
            <v>Production</v>
          </cell>
          <cell r="O2103" t="str">
            <v>No</v>
          </cell>
          <cell r="Q2103" t="str">
            <v>Live</v>
          </cell>
          <cell r="R2103">
            <v>45569.791481481479</v>
          </cell>
          <cell r="S2103" t="str">
            <v>Zeyad Khaled</v>
          </cell>
          <cell r="T2103">
            <v>45578</v>
          </cell>
          <cell r="U2103" t="str">
            <v>Trish Kalinczok</v>
          </cell>
          <cell r="V2103">
            <v>45581</v>
          </cell>
          <cell r="W2103">
            <v>45607</v>
          </cell>
          <cell r="Y2103">
            <v>45574</v>
          </cell>
          <cell r="AC2103">
            <v>45608</v>
          </cell>
        </row>
        <row r="2104">
          <cell r="I2104" t="str">
            <v>EDI</v>
          </cell>
          <cell r="L2104">
            <v>3401</v>
          </cell>
          <cell r="N2104" t="str">
            <v>Production</v>
          </cell>
          <cell r="O2104" t="str">
            <v>No</v>
          </cell>
          <cell r="Q2104" t="str">
            <v>Live</v>
          </cell>
          <cell r="R2104">
            <v>45569.791481481479</v>
          </cell>
          <cell r="S2104" t="str">
            <v>Omnia Abdelaziz</v>
          </cell>
          <cell r="T2104">
            <v>45589</v>
          </cell>
          <cell r="U2104" t="str">
            <v>Trish Kalinczok</v>
          </cell>
          <cell r="V2104">
            <v>45623</v>
          </cell>
          <cell r="W2104">
            <v>45642</v>
          </cell>
          <cell r="Y2104">
            <v>45589</v>
          </cell>
          <cell r="AC2104">
            <v>45635</v>
          </cell>
        </row>
        <row r="2105">
          <cell r="I2105" t="str">
            <v>EDI</v>
          </cell>
          <cell r="L2105">
            <v>3386</v>
          </cell>
          <cell r="N2105" t="str">
            <v>Production</v>
          </cell>
          <cell r="O2105" t="str">
            <v>No</v>
          </cell>
          <cell r="Q2105" t="str">
            <v>Live</v>
          </cell>
          <cell r="R2105">
            <v>45569.702928240738</v>
          </cell>
          <cell r="S2105" t="str">
            <v>Noha Moustafa</v>
          </cell>
          <cell r="T2105">
            <v>45586</v>
          </cell>
          <cell r="U2105" t="str">
            <v>Rhettsmey Meak</v>
          </cell>
          <cell r="V2105">
            <v>25569</v>
          </cell>
          <cell r="W2105">
            <v>45673</v>
          </cell>
          <cell r="Y2105">
            <v>45582</v>
          </cell>
          <cell r="AC2105">
            <v>45671</v>
          </cell>
        </row>
        <row r="2106">
          <cell r="I2106" t="str">
            <v>EDI</v>
          </cell>
          <cell r="L2106">
            <v>3603</v>
          </cell>
          <cell r="N2106" t="str">
            <v>Production</v>
          </cell>
          <cell r="O2106" t="str">
            <v>No</v>
          </cell>
          <cell r="Q2106" t="str">
            <v>Cancelled</v>
          </cell>
          <cell r="R2106">
            <v>45569.584594907406</v>
          </cell>
          <cell r="S2106" t="str">
            <v>Andrew Ramy</v>
          </cell>
          <cell r="T2106">
            <v>45686</v>
          </cell>
          <cell r="U2106" t="str">
            <v>Tyler  Raposa</v>
          </cell>
          <cell r="V2106">
            <v>45699</v>
          </cell>
          <cell r="W2106">
            <v>45754</v>
          </cell>
          <cell r="Y2106">
            <v>45684</v>
          </cell>
          <cell r="AC2106">
            <v>45753</v>
          </cell>
        </row>
        <row r="2107">
          <cell r="I2107" t="str">
            <v>EDI</v>
          </cell>
          <cell r="L2107">
            <v>3374</v>
          </cell>
          <cell r="N2107" t="str">
            <v>Production</v>
          </cell>
          <cell r="O2107" t="str">
            <v>No</v>
          </cell>
          <cell r="Q2107" t="str">
            <v>Live</v>
          </cell>
          <cell r="R2107">
            <v>45568.919930555552</v>
          </cell>
          <cell r="S2107" t="str">
            <v>Aya Fathy</v>
          </cell>
          <cell r="T2107">
            <v>45580</v>
          </cell>
          <cell r="U2107" t="str">
            <v>Trish Kalinczok</v>
          </cell>
          <cell r="V2107">
            <v>45639</v>
          </cell>
          <cell r="W2107">
            <v>45652</v>
          </cell>
          <cell r="Y2107">
            <v>45578</v>
          </cell>
          <cell r="AC2107">
            <v>45650</v>
          </cell>
        </row>
        <row r="2108">
          <cell r="I2108" t="str">
            <v>EDI</v>
          </cell>
          <cell r="L2108">
            <v>3379</v>
          </cell>
          <cell r="N2108" t="str">
            <v>Production</v>
          </cell>
          <cell r="O2108" t="str">
            <v>No</v>
          </cell>
          <cell r="Q2108" t="str">
            <v>Live</v>
          </cell>
          <cell r="R2108">
            <v>45568.78702546296</v>
          </cell>
          <cell r="S2108" t="str">
            <v>Reem Radwan</v>
          </cell>
          <cell r="T2108">
            <v>45582</v>
          </cell>
          <cell r="U2108" t="str">
            <v>Kristin Zambrano</v>
          </cell>
          <cell r="W2108">
            <v>45615</v>
          </cell>
          <cell r="Y2108">
            <v>45580</v>
          </cell>
          <cell r="AC2108">
            <v>45615</v>
          </cell>
        </row>
        <row r="2109">
          <cell r="I2109" t="str">
            <v>EDI</v>
          </cell>
          <cell r="N2109" t="str">
            <v>Pending Start</v>
          </cell>
          <cell r="O2109" t="str">
            <v>No</v>
          </cell>
          <cell r="Q2109" t="str">
            <v>Cancelled</v>
          </cell>
          <cell r="R2109">
            <v>45568.681909722232</v>
          </cell>
          <cell r="U2109" t="str">
            <v>Ron Anderson</v>
          </cell>
        </row>
        <row r="2110">
          <cell r="I2110" t="str">
            <v>EDI</v>
          </cell>
          <cell r="N2110" t="str">
            <v>Pending Start</v>
          </cell>
          <cell r="O2110" t="str">
            <v>Everything Benefits</v>
          </cell>
          <cell r="P2110" t="str">
            <v>Phase 1 - Map Built</v>
          </cell>
          <cell r="Q2110" t="str">
            <v>Cancelled</v>
          </cell>
          <cell r="R2110">
            <v>45568.604780092603</v>
          </cell>
          <cell r="U2110" t="str">
            <v>Joel Costanzo</v>
          </cell>
        </row>
        <row r="2111">
          <cell r="I2111" t="str">
            <v>EDI</v>
          </cell>
          <cell r="L2111">
            <v>3364</v>
          </cell>
          <cell r="N2111" t="str">
            <v>Production</v>
          </cell>
          <cell r="O2111" t="str">
            <v>No</v>
          </cell>
          <cell r="Q2111" t="str">
            <v>Live</v>
          </cell>
          <cell r="R2111">
            <v>45567.880567129629</v>
          </cell>
          <cell r="S2111" t="str">
            <v>Mina George</v>
          </cell>
          <cell r="T2111">
            <v>45568</v>
          </cell>
          <cell r="U2111" t="str">
            <v>Tammy Davies</v>
          </cell>
          <cell r="V2111">
            <v>45587</v>
          </cell>
          <cell r="W2111">
            <v>45811</v>
          </cell>
          <cell r="AC2111">
            <v>45811</v>
          </cell>
        </row>
        <row r="2112">
          <cell r="I2112" t="str">
            <v>EDI</v>
          </cell>
          <cell r="L2112">
            <v>3371</v>
          </cell>
          <cell r="N2112" t="str">
            <v>Production</v>
          </cell>
          <cell r="O2112" t="str">
            <v>No</v>
          </cell>
          <cell r="Q2112" t="str">
            <v>Live</v>
          </cell>
          <cell r="R2112">
            <v>45567.873831018522</v>
          </cell>
          <cell r="S2112" t="str">
            <v>Alaa Yehia</v>
          </cell>
          <cell r="T2112">
            <v>45578</v>
          </cell>
          <cell r="U2112" t="str">
            <v>Julie Lombardi</v>
          </cell>
          <cell r="V2112">
            <v>45610</v>
          </cell>
          <cell r="W2112">
            <v>45663</v>
          </cell>
          <cell r="Y2112">
            <v>45572</v>
          </cell>
          <cell r="AC2112">
            <v>45662</v>
          </cell>
        </row>
        <row r="2113">
          <cell r="I2113" t="str">
            <v>EDI</v>
          </cell>
          <cell r="L2113">
            <v>3387</v>
          </cell>
          <cell r="N2113" t="str">
            <v>Production</v>
          </cell>
          <cell r="O2113" t="str">
            <v>No</v>
          </cell>
          <cell r="Q2113" t="str">
            <v>Live</v>
          </cell>
          <cell r="R2113">
            <v>45567.8125</v>
          </cell>
          <cell r="S2113" t="str">
            <v>Joseph Atef</v>
          </cell>
          <cell r="T2113">
            <v>45578</v>
          </cell>
          <cell r="U2113" t="str">
            <v>Trish Kalinczok</v>
          </cell>
          <cell r="V2113">
            <v>25569</v>
          </cell>
          <cell r="W2113">
            <v>45657</v>
          </cell>
          <cell r="Y2113">
            <v>45578</v>
          </cell>
          <cell r="AC2113">
            <v>45656</v>
          </cell>
        </row>
        <row r="2114">
          <cell r="I2114" t="str">
            <v>EDI</v>
          </cell>
          <cell r="N2114" t="str">
            <v>Requirements Gathering</v>
          </cell>
          <cell r="O2114" t="str">
            <v>No</v>
          </cell>
          <cell r="Q2114" t="str">
            <v>Cancelled</v>
          </cell>
          <cell r="R2114">
            <v>45566.911666666667</v>
          </cell>
          <cell r="S2114" t="str">
            <v>Sandra Adel</v>
          </cell>
          <cell r="T2114">
            <v>45567</v>
          </cell>
          <cell r="U2114" t="str">
            <v>Gregory Dubec</v>
          </cell>
        </row>
        <row r="2115">
          <cell r="I2115" t="str">
            <v>EDI</v>
          </cell>
          <cell r="L2115">
            <v>3382</v>
          </cell>
          <cell r="N2115" t="str">
            <v>Production</v>
          </cell>
          <cell r="O2115" t="str">
            <v>No</v>
          </cell>
          <cell r="Q2115" t="str">
            <v>Cancelled</v>
          </cell>
          <cell r="R2115">
            <v>45566.91165509259</v>
          </cell>
          <cell r="S2115" t="str">
            <v>Mina Adel</v>
          </cell>
          <cell r="T2115">
            <v>45580</v>
          </cell>
          <cell r="U2115" t="str">
            <v>Gregory Dubec</v>
          </cell>
          <cell r="V2115">
            <v>45585</v>
          </cell>
          <cell r="W2115">
            <v>45595</v>
          </cell>
          <cell r="Y2115">
            <v>45574</v>
          </cell>
          <cell r="AC2115">
            <v>45589</v>
          </cell>
        </row>
        <row r="2116">
          <cell r="I2116" t="str">
            <v>EDI</v>
          </cell>
          <cell r="L2116">
            <v>3378</v>
          </cell>
          <cell r="N2116" t="str">
            <v>Production</v>
          </cell>
          <cell r="O2116" t="str">
            <v>No</v>
          </cell>
          <cell r="Q2116" t="str">
            <v>Live</v>
          </cell>
          <cell r="R2116">
            <v>45565.768125000002</v>
          </cell>
          <cell r="S2116" t="str">
            <v>Andrew Ramy</v>
          </cell>
          <cell r="T2116">
            <v>45580</v>
          </cell>
          <cell r="U2116" t="str">
            <v>Amy Bergstrom</v>
          </cell>
          <cell r="V2116">
            <v>45601</v>
          </cell>
          <cell r="W2116">
            <v>45698</v>
          </cell>
          <cell r="Y2116">
            <v>45578</v>
          </cell>
          <cell r="AC2116">
            <v>45680</v>
          </cell>
        </row>
        <row r="2117">
          <cell r="I2117" t="str">
            <v>EDI</v>
          </cell>
          <cell r="L2117">
            <v>3361</v>
          </cell>
          <cell r="N2117" t="str">
            <v>Production</v>
          </cell>
          <cell r="O2117" t="str">
            <v>No</v>
          </cell>
          <cell r="Q2117" t="str">
            <v>Live</v>
          </cell>
          <cell r="R2117">
            <v>45565.576701388891</v>
          </cell>
          <cell r="S2117" t="str">
            <v>Mirna Azmy</v>
          </cell>
          <cell r="T2117">
            <v>45578</v>
          </cell>
          <cell r="U2117" t="str">
            <v>Trish Kalinczok</v>
          </cell>
          <cell r="V2117">
            <v>45578</v>
          </cell>
          <cell r="W2117">
            <v>25569</v>
          </cell>
          <cell r="Y2117">
            <v>45568</v>
          </cell>
          <cell r="AC2117">
            <v>45587</v>
          </cell>
        </row>
        <row r="2118">
          <cell r="I2118" t="str">
            <v>EDI</v>
          </cell>
          <cell r="L2118">
            <v>3361</v>
          </cell>
          <cell r="N2118" t="str">
            <v>Production</v>
          </cell>
          <cell r="O2118" t="str">
            <v>No</v>
          </cell>
          <cell r="Q2118" t="str">
            <v>Live</v>
          </cell>
          <cell r="R2118">
            <v>45565.574976851851</v>
          </cell>
          <cell r="S2118" t="str">
            <v>Dina Medhat</v>
          </cell>
          <cell r="T2118">
            <v>45566</v>
          </cell>
          <cell r="U2118" t="str">
            <v>Trish Kalinczok</v>
          </cell>
          <cell r="V2118">
            <v>45578</v>
          </cell>
          <cell r="W2118">
            <v>25569</v>
          </cell>
          <cell r="AC2118">
            <v>45778</v>
          </cell>
        </row>
        <row r="2119">
          <cell r="I2119" t="str">
            <v>EDI</v>
          </cell>
          <cell r="L2119">
            <v>3418</v>
          </cell>
          <cell r="N2119" t="str">
            <v>Production</v>
          </cell>
          <cell r="O2119" t="str">
            <v>No</v>
          </cell>
          <cell r="Q2119" t="str">
            <v>Live</v>
          </cell>
          <cell r="R2119">
            <v>45562.706886574073</v>
          </cell>
          <cell r="S2119" t="str">
            <v>Youssef Muhareb</v>
          </cell>
          <cell r="T2119">
            <v>45602</v>
          </cell>
          <cell r="U2119" t="str">
            <v>Gregory Dubec</v>
          </cell>
          <cell r="V2119">
            <v>25569</v>
          </cell>
          <cell r="W2119">
            <v>45610</v>
          </cell>
          <cell r="Y2119">
            <v>45601</v>
          </cell>
          <cell r="AC2119">
            <v>45609</v>
          </cell>
        </row>
        <row r="2120">
          <cell r="I2120" t="str">
            <v>EDI</v>
          </cell>
          <cell r="N2120" t="str">
            <v>Requirements Gathering</v>
          </cell>
          <cell r="O2120" t="str">
            <v>No</v>
          </cell>
          <cell r="Q2120" t="str">
            <v>Cancelled</v>
          </cell>
          <cell r="R2120">
            <v>45562.706886574073</v>
          </cell>
          <cell r="S2120" t="str">
            <v>Sandra Adel</v>
          </cell>
          <cell r="T2120">
            <v>45564</v>
          </cell>
          <cell r="U2120" t="str">
            <v>Gregory Dubec</v>
          </cell>
        </row>
        <row r="2121">
          <cell r="I2121" t="str">
            <v>EDI</v>
          </cell>
          <cell r="L2121">
            <v>3359</v>
          </cell>
          <cell r="N2121" t="str">
            <v>Testing</v>
          </cell>
          <cell r="O2121" t="str">
            <v>No</v>
          </cell>
          <cell r="Q2121" t="str">
            <v>Cancelled</v>
          </cell>
          <cell r="R2121">
            <v>45562.706875000003</v>
          </cell>
          <cell r="S2121" t="str">
            <v>Zeyad Khaled</v>
          </cell>
          <cell r="T2121">
            <v>45582</v>
          </cell>
          <cell r="U2121" t="str">
            <v>Gregory Dubec</v>
          </cell>
          <cell r="V2121">
            <v>45622</v>
          </cell>
          <cell r="Y2121">
            <v>45572</v>
          </cell>
        </row>
        <row r="2122">
          <cell r="I2122" t="str">
            <v>Forms</v>
          </cell>
          <cell r="L2122" t="str">
            <v>[3419]</v>
          </cell>
          <cell r="N2122" t="str">
            <v>Testing</v>
          </cell>
          <cell r="O2122" t="str">
            <v>Everything Benefits</v>
          </cell>
          <cell r="P2122" t="str">
            <v>Migration Testing</v>
          </cell>
          <cell r="Q2122" t="str">
            <v>Cancelled</v>
          </cell>
          <cell r="R2122">
            <v>45561.725856481477</v>
          </cell>
          <cell r="S2122" t="str">
            <v>Reem Radwan</v>
          </cell>
          <cell r="T2122">
            <v>45564</v>
          </cell>
          <cell r="U2122" t="str">
            <v>Trish Kalinczok</v>
          </cell>
        </row>
        <row r="2123">
          <cell r="I2123" t="str">
            <v>Forms</v>
          </cell>
          <cell r="L2123" t="str">
            <v>[3343]</v>
          </cell>
          <cell r="N2123" t="str">
            <v>Testing</v>
          </cell>
          <cell r="O2123" t="str">
            <v>Everything Benefits</v>
          </cell>
          <cell r="P2123" t="str">
            <v>Migration Testing</v>
          </cell>
          <cell r="Q2123" t="str">
            <v>Cancelled</v>
          </cell>
          <cell r="R2123">
            <v>45561.643310185187</v>
          </cell>
          <cell r="S2123" t="str">
            <v>Ahmed Ali</v>
          </cell>
          <cell r="T2123">
            <v>45566</v>
          </cell>
          <cell r="U2123" t="str">
            <v>Trish Kalinczok</v>
          </cell>
        </row>
        <row r="2124">
          <cell r="I2124" t="str">
            <v>Forms</v>
          </cell>
          <cell r="L2124" t="str">
            <v>[3332]</v>
          </cell>
          <cell r="N2124" t="str">
            <v>Testing</v>
          </cell>
          <cell r="O2124" t="str">
            <v>Everything Benefits</v>
          </cell>
          <cell r="P2124" t="str">
            <v>Migration Testing</v>
          </cell>
          <cell r="Q2124" t="str">
            <v>Cancelled</v>
          </cell>
          <cell r="R2124">
            <v>45561.64329861111</v>
          </cell>
          <cell r="S2124" t="str">
            <v>Karen Ramy</v>
          </cell>
          <cell r="T2124">
            <v>45564</v>
          </cell>
          <cell r="U2124" t="str">
            <v>Trish Kalinczok</v>
          </cell>
        </row>
        <row r="2125">
          <cell r="I2125" t="str">
            <v>Forms</v>
          </cell>
          <cell r="L2125" t="str">
            <v>[3341]</v>
          </cell>
          <cell r="N2125" t="str">
            <v>Testing</v>
          </cell>
          <cell r="O2125" t="str">
            <v>Everything Benefits</v>
          </cell>
          <cell r="P2125" t="str">
            <v>Migration Testing</v>
          </cell>
          <cell r="Q2125" t="str">
            <v>Cancelled</v>
          </cell>
          <cell r="R2125">
            <v>45561.643287037034</v>
          </cell>
          <cell r="S2125" t="str">
            <v>Mina Kamil</v>
          </cell>
          <cell r="T2125">
            <v>45574</v>
          </cell>
          <cell r="U2125" t="str">
            <v>Trish Kalinczok</v>
          </cell>
        </row>
        <row r="2126">
          <cell r="I2126" t="str">
            <v>Forms</v>
          </cell>
          <cell r="L2126" t="str">
            <v>[3611]</v>
          </cell>
          <cell r="N2126" t="str">
            <v>Testing</v>
          </cell>
          <cell r="O2126" t="str">
            <v>Everything Benefits</v>
          </cell>
          <cell r="P2126" t="str">
            <v>Migration Testing</v>
          </cell>
          <cell r="Q2126" t="str">
            <v>Cancelled</v>
          </cell>
          <cell r="R2126">
            <v>45560.790775462963</v>
          </cell>
          <cell r="S2126" t="str">
            <v>Mirna Azmy</v>
          </cell>
          <cell r="T2126">
            <v>45623</v>
          </cell>
          <cell r="U2126" t="str">
            <v>Trish Kalinczok</v>
          </cell>
        </row>
        <row r="2127">
          <cell r="I2127" t="str">
            <v>EDI</v>
          </cell>
          <cell r="N2127" t="str">
            <v>Pending Start</v>
          </cell>
          <cell r="O2127" t="str">
            <v>Everything Benefits</v>
          </cell>
          <cell r="P2127" t="str">
            <v>Phase 1 - Map Built</v>
          </cell>
          <cell r="Q2127" t="str">
            <v>Cancelled</v>
          </cell>
          <cell r="R2127">
            <v>45560.790763888886</v>
          </cell>
          <cell r="U2127" t="str">
            <v>Trish Kalinczok</v>
          </cell>
        </row>
        <row r="2128">
          <cell r="I2128" t="str">
            <v>EDI</v>
          </cell>
          <cell r="L2128">
            <v>3376</v>
          </cell>
          <cell r="N2128" t="str">
            <v>Production</v>
          </cell>
          <cell r="O2128" t="str">
            <v>No</v>
          </cell>
          <cell r="Q2128" t="str">
            <v>Live</v>
          </cell>
          <cell r="R2128">
            <v>45559.914444444446</v>
          </cell>
          <cell r="S2128" t="str">
            <v>Andrew Ramy</v>
          </cell>
          <cell r="T2128">
            <v>45574</v>
          </cell>
          <cell r="U2128" t="str">
            <v>Trish Kalinczok</v>
          </cell>
          <cell r="V2128">
            <v>45582</v>
          </cell>
          <cell r="W2128">
            <v>45637</v>
          </cell>
          <cell r="Y2128">
            <v>45568</v>
          </cell>
          <cell r="AC2128">
            <v>45726</v>
          </cell>
        </row>
        <row r="2129">
          <cell r="I2129" t="str">
            <v>EDI</v>
          </cell>
          <cell r="L2129">
            <v>3356</v>
          </cell>
          <cell r="N2129" t="str">
            <v>Production</v>
          </cell>
          <cell r="O2129" t="str">
            <v>No</v>
          </cell>
          <cell r="Q2129" t="str">
            <v>Live</v>
          </cell>
          <cell r="R2129">
            <v>45555.87740740741</v>
          </cell>
          <cell r="S2129" t="str">
            <v>Mahmoud Ashraf</v>
          </cell>
          <cell r="T2129">
            <v>45574</v>
          </cell>
          <cell r="U2129" t="str">
            <v>Trish Kalinczok</v>
          </cell>
          <cell r="V2129">
            <v>45698</v>
          </cell>
          <cell r="W2129">
            <v>45705</v>
          </cell>
          <cell r="Y2129">
            <v>45574</v>
          </cell>
          <cell r="AC2129">
            <v>45705</v>
          </cell>
        </row>
        <row r="2130">
          <cell r="I2130" t="str">
            <v>EDI</v>
          </cell>
          <cell r="L2130">
            <v>3391</v>
          </cell>
          <cell r="N2130" t="str">
            <v>Mapping</v>
          </cell>
          <cell r="O2130" t="str">
            <v>No</v>
          </cell>
          <cell r="Q2130" t="str">
            <v>Cancelled</v>
          </cell>
          <cell r="R2130">
            <v>45555.8672337963</v>
          </cell>
          <cell r="S2130" t="str">
            <v>Zeyad Khaled</v>
          </cell>
          <cell r="T2130">
            <v>45589</v>
          </cell>
          <cell r="U2130" t="str">
            <v>Hans De Grouw</v>
          </cell>
          <cell r="Y2130">
            <v>45587</v>
          </cell>
        </row>
        <row r="2131">
          <cell r="I2131" t="str">
            <v>EDI</v>
          </cell>
          <cell r="N2131" t="str">
            <v>Resource Assignment</v>
          </cell>
          <cell r="O2131" t="str">
            <v>No</v>
          </cell>
          <cell r="Q2131" t="str">
            <v>Cancelled</v>
          </cell>
          <cell r="R2131">
            <v>45555.8672337963</v>
          </cell>
          <cell r="S2131" t="str">
            <v>Dina Medhat</v>
          </cell>
          <cell r="T2131">
            <v>45561</v>
          </cell>
          <cell r="U2131" t="str">
            <v>Hans De Grouw</v>
          </cell>
          <cell r="Y2131">
            <v>45561</v>
          </cell>
        </row>
        <row r="2132">
          <cell r="I2132" t="str">
            <v>EDI</v>
          </cell>
          <cell r="L2132">
            <v>3590</v>
          </cell>
          <cell r="N2132" t="str">
            <v>Production</v>
          </cell>
          <cell r="O2132" t="str">
            <v>No</v>
          </cell>
          <cell r="Q2132" t="str">
            <v>Live</v>
          </cell>
          <cell r="R2132">
            <v>45555.867222222223</v>
          </cell>
          <cell r="S2132" t="str">
            <v>Alaa Yehia</v>
          </cell>
          <cell r="T2132">
            <v>45683</v>
          </cell>
          <cell r="U2132" t="str">
            <v>Hans De Grouw</v>
          </cell>
          <cell r="V2132">
            <v>45707</v>
          </cell>
          <cell r="W2132">
            <v>25569</v>
          </cell>
          <cell r="Y2132">
            <v>45680</v>
          </cell>
          <cell r="AC2132">
            <v>45763</v>
          </cell>
        </row>
        <row r="2133">
          <cell r="I2133" t="str">
            <v>EDI</v>
          </cell>
          <cell r="L2133">
            <v>3360</v>
          </cell>
          <cell r="N2133" t="str">
            <v>Testing</v>
          </cell>
          <cell r="O2133" t="str">
            <v>No</v>
          </cell>
          <cell r="Q2133" t="str">
            <v>Cancelled</v>
          </cell>
          <cell r="R2133">
            <v>45555.724282407413</v>
          </cell>
          <cell r="S2133" t="str">
            <v>Mina Adel</v>
          </cell>
          <cell r="T2133">
            <v>46063</v>
          </cell>
          <cell r="U2133" t="str">
            <v>Trish Kalinczok</v>
          </cell>
          <cell r="V2133">
            <v>45600</v>
          </cell>
          <cell r="Y2133">
            <v>45573</v>
          </cell>
        </row>
        <row r="2134">
          <cell r="I2134" t="str">
            <v>EDI</v>
          </cell>
          <cell r="L2134">
            <v>3380</v>
          </cell>
          <cell r="N2134" t="str">
            <v>Testing</v>
          </cell>
          <cell r="O2134" t="str">
            <v>No</v>
          </cell>
          <cell r="Q2134" t="str">
            <v>Cancelled</v>
          </cell>
          <cell r="R2134">
            <v>45555.65965277778</v>
          </cell>
          <cell r="S2134" t="str">
            <v>Ahmed Ali</v>
          </cell>
          <cell r="T2134">
            <v>45574</v>
          </cell>
          <cell r="U2134" t="str">
            <v>Gregory Dubec</v>
          </cell>
          <cell r="V2134">
            <v>45630</v>
          </cell>
          <cell r="Y2134">
            <v>45567</v>
          </cell>
        </row>
        <row r="2135">
          <cell r="I2135" t="str">
            <v>EDI</v>
          </cell>
          <cell r="L2135">
            <v>3345</v>
          </cell>
          <cell r="N2135" t="str">
            <v>Production</v>
          </cell>
          <cell r="O2135" t="str">
            <v>No</v>
          </cell>
          <cell r="Q2135" t="str">
            <v>Live</v>
          </cell>
          <cell r="R2135">
            <v>45555.65965277778</v>
          </cell>
          <cell r="S2135" t="str">
            <v>Reem Radwan</v>
          </cell>
          <cell r="T2135">
            <v>45567</v>
          </cell>
          <cell r="U2135" t="str">
            <v>Gregory Dubec</v>
          </cell>
          <cell r="V2135">
            <v>45578</v>
          </cell>
          <cell r="W2135">
            <v>45589</v>
          </cell>
          <cell r="Y2135">
            <v>45560</v>
          </cell>
          <cell r="AC2135">
            <v>45587</v>
          </cell>
        </row>
        <row r="2136">
          <cell r="I2136" t="str">
            <v>EDI</v>
          </cell>
          <cell r="L2136">
            <v>3358</v>
          </cell>
          <cell r="N2136" t="str">
            <v>Production</v>
          </cell>
          <cell r="O2136" t="str">
            <v>No</v>
          </cell>
          <cell r="Q2136" t="str">
            <v>Live</v>
          </cell>
          <cell r="R2136">
            <v>45554.790752314817</v>
          </cell>
          <cell r="S2136" t="str">
            <v>Alaa Yehia</v>
          </cell>
          <cell r="T2136">
            <v>45574</v>
          </cell>
          <cell r="U2136" t="str">
            <v>Julie Lombardi</v>
          </cell>
          <cell r="V2136">
            <v>45578</v>
          </cell>
          <cell r="W2136">
            <v>45642</v>
          </cell>
          <cell r="Y2136">
            <v>45562</v>
          </cell>
          <cell r="AC2136">
            <v>45637</v>
          </cell>
        </row>
        <row r="2137">
          <cell r="I2137" t="str">
            <v>EDI</v>
          </cell>
          <cell r="L2137">
            <v>3372</v>
          </cell>
          <cell r="N2137" t="str">
            <v>Production</v>
          </cell>
          <cell r="O2137" t="str">
            <v>No</v>
          </cell>
          <cell r="Q2137" t="str">
            <v>Live</v>
          </cell>
          <cell r="R2137">
            <v>45553.901782407411</v>
          </cell>
          <cell r="S2137" t="str">
            <v>Mina Adel</v>
          </cell>
          <cell r="T2137">
            <v>45574</v>
          </cell>
          <cell r="U2137" t="str">
            <v>Tyler  Raposa</v>
          </cell>
          <cell r="W2137">
            <v>25569</v>
          </cell>
          <cell r="Y2137">
            <v>45558</v>
          </cell>
          <cell r="AC2137">
            <v>45620</v>
          </cell>
        </row>
        <row r="2138">
          <cell r="I2138" t="str">
            <v>EDI</v>
          </cell>
          <cell r="L2138">
            <v>3360</v>
          </cell>
          <cell r="N2138" t="str">
            <v>Mapping</v>
          </cell>
          <cell r="O2138" t="str">
            <v>No</v>
          </cell>
          <cell r="Q2138" t="str">
            <v>Cancelled</v>
          </cell>
          <cell r="R2138">
            <v>45553.894074074073</v>
          </cell>
          <cell r="S2138" t="str">
            <v>Dina Medhat</v>
          </cell>
          <cell r="T2138">
            <v>45568</v>
          </cell>
          <cell r="U2138" t="str">
            <v>Trish Kalinczok</v>
          </cell>
          <cell r="V2138">
            <v>45600</v>
          </cell>
          <cell r="Y2138">
            <v>45568</v>
          </cell>
        </row>
        <row r="2139">
          <cell r="I2139" t="str">
            <v>EDI</v>
          </cell>
          <cell r="L2139">
            <v>3347</v>
          </cell>
          <cell r="N2139" t="str">
            <v>Production</v>
          </cell>
          <cell r="O2139" t="str">
            <v>No</v>
          </cell>
          <cell r="Q2139" t="str">
            <v>Cancelled</v>
          </cell>
          <cell r="R2139">
            <v>45553.579791666663</v>
          </cell>
          <cell r="S2139" t="str">
            <v>Alaa Yehia</v>
          </cell>
          <cell r="T2139">
            <v>45566</v>
          </cell>
          <cell r="U2139" t="str">
            <v>Carolina Tanoue</v>
          </cell>
          <cell r="V2139">
            <v>45574</v>
          </cell>
          <cell r="W2139">
            <v>45593</v>
          </cell>
          <cell r="Y2139">
            <v>45554</v>
          </cell>
          <cell r="AC2139">
            <v>45592</v>
          </cell>
        </row>
        <row r="2140">
          <cell r="I2140" t="str">
            <v>EDI</v>
          </cell>
          <cell r="L2140">
            <v>3368</v>
          </cell>
          <cell r="N2140" t="str">
            <v>Production</v>
          </cell>
          <cell r="O2140" t="str">
            <v>No</v>
          </cell>
          <cell r="Q2140" t="str">
            <v>Live</v>
          </cell>
          <cell r="R2140">
            <v>45552.874224537038</v>
          </cell>
          <cell r="S2140" t="str">
            <v>Mirna Azmy</v>
          </cell>
          <cell r="T2140">
            <v>45579</v>
          </cell>
          <cell r="U2140" t="str">
            <v>Gregory Dubec</v>
          </cell>
          <cell r="V2140">
            <v>45588</v>
          </cell>
          <cell r="W2140">
            <v>45603</v>
          </cell>
          <cell r="Y2140">
            <v>45578</v>
          </cell>
          <cell r="AC2140">
            <v>45603</v>
          </cell>
        </row>
        <row r="2141">
          <cell r="I2141" t="str">
            <v>EDI</v>
          </cell>
          <cell r="L2141">
            <v>3340</v>
          </cell>
          <cell r="N2141" t="str">
            <v>Production</v>
          </cell>
          <cell r="O2141" t="str">
            <v>No</v>
          </cell>
          <cell r="Q2141" t="str">
            <v>Live</v>
          </cell>
          <cell r="R2141">
            <v>45552.874212962961</v>
          </cell>
          <cell r="S2141" t="str">
            <v>Hazem Rostom</v>
          </cell>
          <cell r="T2141">
            <v>45566</v>
          </cell>
          <cell r="U2141" t="str">
            <v>Gregory Dubec</v>
          </cell>
          <cell r="V2141">
            <v>45617</v>
          </cell>
          <cell r="W2141">
            <v>45652</v>
          </cell>
          <cell r="Y2141">
            <v>45556</v>
          </cell>
          <cell r="AC2141">
            <v>45652</v>
          </cell>
        </row>
        <row r="2142">
          <cell r="I2142" t="str">
            <v>EDI</v>
          </cell>
          <cell r="N2142" t="str">
            <v>Requirements Gathering</v>
          </cell>
          <cell r="O2142" t="str">
            <v>No</v>
          </cell>
          <cell r="Q2142" t="str">
            <v>Cancelled</v>
          </cell>
          <cell r="R2142">
            <v>45552.874212962961</v>
          </cell>
          <cell r="S2142" t="str">
            <v>Lourina Edmon</v>
          </cell>
          <cell r="T2142">
            <v>45582</v>
          </cell>
          <cell r="U2142" t="str">
            <v>Gregory Dubec</v>
          </cell>
          <cell r="Y2142">
            <v>45561</v>
          </cell>
        </row>
        <row r="2143">
          <cell r="I2143" t="str">
            <v>Forms</v>
          </cell>
          <cell r="L2143" t="str">
            <v>[3312]</v>
          </cell>
          <cell r="N2143" t="str">
            <v>Testing</v>
          </cell>
          <cell r="O2143" t="str">
            <v>Everything Benefits</v>
          </cell>
          <cell r="P2143" t="str">
            <v>Migration Testing</v>
          </cell>
          <cell r="Q2143" t="str">
            <v>Cancelled</v>
          </cell>
          <cell r="R2143">
            <v>45551.781087962961</v>
          </cell>
          <cell r="S2143" t="str">
            <v>Reem Radwan</v>
          </cell>
          <cell r="T2143">
            <v>45552</v>
          </cell>
          <cell r="U2143" t="str">
            <v>Trish Kalinczok</v>
          </cell>
        </row>
        <row r="2144">
          <cell r="I2144" t="str">
            <v>EDI</v>
          </cell>
          <cell r="N2144" t="str">
            <v>Pending Start</v>
          </cell>
          <cell r="O2144" t="str">
            <v>Everything Benefits</v>
          </cell>
          <cell r="P2144" t="str">
            <v>Phase 1 - Map Built</v>
          </cell>
          <cell r="Q2144" t="str">
            <v>Cancelled</v>
          </cell>
          <cell r="R2144">
            <v>45551.781076388892</v>
          </cell>
          <cell r="U2144" t="str">
            <v>Trish Kalinczok</v>
          </cell>
        </row>
        <row r="2145">
          <cell r="I2145" t="str">
            <v>EDI</v>
          </cell>
          <cell r="N2145" t="str">
            <v>Requirements Gathering</v>
          </cell>
          <cell r="O2145" t="str">
            <v>No</v>
          </cell>
          <cell r="Q2145" t="str">
            <v>Cancelled</v>
          </cell>
          <cell r="R2145">
            <v>45551.698599537027</v>
          </cell>
          <cell r="S2145" t="str">
            <v>Sandra Adel</v>
          </cell>
          <cell r="T2145">
            <v>45553</v>
          </cell>
          <cell r="U2145" t="str">
            <v>Trish Kalinczok</v>
          </cell>
        </row>
        <row r="2146">
          <cell r="I2146" t="str">
            <v>EDI</v>
          </cell>
          <cell r="L2146">
            <v>3365</v>
          </cell>
          <cell r="N2146" t="str">
            <v>Production</v>
          </cell>
          <cell r="O2146" t="str">
            <v>No</v>
          </cell>
          <cell r="Q2146" t="str">
            <v>Live</v>
          </cell>
          <cell r="R2146">
            <v>45551.697488425933</v>
          </cell>
          <cell r="S2146" t="str">
            <v>Mina George</v>
          </cell>
          <cell r="T2146">
            <v>45566</v>
          </cell>
          <cell r="U2146" t="str">
            <v>Trish Kalinczok</v>
          </cell>
          <cell r="V2146">
            <v>45867</v>
          </cell>
          <cell r="W2146">
            <v>45909</v>
          </cell>
          <cell r="Y2146">
            <v>45560</v>
          </cell>
          <cell r="AC2146">
            <v>45909</v>
          </cell>
        </row>
        <row r="2147">
          <cell r="I2147" t="str">
            <v>EDI</v>
          </cell>
          <cell r="L2147">
            <v>4008</v>
          </cell>
          <cell r="N2147" t="str">
            <v>Testing</v>
          </cell>
          <cell r="O2147" t="str">
            <v>No</v>
          </cell>
          <cell r="Q2147" t="str">
            <v>In Progress</v>
          </cell>
          <cell r="R2147">
            <v>45551.697476851848</v>
          </cell>
          <cell r="S2147" t="str">
            <v>Alaa Yehia</v>
          </cell>
          <cell r="T2147">
            <v>46049</v>
          </cell>
          <cell r="U2147" t="str">
            <v>Trish Kalinczok</v>
          </cell>
          <cell r="V2147">
            <v>46062</v>
          </cell>
          <cell r="Y2147">
            <v>45582</v>
          </cell>
        </row>
        <row r="2148">
          <cell r="I2148" t="str">
            <v>EDI</v>
          </cell>
          <cell r="L2148">
            <v>4041</v>
          </cell>
          <cell r="N2148" t="str">
            <v>Production</v>
          </cell>
          <cell r="O2148" t="str">
            <v>No</v>
          </cell>
          <cell r="Q2148" t="str">
            <v>Live</v>
          </cell>
          <cell r="R2148">
            <v>45551.697476851848</v>
          </cell>
          <cell r="S2148" t="str">
            <v>Mina Kamil</v>
          </cell>
          <cell r="T2148">
            <v>45867</v>
          </cell>
          <cell r="U2148" t="str">
            <v>Trish Kalinczok</v>
          </cell>
          <cell r="W2148">
            <v>25569</v>
          </cell>
          <cell r="Y2148">
            <v>45866</v>
          </cell>
          <cell r="AC2148">
            <v>45922</v>
          </cell>
        </row>
        <row r="2149">
          <cell r="I2149" t="str">
            <v>EDI</v>
          </cell>
          <cell r="L2149">
            <v>3354</v>
          </cell>
          <cell r="N2149" t="str">
            <v>Production</v>
          </cell>
          <cell r="O2149" t="str">
            <v>No</v>
          </cell>
          <cell r="Q2149" t="str">
            <v>Live</v>
          </cell>
          <cell r="R2149">
            <v>45548.932650462957</v>
          </cell>
          <cell r="S2149" t="str">
            <v>Mina Adel</v>
          </cell>
          <cell r="T2149">
            <v>45566</v>
          </cell>
          <cell r="U2149" t="str">
            <v>Tammy Davies</v>
          </cell>
          <cell r="W2149">
            <v>45616</v>
          </cell>
          <cell r="Y2149">
            <v>45561</v>
          </cell>
          <cell r="AC2149">
            <v>45613</v>
          </cell>
        </row>
        <row r="2150">
          <cell r="I2150" t="str">
            <v>EDI</v>
          </cell>
          <cell r="L2150">
            <v>3362</v>
          </cell>
          <cell r="N2150" t="str">
            <v>Testing</v>
          </cell>
          <cell r="O2150" t="str">
            <v>No</v>
          </cell>
          <cell r="Q2150" t="str">
            <v>Cancelled</v>
          </cell>
          <cell r="R2150">
            <v>45548.90221064815</v>
          </cell>
          <cell r="S2150" t="str">
            <v>Mirna Azmy</v>
          </cell>
          <cell r="T2150">
            <v>45578</v>
          </cell>
          <cell r="U2150" t="str">
            <v>Tammy Davies</v>
          </cell>
          <cell r="V2150">
            <v>45610</v>
          </cell>
          <cell r="Y2150">
            <v>45578</v>
          </cell>
        </row>
        <row r="2151">
          <cell r="I2151" t="str">
            <v>EDI</v>
          </cell>
          <cell r="L2151">
            <v>3351</v>
          </cell>
          <cell r="N2151" t="str">
            <v>Production</v>
          </cell>
          <cell r="O2151" t="str">
            <v>No</v>
          </cell>
          <cell r="Q2151" t="str">
            <v>Live</v>
          </cell>
          <cell r="R2151">
            <v>45548.873252314806</v>
          </cell>
          <cell r="S2151" t="str">
            <v>Mirna Azmy</v>
          </cell>
          <cell r="T2151">
            <v>45566</v>
          </cell>
          <cell r="U2151" t="str">
            <v>Tammy Davies</v>
          </cell>
          <cell r="V2151">
            <v>45568</v>
          </cell>
          <cell r="W2151">
            <v>45586</v>
          </cell>
          <cell r="Y2151">
            <v>45564</v>
          </cell>
          <cell r="AC2151">
            <v>45585</v>
          </cell>
        </row>
        <row r="2152">
          <cell r="I2152" t="str">
            <v>EDI</v>
          </cell>
          <cell r="L2152">
            <v>3339</v>
          </cell>
          <cell r="N2152" t="str">
            <v>Production</v>
          </cell>
          <cell r="O2152" t="str">
            <v>No</v>
          </cell>
          <cell r="Q2152" t="str">
            <v>Live</v>
          </cell>
          <cell r="R2152">
            <v>45548.873240740737</v>
          </cell>
          <cell r="S2152" t="str">
            <v>Aya Fathy</v>
          </cell>
          <cell r="T2152">
            <v>45566</v>
          </cell>
          <cell r="U2152" t="str">
            <v>Tammy Davies</v>
          </cell>
          <cell r="V2152">
            <v>45567</v>
          </cell>
          <cell r="W2152">
            <v>45580</v>
          </cell>
          <cell r="Y2152">
            <v>45559</v>
          </cell>
          <cell r="AC2152">
            <v>45574</v>
          </cell>
        </row>
        <row r="2153">
          <cell r="I2153" t="str">
            <v>EDI</v>
          </cell>
          <cell r="L2153">
            <v>3348</v>
          </cell>
          <cell r="N2153" t="str">
            <v>Production</v>
          </cell>
          <cell r="O2153" t="str">
            <v>No</v>
          </cell>
          <cell r="Q2153" t="str">
            <v>Live</v>
          </cell>
          <cell r="R2153">
            <v>45548.871932870366</v>
          </cell>
          <cell r="S2153" t="str">
            <v>Mahmoud Ashraf</v>
          </cell>
          <cell r="T2153">
            <v>45566</v>
          </cell>
          <cell r="U2153" t="str">
            <v>Trish Kalinczok</v>
          </cell>
          <cell r="V2153">
            <v>45579</v>
          </cell>
          <cell r="W2153">
            <v>45586</v>
          </cell>
          <cell r="Y2153">
            <v>45556</v>
          </cell>
          <cell r="AC2153">
            <v>45582</v>
          </cell>
        </row>
        <row r="2154">
          <cell r="I2154" t="str">
            <v>EDI</v>
          </cell>
          <cell r="L2154">
            <v>3350</v>
          </cell>
          <cell r="N2154" t="str">
            <v>Production</v>
          </cell>
          <cell r="O2154" t="str">
            <v>No</v>
          </cell>
          <cell r="Q2154" t="str">
            <v>Cancelled</v>
          </cell>
          <cell r="R2154">
            <v>45548.862604166658</v>
          </cell>
          <cell r="S2154" t="str">
            <v>Andrew Ramy</v>
          </cell>
          <cell r="T2154">
            <v>45566</v>
          </cell>
          <cell r="U2154" t="str">
            <v>Tammy Davies</v>
          </cell>
          <cell r="V2154">
            <v>45579</v>
          </cell>
          <cell r="W2154">
            <v>45624</v>
          </cell>
          <cell r="Y2154">
            <v>45564</v>
          </cell>
          <cell r="AC2154">
            <v>45623</v>
          </cell>
        </row>
        <row r="2155">
          <cell r="I2155" t="str">
            <v>EDI</v>
          </cell>
          <cell r="L2155">
            <v>3336</v>
          </cell>
          <cell r="N2155" t="str">
            <v>Production</v>
          </cell>
          <cell r="O2155" t="str">
            <v>No</v>
          </cell>
          <cell r="Q2155" t="str">
            <v>Cancelled</v>
          </cell>
          <cell r="R2155">
            <v>45548.862604166658</v>
          </cell>
          <cell r="S2155" t="str">
            <v>Mina Adel</v>
          </cell>
          <cell r="T2155">
            <v>45560</v>
          </cell>
          <cell r="U2155" t="str">
            <v>Tammy Davies</v>
          </cell>
          <cell r="V2155">
            <v>45572</v>
          </cell>
          <cell r="W2155">
            <v>45643</v>
          </cell>
          <cell r="Y2155">
            <v>45553</v>
          </cell>
          <cell r="AC2155">
            <v>45641</v>
          </cell>
        </row>
        <row r="2156">
          <cell r="I2156" t="str">
            <v>EDI</v>
          </cell>
          <cell r="L2156">
            <v>3346</v>
          </cell>
          <cell r="N2156" t="str">
            <v>Production</v>
          </cell>
          <cell r="O2156" t="str">
            <v>No</v>
          </cell>
          <cell r="Q2156" t="str">
            <v>Cancelled</v>
          </cell>
          <cell r="R2156">
            <v>45548.862592592603</v>
          </cell>
          <cell r="S2156" t="str">
            <v>Noha Moustafa</v>
          </cell>
          <cell r="T2156">
            <v>45566</v>
          </cell>
          <cell r="U2156" t="str">
            <v>Tammy Davies</v>
          </cell>
          <cell r="V2156">
            <v>45578</v>
          </cell>
          <cell r="W2156">
            <v>45623</v>
          </cell>
          <cell r="Y2156">
            <v>45553</v>
          </cell>
          <cell r="AC2156">
            <v>45620</v>
          </cell>
        </row>
        <row r="2157">
          <cell r="I2157" t="str">
            <v>EDI</v>
          </cell>
          <cell r="L2157">
            <v>3355</v>
          </cell>
          <cell r="N2157" t="str">
            <v>Production</v>
          </cell>
          <cell r="O2157" t="str">
            <v>No</v>
          </cell>
          <cell r="Q2157" t="str">
            <v>Cancelled</v>
          </cell>
          <cell r="R2157">
            <v>45548.862592592603</v>
          </cell>
          <cell r="S2157" t="str">
            <v>Noha Moustafa</v>
          </cell>
          <cell r="T2157">
            <v>45574</v>
          </cell>
          <cell r="U2157" t="str">
            <v>Tammy Davies</v>
          </cell>
          <cell r="V2157">
            <v>45595</v>
          </cell>
          <cell r="W2157">
            <v>45706</v>
          </cell>
          <cell r="Y2157">
            <v>45572</v>
          </cell>
          <cell r="AC2157">
            <v>45705</v>
          </cell>
        </row>
        <row r="2158">
          <cell r="I2158" t="str">
            <v>EDI</v>
          </cell>
          <cell r="L2158">
            <v>3369</v>
          </cell>
          <cell r="N2158" t="str">
            <v>Production</v>
          </cell>
          <cell r="O2158" t="str">
            <v>No</v>
          </cell>
          <cell r="Q2158" t="str">
            <v>Live</v>
          </cell>
          <cell r="R2158">
            <v>45547.907581018517</v>
          </cell>
          <cell r="S2158" t="str">
            <v>Mahmoud Ashraf</v>
          </cell>
          <cell r="T2158">
            <v>45578</v>
          </cell>
          <cell r="U2158" t="str">
            <v>Gregory Dubec</v>
          </cell>
          <cell r="W2158">
            <v>45680</v>
          </cell>
          <cell r="Y2158">
            <v>45578</v>
          </cell>
          <cell r="AC2158">
            <v>45678</v>
          </cell>
        </row>
        <row r="2159">
          <cell r="I2159" t="str">
            <v>EDI</v>
          </cell>
          <cell r="L2159">
            <v>3409</v>
          </cell>
          <cell r="N2159" t="str">
            <v>Production</v>
          </cell>
          <cell r="O2159" t="str">
            <v>No</v>
          </cell>
          <cell r="Q2159" t="str">
            <v>Live</v>
          </cell>
          <cell r="R2159">
            <v>45547.907581018517</v>
          </cell>
          <cell r="S2159" t="str">
            <v>Joseph Atef</v>
          </cell>
          <cell r="T2159">
            <v>45599</v>
          </cell>
          <cell r="U2159" t="str">
            <v>Gregory Dubec</v>
          </cell>
          <cell r="V2159">
            <v>25569</v>
          </cell>
          <cell r="W2159">
            <v>45659</v>
          </cell>
          <cell r="Y2159">
            <v>45596</v>
          </cell>
          <cell r="AC2159">
            <v>45659</v>
          </cell>
        </row>
        <row r="2160">
          <cell r="I2160" t="str">
            <v>EDI</v>
          </cell>
          <cell r="L2160">
            <v>3366</v>
          </cell>
          <cell r="N2160" t="str">
            <v>Production</v>
          </cell>
          <cell r="O2160" t="str">
            <v>No</v>
          </cell>
          <cell r="Q2160" t="str">
            <v>Live</v>
          </cell>
          <cell r="R2160">
            <v>45547.907569444447</v>
          </cell>
          <cell r="S2160" t="str">
            <v>Noha Moustafa</v>
          </cell>
          <cell r="T2160">
            <v>45578</v>
          </cell>
          <cell r="U2160" t="str">
            <v>Gregory Dubec</v>
          </cell>
          <cell r="V2160">
            <v>45592</v>
          </cell>
          <cell r="W2160">
            <v>45757</v>
          </cell>
          <cell r="Y2160">
            <v>45578</v>
          </cell>
          <cell r="AC2160">
            <v>45751</v>
          </cell>
        </row>
        <row r="2161">
          <cell r="I2161" t="str">
            <v>Forms</v>
          </cell>
          <cell r="L2161" t="str">
            <v>[3311]</v>
          </cell>
          <cell r="N2161" t="str">
            <v>Testing</v>
          </cell>
          <cell r="O2161" t="str">
            <v>Everything Benefits</v>
          </cell>
          <cell r="P2161" t="str">
            <v>Migration Testing</v>
          </cell>
          <cell r="Q2161" t="str">
            <v>Cancelled</v>
          </cell>
          <cell r="R2161">
            <v>45546.959537037037</v>
          </cell>
          <cell r="S2161" t="str">
            <v>Karim Tarek</v>
          </cell>
          <cell r="T2161">
            <v>46049</v>
          </cell>
          <cell r="U2161" t="str">
            <v>Matt Howell</v>
          </cell>
        </row>
        <row r="2162">
          <cell r="I2162" t="str">
            <v>Forms</v>
          </cell>
          <cell r="L2162" t="str">
            <v>[3324]</v>
          </cell>
          <cell r="N2162" t="str">
            <v>Testing</v>
          </cell>
          <cell r="O2162" t="str">
            <v>Everything Benefits</v>
          </cell>
          <cell r="P2162" t="str">
            <v>Migration Testing</v>
          </cell>
          <cell r="Q2162" t="str">
            <v>Cancelled</v>
          </cell>
          <cell r="R2162">
            <v>45546.959537037037</v>
          </cell>
          <cell r="S2162" t="str">
            <v>Ahmed Ali</v>
          </cell>
          <cell r="T2162">
            <v>45551</v>
          </cell>
          <cell r="U2162" t="str">
            <v>Matt Howell</v>
          </cell>
        </row>
        <row r="2163">
          <cell r="I2163" t="str">
            <v>Forms</v>
          </cell>
          <cell r="L2163" t="str">
            <v>[3325]</v>
          </cell>
          <cell r="N2163" t="str">
            <v>Testing</v>
          </cell>
          <cell r="O2163" t="str">
            <v>Everything Benefits</v>
          </cell>
          <cell r="P2163" t="str">
            <v>Migration Testing</v>
          </cell>
          <cell r="Q2163" t="str">
            <v>Cancelled</v>
          </cell>
          <cell r="R2163">
            <v>45546.95952546296</v>
          </cell>
          <cell r="S2163" t="str">
            <v>Karim Tarek</v>
          </cell>
          <cell r="T2163">
            <v>45564</v>
          </cell>
          <cell r="U2163" t="str">
            <v>Matt Howell</v>
          </cell>
        </row>
        <row r="2164">
          <cell r="I2164" t="str">
            <v>EDI</v>
          </cell>
          <cell r="N2164" t="str">
            <v>Pending Start</v>
          </cell>
          <cell r="O2164" t="str">
            <v>No</v>
          </cell>
          <cell r="Q2164" t="str">
            <v>Cancelled</v>
          </cell>
          <cell r="R2164">
            <v>45545.929293981477</v>
          </cell>
          <cell r="U2164" t="str">
            <v>Gregory Dubec</v>
          </cell>
        </row>
        <row r="2165">
          <cell r="I2165" t="str">
            <v>EDI</v>
          </cell>
          <cell r="N2165" t="str">
            <v>Pending Start</v>
          </cell>
          <cell r="O2165" t="str">
            <v>No</v>
          </cell>
          <cell r="Q2165" t="str">
            <v>Cancelled</v>
          </cell>
          <cell r="R2165">
            <v>45545.929282407407</v>
          </cell>
          <cell r="U2165" t="str">
            <v>Gregory Dubec</v>
          </cell>
        </row>
        <row r="2166">
          <cell r="I2166" t="str">
            <v>EDI</v>
          </cell>
          <cell r="N2166" t="str">
            <v>Pending Start</v>
          </cell>
          <cell r="O2166" t="str">
            <v>No</v>
          </cell>
          <cell r="Q2166" t="str">
            <v>Cancelled</v>
          </cell>
          <cell r="R2166">
            <v>45545.929282407407</v>
          </cell>
          <cell r="U2166" t="str">
            <v>Gregory Dubec</v>
          </cell>
        </row>
        <row r="2167">
          <cell r="I2167" t="str">
            <v>EDI</v>
          </cell>
          <cell r="L2167">
            <v>3333</v>
          </cell>
          <cell r="N2167" t="str">
            <v>Production</v>
          </cell>
          <cell r="O2167" t="str">
            <v>No</v>
          </cell>
          <cell r="Q2167" t="str">
            <v>Live</v>
          </cell>
          <cell r="R2167">
            <v>45544.872627314813</v>
          </cell>
          <cell r="S2167" t="str">
            <v>Zeyad Khaled</v>
          </cell>
          <cell r="T2167">
            <v>45557</v>
          </cell>
          <cell r="U2167" t="str">
            <v>Trish Kalinczok</v>
          </cell>
          <cell r="V2167">
            <v>45566</v>
          </cell>
          <cell r="W2167">
            <v>45621</v>
          </cell>
          <cell r="Y2167">
            <v>45545</v>
          </cell>
          <cell r="AC2167">
            <v>45620</v>
          </cell>
        </row>
        <row r="2168">
          <cell r="I2168" t="str">
            <v>EDI</v>
          </cell>
          <cell r="L2168">
            <v>3320</v>
          </cell>
          <cell r="N2168" t="str">
            <v>Production</v>
          </cell>
          <cell r="O2168" t="str">
            <v>No</v>
          </cell>
          <cell r="Q2168" t="str">
            <v>Live</v>
          </cell>
          <cell r="R2168">
            <v>45541.95275462963</v>
          </cell>
          <cell r="S2168" t="str">
            <v>Alaa Yehia</v>
          </cell>
          <cell r="T2168">
            <v>45557</v>
          </cell>
          <cell r="U2168" t="str">
            <v>Amy Bergstrom</v>
          </cell>
          <cell r="V2168">
            <v>45565</v>
          </cell>
          <cell r="W2168">
            <v>45586</v>
          </cell>
          <cell r="Y2168">
            <v>45546</v>
          </cell>
          <cell r="AC2168">
            <v>45583</v>
          </cell>
        </row>
        <row r="2169">
          <cell r="I2169" t="str">
            <v>EDI</v>
          </cell>
          <cell r="L2169">
            <v>3337</v>
          </cell>
          <cell r="N2169" t="str">
            <v>Testing</v>
          </cell>
          <cell r="O2169" t="str">
            <v>No</v>
          </cell>
          <cell r="Q2169" t="str">
            <v>Cancelled</v>
          </cell>
          <cell r="R2169">
            <v>45540.919212962966</v>
          </cell>
          <cell r="S2169" t="str">
            <v>Amr Salah</v>
          </cell>
          <cell r="T2169">
            <v>45589</v>
          </cell>
          <cell r="U2169" t="str">
            <v>Tyler  Raposa</v>
          </cell>
          <cell r="V2169">
            <v>45635</v>
          </cell>
          <cell r="Y2169">
            <v>45559</v>
          </cell>
        </row>
        <row r="2170">
          <cell r="I2170" t="str">
            <v>EDI</v>
          </cell>
          <cell r="L2170">
            <v>3335</v>
          </cell>
          <cell r="N2170" t="str">
            <v>Production</v>
          </cell>
          <cell r="O2170" t="str">
            <v>No</v>
          </cell>
          <cell r="Q2170" t="str">
            <v>Cancelled</v>
          </cell>
          <cell r="R2170">
            <v>45540.919212962966</v>
          </cell>
          <cell r="S2170" t="str">
            <v>Alaa Yehia</v>
          </cell>
          <cell r="T2170">
            <v>45564</v>
          </cell>
          <cell r="U2170" t="str">
            <v>Tyler  Raposa</v>
          </cell>
          <cell r="V2170">
            <v>25569</v>
          </cell>
          <cell r="W2170">
            <v>45625</v>
          </cell>
          <cell r="Y2170">
            <v>45559</v>
          </cell>
          <cell r="AC2170">
            <v>45622</v>
          </cell>
        </row>
        <row r="2171">
          <cell r="I2171" t="str">
            <v>EDI</v>
          </cell>
          <cell r="L2171">
            <v>3349</v>
          </cell>
          <cell r="N2171" t="str">
            <v>Testing</v>
          </cell>
          <cell r="O2171" t="str">
            <v>No</v>
          </cell>
          <cell r="Q2171" t="str">
            <v>Cancelled</v>
          </cell>
          <cell r="R2171">
            <v>45540.91920138889</v>
          </cell>
          <cell r="S2171" t="str">
            <v>Ahmed Ali</v>
          </cell>
          <cell r="T2171">
            <v>45560</v>
          </cell>
          <cell r="U2171" t="str">
            <v>Tyler  Raposa</v>
          </cell>
          <cell r="V2171">
            <v>45637</v>
          </cell>
          <cell r="Y2171">
            <v>45559</v>
          </cell>
        </row>
        <row r="2172">
          <cell r="I2172" t="str">
            <v>EDI</v>
          </cell>
          <cell r="L2172">
            <v>3334</v>
          </cell>
          <cell r="N2172" t="str">
            <v>Production</v>
          </cell>
          <cell r="O2172" t="str">
            <v>No</v>
          </cell>
          <cell r="Q2172" t="str">
            <v>Live</v>
          </cell>
          <cell r="R2172">
            <v>45540.866643518522</v>
          </cell>
          <cell r="S2172" t="str">
            <v>Mina Adel</v>
          </cell>
          <cell r="T2172">
            <v>45557</v>
          </cell>
          <cell r="U2172" t="str">
            <v>Trish Kalinczok</v>
          </cell>
          <cell r="V2172">
            <v>45572</v>
          </cell>
          <cell r="W2172">
            <v>25569</v>
          </cell>
          <cell r="Y2172">
            <v>45544</v>
          </cell>
          <cell r="AC2172">
            <v>45575</v>
          </cell>
        </row>
        <row r="2173">
          <cell r="I2173" t="str">
            <v>EDI</v>
          </cell>
          <cell r="L2173">
            <v>3321</v>
          </cell>
          <cell r="N2173" t="str">
            <v>Production</v>
          </cell>
          <cell r="O2173" t="str">
            <v>No</v>
          </cell>
          <cell r="Q2173" t="str">
            <v>Cancelled</v>
          </cell>
          <cell r="R2173">
            <v>45540.821527777778</v>
          </cell>
          <cell r="S2173" t="str">
            <v>Mahmoud Ashraf</v>
          </cell>
          <cell r="T2173">
            <v>45557</v>
          </cell>
          <cell r="U2173" t="str">
            <v>Gregory Dubec</v>
          </cell>
          <cell r="V2173">
            <v>45560</v>
          </cell>
          <cell r="W2173">
            <v>45587</v>
          </cell>
          <cell r="Y2173">
            <v>45546</v>
          </cell>
          <cell r="AC2173">
            <v>45587</v>
          </cell>
        </row>
        <row r="2174">
          <cell r="I2174" t="str">
            <v>EDI</v>
          </cell>
          <cell r="L2174">
            <v>3353</v>
          </cell>
          <cell r="N2174" t="str">
            <v>Production</v>
          </cell>
          <cell r="O2174" t="str">
            <v>No</v>
          </cell>
          <cell r="Q2174" t="str">
            <v>Live</v>
          </cell>
          <cell r="R2174">
            <v>45538.601099537038</v>
          </cell>
          <cell r="S2174" t="str">
            <v>Joseph Atef</v>
          </cell>
          <cell r="T2174">
            <v>45557</v>
          </cell>
          <cell r="U2174" t="str">
            <v>Trish Kalinczok</v>
          </cell>
          <cell r="V2174">
            <v>45686</v>
          </cell>
          <cell r="W2174">
            <v>45726</v>
          </cell>
          <cell r="Y2174">
            <v>45543</v>
          </cell>
          <cell r="AC2174">
            <v>45721</v>
          </cell>
        </row>
        <row r="2175">
          <cell r="I2175" t="str">
            <v>EDI</v>
          </cell>
          <cell r="L2175">
            <v>3429</v>
          </cell>
          <cell r="N2175" t="str">
            <v>Mapping</v>
          </cell>
          <cell r="O2175" t="str">
            <v>No</v>
          </cell>
          <cell r="Q2175" t="str">
            <v>Cancelled</v>
          </cell>
          <cell r="R2175">
            <v>45534.884560185194</v>
          </cell>
          <cell r="S2175" t="str">
            <v>Andrew Ramy</v>
          </cell>
          <cell r="T2175">
            <v>45601</v>
          </cell>
          <cell r="U2175" t="str">
            <v>Tammy Davies</v>
          </cell>
          <cell r="Y2175">
            <v>45600</v>
          </cell>
        </row>
        <row r="2176">
          <cell r="I2176" t="str">
            <v>EDI</v>
          </cell>
          <cell r="N2176" t="str">
            <v>Requirements Gathering</v>
          </cell>
          <cell r="O2176" t="str">
            <v>No</v>
          </cell>
          <cell r="Q2176" t="str">
            <v>Cancelled</v>
          </cell>
          <cell r="R2176">
            <v>45534.884560185194</v>
          </cell>
          <cell r="S2176" t="str">
            <v>Lourina Edmon</v>
          </cell>
          <cell r="T2176">
            <v>45536</v>
          </cell>
          <cell r="U2176" t="str">
            <v>Tammy Davies</v>
          </cell>
        </row>
        <row r="2177">
          <cell r="I2177" t="str">
            <v>EDI</v>
          </cell>
          <cell r="L2177">
            <v>3497</v>
          </cell>
          <cell r="N2177" t="str">
            <v>Production</v>
          </cell>
          <cell r="O2177" t="str">
            <v>No</v>
          </cell>
          <cell r="Q2177" t="str">
            <v>Live</v>
          </cell>
          <cell r="R2177">
            <v>45534.884548611109</v>
          </cell>
          <cell r="S2177" t="str">
            <v>Karim Tarek</v>
          </cell>
          <cell r="T2177">
            <v>45687</v>
          </cell>
          <cell r="U2177" t="str">
            <v>Tammy Davies</v>
          </cell>
          <cell r="V2177">
            <v>45695</v>
          </cell>
          <cell r="W2177">
            <v>45775</v>
          </cell>
          <cell r="Y2177">
            <v>45649</v>
          </cell>
          <cell r="AC2177">
            <v>45769</v>
          </cell>
        </row>
        <row r="2178">
          <cell r="I2178" t="str">
            <v>EDI</v>
          </cell>
          <cell r="L2178">
            <v>3319</v>
          </cell>
          <cell r="N2178" t="str">
            <v>Production</v>
          </cell>
          <cell r="O2178" t="str">
            <v>No</v>
          </cell>
          <cell r="Q2178" t="str">
            <v>Live</v>
          </cell>
          <cell r="R2178">
            <v>45534.884548611109</v>
          </cell>
          <cell r="S2178" t="str">
            <v>Aya Fathy</v>
          </cell>
          <cell r="T2178">
            <v>45557</v>
          </cell>
          <cell r="U2178" t="str">
            <v>Tammy Davies</v>
          </cell>
          <cell r="V2178">
            <v>45579</v>
          </cell>
          <cell r="W2178">
            <v>45785</v>
          </cell>
          <cell r="Y2178">
            <v>45551</v>
          </cell>
          <cell r="AC2178">
            <v>45784</v>
          </cell>
        </row>
        <row r="2179">
          <cell r="I2179" t="str">
            <v>EDI</v>
          </cell>
          <cell r="L2179">
            <v>3326</v>
          </cell>
          <cell r="N2179" t="str">
            <v>Production</v>
          </cell>
          <cell r="O2179" t="str">
            <v>No</v>
          </cell>
          <cell r="Q2179" t="str">
            <v>Cancelled</v>
          </cell>
          <cell r="R2179">
            <v>45534.685127314813</v>
          </cell>
          <cell r="S2179" t="str">
            <v>Omnia Abdelaziz</v>
          </cell>
          <cell r="T2179">
            <v>45553</v>
          </cell>
          <cell r="U2179" t="str">
            <v>Trish Kalinczok</v>
          </cell>
          <cell r="V2179">
            <v>45610</v>
          </cell>
          <cell r="W2179">
            <v>45726</v>
          </cell>
          <cell r="Y2179">
            <v>45542</v>
          </cell>
          <cell r="AC2179">
            <v>45725</v>
          </cell>
        </row>
        <row r="2180">
          <cell r="I2180" t="str">
            <v>EDI</v>
          </cell>
          <cell r="L2180">
            <v>3328</v>
          </cell>
          <cell r="N2180" t="str">
            <v>Production</v>
          </cell>
          <cell r="O2180" t="str">
            <v>No</v>
          </cell>
          <cell r="Q2180" t="str">
            <v>Live</v>
          </cell>
          <cell r="R2180">
            <v>45534.549004629633</v>
          </cell>
          <cell r="S2180" t="str">
            <v>Zeyad Khaled</v>
          </cell>
          <cell r="T2180">
            <v>45553</v>
          </cell>
          <cell r="U2180" t="str">
            <v>Robbie Schappell</v>
          </cell>
          <cell r="V2180">
            <v>45574</v>
          </cell>
          <cell r="W2180">
            <v>45600</v>
          </cell>
          <cell r="Y2180">
            <v>45538</v>
          </cell>
          <cell r="AC2180">
            <v>45599</v>
          </cell>
        </row>
        <row r="2181">
          <cell r="I2181" t="str">
            <v>EDI</v>
          </cell>
          <cell r="L2181">
            <v>3305</v>
          </cell>
          <cell r="N2181" t="str">
            <v>Production</v>
          </cell>
          <cell r="O2181" t="str">
            <v>No</v>
          </cell>
          <cell r="Q2181" t="str">
            <v>Live</v>
          </cell>
          <cell r="R2181">
            <v>45533.703888888893</v>
          </cell>
          <cell r="S2181" t="str">
            <v>Dina Medhat</v>
          </cell>
          <cell r="T2181">
            <v>45538</v>
          </cell>
          <cell r="U2181" t="str">
            <v>Hans De Grouw</v>
          </cell>
          <cell r="V2181">
            <v>45557</v>
          </cell>
          <cell r="W2181">
            <v>45601</v>
          </cell>
          <cell r="AC2181">
            <v>45641</v>
          </cell>
        </row>
        <row r="2182">
          <cell r="I2182" t="str">
            <v>EDI</v>
          </cell>
          <cell r="L2182">
            <v>3308</v>
          </cell>
          <cell r="N2182" t="str">
            <v>Production</v>
          </cell>
          <cell r="O2182" t="str">
            <v>No</v>
          </cell>
          <cell r="Q2182" t="str">
            <v>Live</v>
          </cell>
          <cell r="R2182">
            <v>45533.703888888893</v>
          </cell>
          <cell r="S2182" t="str">
            <v>Dina Medhat</v>
          </cell>
          <cell r="T2182">
            <v>45538</v>
          </cell>
          <cell r="U2182" t="str">
            <v>Hans De Grouw</v>
          </cell>
          <cell r="V2182">
            <v>45560</v>
          </cell>
          <cell r="W2182">
            <v>45587</v>
          </cell>
          <cell r="AC2182">
            <v>45641</v>
          </cell>
        </row>
        <row r="2183">
          <cell r="I2183" t="str">
            <v>EDI</v>
          </cell>
          <cell r="L2183">
            <v>3300</v>
          </cell>
          <cell r="N2183" t="str">
            <v>Production</v>
          </cell>
          <cell r="O2183" t="str">
            <v>No</v>
          </cell>
          <cell r="Q2183" t="str">
            <v>Cancelled</v>
          </cell>
          <cell r="R2183">
            <v>45533.703877314823</v>
          </cell>
          <cell r="S2183" t="str">
            <v>Dina Medhat</v>
          </cell>
          <cell r="T2183">
            <v>45538</v>
          </cell>
          <cell r="U2183" t="str">
            <v>Hans De Grouw</v>
          </cell>
          <cell r="V2183">
            <v>45589</v>
          </cell>
          <cell r="W2183">
            <v>45608</v>
          </cell>
          <cell r="AC2183">
            <v>45641</v>
          </cell>
        </row>
        <row r="2184">
          <cell r="I2184" t="str">
            <v>EDI</v>
          </cell>
          <cell r="L2184">
            <v>3317</v>
          </cell>
          <cell r="N2184" t="str">
            <v>Production</v>
          </cell>
          <cell r="O2184" t="str">
            <v>No</v>
          </cell>
          <cell r="Q2184" t="str">
            <v>Live</v>
          </cell>
          <cell r="R2184">
            <v>45533.701006944437</v>
          </cell>
          <cell r="S2184" t="str">
            <v>Aya Fathy</v>
          </cell>
          <cell r="T2184">
            <v>45553</v>
          </cell>
          <cell r="U2184" t="str">
            <v>Robbie Schappell</v>
          </cell>
          <cell r="V2184">
            <v>45560</v>
          </cell>
          <cell r="W2184">
            <v>45607</v>
          </cell>
          <cell r="Y2184">
            <v>45544</v>
          </cell>
          <cell r="AC2184">
            <v>45602</v>
          </cell>
        </row>
        <row r="2185">
          <cell r="I2185" t="str">
            <v>EDI</v>
          </cell>
          <cell r="L2185">
            <v>3352</v>
          </cell>
          <cell r="N2185" t="str">
            <v>Production</v>
          </cell>
          <cell r="O2185" t="str">
            <v>No</v>
          </cell>
          <cell r="Q2185" t="str">
            <v>Live</v>
          </cell>
          <cell r="R2185">
            <v>45533.701006944437</v>
          </cell>
          <cell r="S2185" t="str">
            <v>Joseph Atef</v>
          </cell>
          <cell r="T2185">
            <v>45560</v>
          </cell>
          <cell r="U2185" t="str">
            <v>Robbie Schappell</v>
          </cell>
          <cell r="V2185">
            <v>45579</v>
          </cell>
          <cell r="W2185">
            <v>45663</v>
          </cell>
          <cell r="AC2185">
            <v>45663</v>
          </cell>
        </row>
        <row r="2186">
          <cell r="I2186" t="str">
            <v>EDI</v>
          </cell>
          <cell r="L2186">
            <v>3308</v>
          </cell>
          <cell r="N2186" t="str">
            <v>Production</v>
          </cell>
          <cell r="O2186" t="str">
            <v>No</v>
          </cell>
          <cell r="Q2186" t="str">
            <v>Live</v>
          </cell>
          <cell r="R2186">
            <v>45533.658993055556</v>
          </cell>
          <cell r="S2186" t="str">
            <v>Amr Salah</v>
          </cell>
          <cell r="T2186">
            <v>45546</v>
          </cell>
          <cell r="U2186" t="str">
            <v>Hans De Grouw</v>
          </cell>
          <cell r="V2186">
            <v>45560</v>
          </cell>
          <cell r="W2186">
            <v>45587</v>
          </cell>
          <cell r="Y2186">
            <v>45543</v>
          </cell>
          <cell r="AC2186">
            <v>45585</v>
          </cell>
        </row>
        <row r="2187">
          <cell r="I2187" t="str">
            <v>EDI</v>
          </cell>
          <cell r="L2187">
            <v>3300</v>
          </cell>
          <cell r="N2187" t="str">
            <v>Production</v>
          </cell>
          <cell r="O2187" t="str">
            <v>No</v>
          </cell>
          <cell r="Q2187" t="str">
            <v>Cancelled</v>
          </cell>
          <cell r="R2187">
            <v>45533.65898148148</v>
          </cell>
          <cell r="S2187" t="str">
            <v>Omnia Abdelaziz</v>
          </cell>
          <cell r="T2187">
            <v>45544</v>
          </cell>
          <cell r="U2187" t="str">
            <v>Hans De Grouw</v>
          </cell>
          <cell r="V2187">
            <v>45589</v>
          </cell>
          <cell r="W2187">
            <v>45608</v>
          </cell>
          <cell r="Y2187">
            <v>45538</v>
          </cell>
          <cell r="AC2187">
            <v>45601</v>
          </cell>
        </row>
        <row r="2188">
          <cell r="I2188" t="str">
            <v>EDI</v>
          </cell>
          <cell r="L2188">
            <v>3305</v>
          </cell>
          <cell r="N2188" t="str">
            <v>Production</v>
          </cell>
          <cell r="O2188" t="str">
            <v>No</v>
          </cell>
          <cell r="Q2188" t="str">
            <v>Live</v>
          </cell>
          <cell r="R2188">
            <v>45533.65898148148</v>
          </cell>
          <cell r="S2188" t="str">
            <v>Andrew Ramy</v>
          </cell>
          <cell r="T2188">
            <v>45546</v>
          </cell>
          <cell r="U2188" t="str">
            <v>Hans De Grouw</v>
          </cell>
          <cell r="V2188">
            <v>45557</v>
          </cell>
          <cell r="W2188">
            <v>45601</v>
          </cell>
          <cell r="Y2188">
            <v>45543</v>
          </cell>
          <cell r="AC2188">
            <v>45600</v>
          </cell>
        </row>
        <row r="2189">
          <cell r="I2189" t="str">
            <v>EDI</v>
          </cell>
          <cell r="L2189">
            <v>3302</v>
          </cell>
          <cell r="N2189" t="str">
            <v>Production</v>
          </cell>
          <cell r="O2189" t="str">
            <v>No</v>
          </cell>
          <cell r="Q2189" t="str">
            <v>Live</v>
          </cell>
          <cell r="R2189">
            <v>45532.842060185183</v>
          </cell>
          <cell r="S2189" t="str">
            <v>Aya Fathy</v>
          </cell>
          <cell r="T2189">
            <v>45544</v>
          </cell>
          <cell r="U2189" t="str">
            <v>Tammy Davies</v>
          </cell>
          <cell r="V2189">
            <v>25569</v>
          </cell>
          <cell r="W2189">
            <v>25569</v>
          </cell>
          <cell r="Y2189">
            <v>45540</v>
          </cell>
          <cell r="AC2189">
            <v>45623</v>
          </cell>
        </row>
        <row r="2190">
          <cell r="I2190" t="str">
            <v>EDI</v>
          </cell>
          <cell r="L2190">
            <v>3309</v>
          </cell>
          <cell r="N2190" t="str">
            <v>Production</v>
          </cell>
          <cell r="O2190" t="str">
            <v>No</v>
          </cell>
          <cell r="Q2190" t="str">
            <v>Live</v>
          </cell>
          <cell r="R2190">
            <v>45531.824791666673</v>
          </cell>
          <cell r="S2190" t="str">
            <v>Mina Adel</v>
          </cell>
          <cell r="T2190">
            <v>45546</v>
          </cell>
          <cell r="U2190" t="str">
            <v>Scott Henrehan</v>
          </cell>
          <cell r="W2190">
            <v>25569</v>
          </cell>
          <cell r="Y2190">
            <v>45543</v>
          </cell>
          <cell r="AC2190">
            <v>45580</v>
          </cell>
        </row>
        <row r="2191">
          <cell r="I2191" t="str">
            <v>EDI</v>
          </cell>
          <cell r="L2191">
            <v>3318</v>
          </cell>
          <cell r="N2191" t="str">
            <v>Production</v>
          </cell>
          <cell r="O2191" t="str">
            <v>No</v>
          </cell>
          <cell r="Q2191" t="str">
            <v>Live</v>
          </cell>
          <cell r="R2191">
            <v>45531.782951388886</v>
          </cell>
          <cell r="S2191" t="str">
            <v>Joseph Atef</v>
          </cell>
          <cell r="T2191">
            <v>45546</v>
          </cell>
          <cell r="U2191" t="str">
            <v>Matt Howell</v>
          </cell>
          <cell r="V2191">
            <v>45659</v>
          </cell>
          <cell r="W2191">
            <v>45666</v>
          </cell>
          <cell r="Y2191">
            <v>45545</v>
          </cell>
          <cell r="AC2191">
            <v>45665</v>
          </cell>
        </row>
        <row r="2192">
          <cell r="I2192" t="str">
            <v>EDI</v>
          </cell>
          <cell r="L2192">
            <v>3297</v>
          </cell>
          <cell r="N2192" t="str">
            <v>Production</v>
          </cell>
          <cell r="O2192" t="str">
            <v>No</v>
          </cell>
          <cell r="Q2192" t="str">
            <v>Live</v>
          </cell>
          <cell r="R2192">
            <v>45531.782939814817</v>
          </cell>
          <cell r="S2192" t="str">
            <v>Ahmed Ali</v>
          </cell>
          <cell r="T2192">
            <v>45544</v>
          </cell>
          <cell r="U2192" t="str">
            <v>Matt Howell</v>
          </cell>
          <cell r="V2192">
            <v>45562</v>
          </cell>
          <cell r="W2192">
            <v>45594</v>
          </cell>
          <cell r="Y2192">
            <v>45542</v>
          </cell>
          <cell r="AC2192">
            <v>45593</v>
          </cell>
        </row>
        <row r="2193">
          <cell r="I2193" t="str">
            <v>EDI</v>
          </cell>
          <cell r="L2193">
            <v>3292</v>
          </cell>
          <cell r="N2193" t="str">
            <v>Production</v>
          </cell>
          <cell r="O2193" t="str">
            <v>No</v>
          </cell>
          <cell r="Q2193" t="str">
            <v>Cancelled</v>
          </cell>
          <cell r="R2193">
            <v>45530.782685185193</v>
          </cell>
          <cell r="S2193" t="str">
            <v>Mahmoud Ashraf</v>
          </cell>
          <cell r="T2193">
            <v>45540</v>
          </cell>
          <cell r="U2193" t="str">
            <v>Robbie Schappell</v>
          </cell>
          <cell r="V2193">
            <v>45547</v>
          </cell>
          <cell r="W2193">
            <v>45681</v>
          </cell>
          <cell r="Y2193">
            <v>45536</v>
          </cell>
          <cell r="AC2193">
            <v>45705</v>
          </cell>
        </row>
        <row r="2194">
          <cell r="I2194" t="str">
            <v>EDI</v>
          </cell>
          <cell r="L2194">
            <v>3307</v>
          </cell>
          <cell r="N2194" t="str">
            <v>Production</v>
          </cell>
          <cell r="O2194" t="str">
            <v>No</v>
          </cell>
          <cell r="Q2194" t="str">
            <v>Live</v>
          </cell>
          <cell r="R2194">
            <v>45530.570891203701</v>
          </cell>
          <cell r="S2194" t="str">
            <v>Mina Kamil</v>
          </cell>
          <cell r="T2194">
            <v>45544</v>
          </cell>
          <cell r="U2194" t="str">
            <v>Gregory Dubec</v>
          </cell>
          <cell r="W2194">
            <v>45764</v>
          </cell>
          <cell r="Y2194">
            <v>45542</v>
          </cell>
          <cell r="AC2194">
            <v>45761</v>
          </cell>
        </row>
        <row r="2195">
          <cell r="I2195" t="str">
            <v>EDI</v>
          </cell>
          <cell r="L2195">
            <v>3323</v>
          </cell>
          <cell r="N2195" t="str">
            <v>Production</v>
          </cell>
          <cell r="O2195" t="str">
            <v>No</v>
          </cell>
          <cell r="Q2195" t="str">
            <v>Live</v>
          </cell>
          <cell r="R2195">
            <v>45527.908599537041</v>
          </cell>
          <cell r="S2195" t="str">
            <v>Mina Adel</v>
          </cell>
          <cell r="T2195">
            <v>45553</v>
          </cell>
          <cell r="U2195" t="str">
            <v>Tammy Davies</v>
          </cell>
          <cell r="V2195">
            <v>45740</v>
          </cell>
          <cell r="W2195">
            <v>45798</v>
          </cell>
          <cell r="Y2195">
            <v>45545</v>
          </cell>
          <cell r="AC2195">
            <v>45795</v>
          </cell>
        </row>
        <row r="2196">
          <cell r="I2196" t="str">
            <v>EDI</v>
          </cell>
          <cell r="L2196">
            <v>3892</v>
          </cell>
          <cell r="N2196" t="str">
            <v>Mapping</v>
          </cell>
          <cell r="O2196" t="str">
            <v>No</v>
          </cell>
          <cell r="Q2196" t="str">
            <v>Cancelled</v>
          </cell>
          <cell r="R2196">
            <v>45527.905081018522</v>
          </cell>
          <cell r="S2196" t="str">
            <v>Mina Adel</v>
          </cell>
          <cell r="T2196">
            <v>45789</v>
          </cell>
          <cell r="U2196" t="str">
            <v>Tammy Davies</v>
          </cell>
          <cell r="Y2196">
            <v>45788</v>
          </cell>
        </row>
        <row r="2197">
          <cell r="I2197" t="str">
            <v>EDI</v>
          </cell>
          <cell r="L2197">
            <v>3887</v>
          </cell>
          <cell r="N2197" t="str">
            <v>Production</v>
          </cell>
          <cell r="O2197" t="str">
            <v>No</v>
          </cell>
          <cell r="Q2197" t="str">
            <v>Live</v>
          </cell>
          <cell r="R2197">
            <v>45527.903981481482</v>
          </cell>
          <cell r="S2197" t="str">
            <v>Andrew Ramy</v>
          </cell>
          <cell r="T2197">
            <v>45789</v>
          </cell>
          <cell r="U2197" t="str">
            <v>Tammy Davies</v>
          </cell>
          <cell r="V2197">
            <v>45804</v>
          </cell>
          <cell r="W2197">
            <v>45813</v>
          </cell>
          <cell r="Y2197">
            <v>45788</v>
          </cell>
          <cell r="AC2197">
            <v>45810</v>
          </cell>
        </row>
        <row r="2198">
          <cell r="I2198" t="str">
            <v>EDI</v>
          </cell>
          <cell r="L2198">
            <v>3291</v>
          </cell>
          <cell r="N2198" t="str">
            <v>Production</v>
          </cell>
          <cell r="O2198" t="str">
            <v>No</v>
          </cell>
          <cell r="Q2198" t="str">
            <v>Cancelled</v>
          </cell>
          <cell r="R2198">
            <v>45527.553518518522</v>
          </cell>
          <cell r="S2198" t="str">
            <v>Mina Kamil</v>
          </cell>
          <cell r="T2198">
            <v>45539</v>
          </cell>
          <cell r="U2198" t="str">
            <v>Carolina Tanoue</v>
          </cell>
          <cell r="W2198">
            <v>45600</v>
          </cell>
          <cell r="Y2198">
            <v>45539</v>
          </cell>
          <cell r="AC2198">
            <v>45599</v>
          </cell>
        </row>
        <row r="2199">
          <cell r="I2199" t="str">
            <v>EDI</v>
          </cell>
          <cell r="L2199">
            <v>3299</v>
          </cell>
          <cell r="N2199" t="str">
            <v>Production</v>
          </cell>
          <cell r="O2199" t="str">
            <v>No</v>
          </cell>
          <cell r="Q2199" t="str">
            <v>Live</v>
          </cell>
          <cell r="R2199">
            <v>45526.013333333343</v>
          </cell>
          <cell r="S2199" t="str">
            <v>Reem Radwan</v>
          </cell>
          <cell r="T2199">
            <v>45544</v>
          </cell>
          <cell r="U2199" t="str">
            <v>Amy Bergstrom</v>
          </cell>
          <cell r="W2199">
            <v>45562</v>
          </cell>
          <cell r="Y2199">
            <v>45543</v>
          </cell>
          <cell r="AC2199">
            <v>45561</v>
          </cell>
        </row>
        <row r="2200">
          <cell r="I2200" t="str">
            <v>EDI</v>
          </cell>
          <cell r="L2200">
            <v>3314</v>
          </cell>
          <cell r="N2200" t="str">
            <v>Testing</v>
          </cell>
          <cell r="O2200" t="str">
            <v>No</v>
          </cell>
          <cell r="Q2200" t="str">
            <v>Cancelled</v>
          </cell>
          <cell r="R2200">
            <v>45525.968460648153</v>
          </cell>
          <cell r="S2200" t="str">
            <v>Ahmed Ali</v>
          </cell>
          <cell r="T2200">
            <v>46014</v>
          </cell>
          <cell r="U2200" t="str">
            <v>Carolina Tanoue</v>
          </cell>
          <cell r="V2200">
            <v>45698</v>
          </cell>
          <cell r="Y2200">
            <v>45551</v>
          </cell>
        </row>
        <row r="2201">
          <cell r="I2201" t="str">
            <v>EDI</v>
          </cell>
          <cell r="L2201">
            <v>3344</v>
          </cell>
          <cell r="N2201" t="str">
            <v>Production</v>
          </cell>
          <cell r="O2201" t="str">
            <v>No</v>
          </cell>
          <cell r="Q2201" t="str">
            <v>Cancelled</v>
          </cell>
          <cell r="R2201">
            <v>45525.968460648153</v>
          </cell>
          <cell r="S2201" t="str">
            <v>Joseph Atef</v>
          </cell>
          <cell r="T2201">
            <v>45553</v>
          </cell>
          <cell r="U2201" t="str">
            <v>Carolina Tanoue</v>
          </cell>
          <cell r="V2201">
            <v>25569</v>
          </cell>
          <cell r="W2201">
            <v>45719</v>
          </cell>
          <cell r="Y2201">
            <v>45551</v>
          </cell>
          <cell r="AC2201">
            <v>45719</v>
          </cell>
        </row>
        <row r="2202">
          <cell r="I2202" t="str">
            <v>EDI</v>
          </cell>
          <cell r="L2202">
            <v>3293</v>
          </cell>
          <cell r="N2202" t="str">
            <v>Production</v>
          </cell>
          <cell r="O2202" t="str">
            <v>No</v>
          </cell>
          <cell r="Q2202" t="str">
            <v>Cancelled</v>
          </cell>
          <cell r="R2202">
            <v>45525.968449074076</v>
          </cell>
          <cell r="S2202" t="str">
            <v>Alaa Yehia</v>
          </cell>
          <cell r="T2202">
            <v>45539</v>
          </cell>
          <cell r="U2202" t="str">
            <v>Carolina Tanoue</v>
          </cell>
          <cell r="V2202">
            <v>45643</v>
          </cell>
          <cell r="W2202">
            <v>45754</v>
          </cell>
          <cell r="Y2202">
            <v>45530</v>
          </cell>
          <cell r="AC2202">
            <v>45753</v>
          </cell>
        </row>
        <row r="2203">
          <cell r="I2203" t="str">
            <v>EDI</v>
          </cell>
          <cell r="L2203">
            <v>3275</v>
          </cell>
          <cell r="N2203" t="str">
            <v>Production</v>
          </cell>
          <cell r="O2203" t="str">
            <v>No</v>
          </cell>
          <cell r="Q2203" t="str">
            <v>Live</v>
          </cell>
          <cell r="R2203">
            <v>45525.898657407408</v>
          </cell>
          <cell r="S2203" t="str">
            <v>Reem Radwan</v>
          </cell>
          <cell r="T2203">
            <v>45531</v>
          </cell>
          <cell r="U2203" t="str">
            <v>Trish Kalinczok</v>
          </cell>
          <cell r="V2203">
            <v>45551</v>
          </cell>
          <cell r="W2203">
            <v>46000</v>
          </cell>
          <cell r="Y2203">
            <v>45530</v>
          </cell>
          <cell r="AC2203">
            <v>45960</v>
          </cell>
        </row>
        <row r="2204">
          <cell r="I2204" t="str">
            <v>EDI</v>
          </cell>
          <cell r="L2204">
            <v>3284</v>
          </cell>
          <cell r="N2204" t="str">
            <v>Production</v>
          </cell>
          <cell r="O2204" t="str">
            <v>No</v>
          </cell>
          <cell r="Q2204" t="str">
            <v>Live</v>
          </cell>
          <cell r="R2204">
            <v>45523.602638888893</v>
          </cell>
          <cell r="S2204" t="str">
            <v>Mina Kamil</v>
          </cell>
          <cell r="T2204">
            <v>45536</v>
          </cell>
          <cell r="U2204" t="str">
            <v>Jay Lang</v>
          </cell>
          <cell r="W2204">
            <v>45596</v>
          </cell>
          <cell r="Y2204">
            <v>45530</v>
          </cell>
          <cell r="AC2204">
            <v>45592</v>
          </cell>
        </row>
        <row r="2205">
          <cell r="I2205" t="str">
            <v>EDI</v>
          </cell>
          <cell r="L2205">
            <v>3295</v>
          </cell>
          <cell r="N2205" t="str">
            <v>Production</v>
          </cell>
          <cell r="O2205" t="str">
            <v>No</v>
          </cell>
          <cell r="Q2205" t="str">
            <v>Cancelled</v>
          </cell>
          <cell r="R2205">
            <v>45521.802546296298</v>
          </cell>
          <cell r="S2205" t="str">
            <v>Joseph Atef</v>
          </cell>
          <cell r="T2205">
            <v>45536</v>
          </cell>
          <cell r="U2205" t="str">
            <v>Trish Kalinczok</v>
          </cell>
          <cell r="V2205">
            <v>45574</v>
          </cell>
          <cell r="W2205">
            <v>45597</v>
          </cell>
          <cell r="Y2205">
            <v>45523</v>
          </cell>
          <cell r="AC2205">
            <v>45594</v>
          </cell>
        </row>
        <row r="2206">
          <cell r="I2206" t="str">
            <v>EDI</v>
          </cell>
          <cell r="L2206">
            <v>3437</v>
          </cell>
          <cell r="N2206" t="str">
            <v>Production</v>
          </cell>
          <cell r="O2206" t="str">
            <v>No</v>
          </cell>
          <cell r="Q2206" t="str">
            <v>Cancelled</v>
          </cell>
          <cell r="R2206">
            <v>45521.591134259259</v>
          </cell>
          <cell r="S2206" t="str">
            <v>Alaa Yehia</v>
          </cell>
          <cell r="T2206">
            <v>45610</v>
          </cell>
          <cell r="U2206" t="str">
            <v>Carolina Tanoue</v>
          </cell>
          <cell r="V2206">
            <v>45635</v>
          </cell>
          <cell r="W2206">
            <v>45677</v>
          </cell>
          <cell r="Y2206">
            <v>45525</v>
          </cell>
          <cell r="AC2206">
            <v>45672</v>
          </cell>
        </row>
        <row r="2207">
          <cell r="I2207" t="str">
            <v>EDI</v>
          </cell>
          <cell r="L2207">
            <v>3252</v>
          </cell>
          <cell r="N2207" t="str">
            <v>Production</v>
          </cell>
          <cell r="O2207" t="str">
            <v>No</v>
          </cell>
          <cell r="Q2207" t="str">
            <v>Live</v>
          </cell>
          <cell r="R2207">
            <v>45520.850486111107</v>
          </cell>
          <cell r="S2207" t="str">
            <v>Mirna Azmy</v>
          </cell>
          <cell r="T2207">
            <v>45522</v>
          </cell>
          <cell r="U2207" t="str">
            <v>Tammy Davies</v>
          </cell>
          <cell r="V2207">
            <v>45533</v>
          </cell>
          <cell r="W2207">
            <v>45540</v>
          </cell>
          <cell r="AC2207">
            <v>45533</v>
          </cell>
        </row>
        <row r="2208">
          <cell r="I2208" t="str">
            <v>EDI</v>
          </cell>
          <cell r="L2208">
            <v>3315</v>
          </cell>
          <cell r="N2208" t="str">
            <v>Testing</v>
          </cell>
          <cell r="O2208" t="str">
            <v>No</v>
          </cell>
          <cell r="Q2208" t="str">
            <v>Cancelled</v>
          </cell>
          <cell r="R2208">
            <v>45520.840150462973</v>
          </cell>
          <cell r="S2208" t="str">
            <v>Zeyad Khaled</v>
          </cell>
          <cell r="T2208">
            <v>45546</v>
          </cell>
          <cell r="U2208" t="str">
            <v>Scott Henrehan</v>
          </cell>
          <cell r="V2208">
            <v>45581</v>
          </cell>
          <cell r="Y2208">
            <v>45544</v>
          </cell>
        </row>
        <row r="2209">
          <cell r="I2209" t="str">
            <v>EDI</v>
          </cell>
          <cell r="L2209">
            <v>3281</v>
          </cell>
          <cell r="N2209" t="str">
            <v>Production</v>
          </cell>
          <cell r="O2209" t="str">
            <v>No</v>
          </cell>
          <cell r="Q2209" t="str">
            <v>Cancelled</v>
          </cell>
          <cell r="R2209">
            <v>45520.840150462973</v>
          </cell>
          <cell r="S2209" t="str">
            <v>Mina Kamil</v>
          </cell>
          <cell r="T2209">
            <v>45533</v>
          </cell>
          <cell r="U2209" t="str">
            <v>Scott Henrehan</v>
          </cell>
          <cell r="W2209">
            <v>45618</v>
          </cell>
          <cell r="Y2209">
            <v>45524</v>
          </cell>
          <cell r="AC2209">
            <v>45622</v>
          </cell>
        </row>
        <row r="2210">
          <cell r="I2210" t="str">
            <v>EDI</v>
          </cell>
          <cell r="N2210" t="str">
            <v>Requirements Gathering</v>
          </cell>
          <cell r="O2210" t="str">
            <v>No</v>
          </cell>
          <cell r="Q2210" t="str">
            <v>Cancelled</v>
          </cell>
          <cell r="R2210">
            <v>45520.840150462973</v>
          </cell>
          <cell r="S2210" t="str">
            <v>Lourina Edmon</v>
          </cell>
          <cell r="T2210">
            <v>45560</v>
          </cell>
          <cell r="U2210" t="str">
            <v>Ian Dodd</v>
          </cell>
          <cell r="Y2210">
            <v>45560</v>
          </cell>
        </row>
        <row r="2211">
          <cell r="I2211" t="str">
            <v>EDI</v>
          </cell>
          <cell r="N2211" t="str">
            <v>Requirements Gathering</v>
          </cell>
          <cell r="O2211" t="str">
            <v>No</v>
          </cell>
          <cell r="Q2211" t="str">
            <v>Cancelled</v>
          </cell>
          <cell r="R2211">
            <v>45520.669965277782</v>
          </cell>
          <cell r="S2211" t="str">
            <v>Abdulrahman Tarek</v>
          </cell>
          <cell r="T2211">
            <v>45522</v>
          </cell>
          <cell r="U2211" t="str">
            <v>Jene Hamm</v>
          </cell>
        </row>
        <row r="2212">
          <cell r="I2212" t="str">
            <v>EDI</v>
          </cell>
          <cell r="N2212" t="str">
            <v>Requirements Gathering</v>
          </cell>
          <cell r="O2212" t="str">
            <v>No</v>
          </cell>
          <cell r="Q2212" t="str">
            <v>Cancelled</v>
          </cell>
          <cell r="R2212">
            <v>45520.669953703713</v>
          </cell>
          <cell r="S2212" t="str">
            <v>Abdulrahman Tarek</v>
          </cell>
          <cell r="T2212">
            <v>45522</v>
          </cell>
          <cell r="U2212" t="str">
            <v>Jene Hamm</v>
          </cell>
        </row>
        <row r="2213">
          <cell r="I2213" t="str">
            <v>EDI</v>
          </cell>
          <cell r="L2213">
            <v>3282</v>
          </cell>
          <cell r="N2213" t="str">
            <v>Production</v>
          </cell>
          <cell r="O2213" t="str">
            <v>No</v>
          </cell>
          <cell r="Q2213" t="str">
            <v>Live</v>
          </cell>
          <cell r="R2213">
            <v>45519.592662037037</v>
          </cell>
          <cell r="S2213" t="str">
            <v>Alaa Yehia</v>
          </cell>
          <cell r="T2213">
            <v>45532</v>
          </cell>
          <cell r="U2213" t="str">
            <v>Gregory Dubec</v>
          </cell>
          <cell r="W2213">
            <v>45624</v>
          </cell>
          <cell r="Y2213">
            <v>45529</v>
          </cell>
          <cell r="AC2213">
            <v>45622</v>
          </cell>
        </row>
        <row r="2214">
          <cell r="I2214" t="str">
            <v>EDI</v>
          </cell>
          <cell r="L2214">
            <v>3272</v>
          </cell>
          <cell r="N2214" t="str">
            <v>Production</v>
          </cell>
          <cell r="O2214" t="str">
            <v>No</v>
          </cell>
          <cell r="Q2214" t="str">
            <v>Live</v>
          </cell>
          <cell r="R2214">
            <v>45519.562280092592</v>
          </cell>
          <cell r="S2214" t="str">
            <v>Alaa Yehia</v>
          </cell>
          <cell r="T2214">
            <v>45531</v>
          </cell>
          <cell r="U2214" t="str">
            <v>Robbie Schappell</v>
          </cell>
          <cell r="V2214">
            <v>45566</v>
          </cell>
          <cell r="W2214">
            <v>45789</v>
          </cell>
          <cell r="Y2214">
            <v>45526</v>
          </cell>
          <cell r="AC2214">
            <v>45788</v>
          </cell>
        </row>
        <row r="2215">
          <cell r="I2215" t="str">
            <v>EDI</v>
          </cell>
          <cell r="L2215">
            <v>3278</v>
          </cell>
          <cell r="N2215" t="str">
            <v>Production</v>
          </cell>
          <cell r="O2215" t="str">
            <v>No</v>
          </cell>
          <cell r="Q2215" t="str">
            <v>Live</v>
          </cell>
          <cell r="R2215">
            <v>45519.562280092592</v>
          </cell>
          <cell r="S2215" t="str">
            <v>Aya Fathy</v>
          </cell>
          <cell r="T2215">
            <v>45531</v>
          </cell>
          <cell r="U2215" t="str">
            <v>Robbie Schappell</v>
          </cell>
          <cell r="V2215">
            <v>25569</v>
          </cell>
          <cell r="W2215">
            <v>45719</v>
          </cell>
          <cell r="Y2215">
            <v>45526</v>
          </cell>
          <cell r="AC2215">
            <v>45711</v>
          </cell>
        </row>
        <row r="2216">
          <cell r="I2216" t="str">
            <v>EDI</v>
          </cell>
          <cell r="N2216" t="str">
            <v>Requirements Gathering</v>
          </cell>
          <cell r="O2216" t="str">
            <v>No</v>
          </cell>
          <cell r="Q2216" t="str">
            <v>Cancelled</v>
          </cell>
          <cell r="R2216">
            <v>45518.909236111111</v>
          </cell>
          <cell r="S2216" t="str">
            <v>Sandra Adel</v>
          </cell>
          <cell r="T2216">
            <v>45519</v>
          </cell>
          <cell r="U2216" t="str">
            <v>Matt Howell</v>
          </cell>
        </row>
        <row r="2217">
          <cell r="I2217" t="str">
            <v>EDI</v>
          </cell>
          <cell r="L2217">
            <v>3270</v>
          </cell>
          <cell r="N2217" t="str">
            <v>Production</v>
          </cell>
          <cell r="O2217" t="str">
            <v>No</v>
          </cell>
          <cell r="Q2217" t="str">
            <v>Live</v>
          </cell>
          <cell r="R2217">
            <v>45518.909224537027</v>
          </cell>
          <cell r="S2217" t="str">
            <v>Mina Kamil</v>
          </cell>
          <cell r="T2217">
            <v>45529</v>
          </cell>
          <cell r="U2217" t="str">
            <v>Matt Howell</v>
          </cell>
          <cell r="W2217">
            <v>45580</v>
          </cell>
          <cell r="Y2217">
            <v>45523</v>
          </cell>
          <cell r="AC2217">
            <v>45578</v>
          </cell>
        </row>
        <row r="2218">
          <cell r="I2218" t="str">
            <v>EDI</v>
          </cell>
          <cell r="L2218">
            <v>3338</v>
          </cell>
          <cell r="N2218" t="str">
            <v>Production</v>
          </cell>
          <cell r="O2218" t="str">
            <v>No</v>
          </cell>
          <cell r="Q2218" t="str">
            <v>Live</v>
          </cell>
          <cell r="R2218">
            <v>45518.898032407407</v>
          </cell>
          <cell r="S2218" t="str">
            <v>Andrew Ramy</v>
          </cell>
          <cell r="T2218">
            <v>45557</v>
          </cell>
          <cell r="U2218" t="str">
            <v>Tammy Davies</v>
          </cell>
          <cell r="V2218">
            <v>45565</v>
          </cell>
          <cell r="W2218">
            <v>45729</v>
          </cell>
          <cell r="Y2218">
            <v>45556</v>
          </cell>
          <cell r="AC2218">
            <v>45726</v>
          </cell>
        </row>
        <row r="2219">
          <cell r="I2219" t="str">
            <v>EDI</v>
          </cell>
          <cell r="L2219">
            <v>3287</v>
          </cell>
          <cell r="N2219" t="str">
            <v>Production</v>
          </cell>
          <cell r="O2219" t="str">
            <v>No</v>
          </cell>
          <cell r="Q2219" t="str">
            <v>Live</v>
          </cell>
          <cell r="R2219">
            <v>45517.684861111113</v>
          </cell>
          <cell r="S2219" t="str">
            <v>Mina Adel</v>
          </cell>
          <cell r="T2219">
            <v>45529</v>
          </cell>
          <cell r="U2219" t="str">
            <v>Robbie Schappell</v>
          </cell>
          <cell r="W2219">
            <v>45580</v>
          </cell>
          <cell r="Y2219">
            <v>45525</v>
          </cell>
          <cell r="AC2219">
            <v>45561</v>
          </cell>
        </row>
        <row r="2220">
          <cell r="I2220" t="str">
            <v>EDI</v>
          </cell>
          <cell r="L2220">
            <v>3289</v>
          </cell>
          <cell r="N2220" t="str">
            <v>Production</v>
          </cell>
          <cell r="O2220" t="str">
            <v>No</v>
          </cell>
          <cell r="Q2220" t="str">
            <v>Live</v>
          </cell>
          <cell r="R2220">
            <v>45517.575173611112</v>
          </cell>
          <cell r="S2220" t="str">
            <v>Omnia Abdelaziz</v>
          </cell>
          <cell r="T2220">
            <v>45539</v>
          </cell>
          <cell r="U2220" t="str">
            <v>Gregory Dubec</v>
          </cell>
          <cell r="V2220">
            <v>45561</v>
          </cell>
          <cell r="W2220">
            <v>45603</v>
          </cell>
          <cell r="Y2220">
            <v>45533</v>
          </cell>
          <cell r="AC2220">
            <v>45603</v>
          </cell>
        </row>
        <row r="2221">
          <cell r="I2221" t="str">
            <v>EDI</v>
          </cell>
          <cell r="L2221">
            <v>3238</v>
          </cell>
          <cell r="N2221" t="str">
            <v>Testing</v>
          </cell>
          <cell r="O2221" t="str">
            <v>eBenefits Network</v>
          </cell>
          <cell r="P2221" t="str">
            <v>Migration Testing</v>
          </cell>
          <cell r="Q2221" t="str">
            <v>Cancelled</v>
          </cell>
          <cell r="R2221">
            <v>45513.699467592603</v>
          </cell>
          <cell r="S2221" t="str">
            <v>Karim Tarek</v>
          </cell>
          <cell r="T2221">
            <v>45515</v>
          </cell>
          <cell r="U2221" t="str">
            <v>Scott Henrehan</v>
          </cell>
        </row>
        <row r="2222">
          <cell r="I2222" t="str">
            <v>EDI</v>
          </cell>
          <cell r="L2222">
            <v>3237</v>
          </cell>
          <cell r="N2222" t="str">
            <v>Testing</v>
          </cell>
          <cell r="O2222" t="str">
            <v>eBenefits Network</v>
          </cell>
          <cell r="P2222" t="str">
            <v>Migration Testing</v>
          </cell>
          <cell r="Q2222" t="str">
            <v>Cancelled</v>
          </cell>
          <cell r="R2222">
            <v>45513.699467592603</v>
          </cell>
          <cell r="S2222" t="str">
            <v>Karim Tarek</v>
          </cell>
          <cell r="T2222">
            <v>45515</v>
          </cell>
          <cell r="U2222" t="str">
            <v>Scott Henrehan</v>
          </cell>
          <cell r="V2222">
            <v>45517</v>
          </cell>
        </row>
        <row r="2223">
          <cell r="I2223" t="str">
            <v>EDI</v>
          </cell>
          <cell r="L2223">
            <v>3255</v>
          </cell>
          <cell r="N2223" t="str">
            <v>Production</v>
          </cell>
          <cell r="O2223" t="str">
            <v>No</v>
          </cell>
          <cell r="Q2223" t="str">
            <v>Cancelled</v>
          </cell>
          <cell r="R2223">
            <v>45512.926620370366</v>
          </cell>
          <cell r="S2223" t="str">
            <v>Reem Radwan</v>
          </cell>
          <cell r="T2223">
            <v>45523</v>
          </cell>
          <cell r="U2223" t="str">
            <v>Trish Kalinczok</v>
          </cell>
          <cell r="V2223">
            <v>45531</v>
          </cell>
          <cell r="W2223">
            <v>45622</v>
          </cell>
          <cell r="Y2223">
            <v>45517</v>
          </cell>
          <cell r="AC2223">
            <v>45557</v>
          </cell>
        </row>
        <row r="2224">
          <cell r="I2224" t="str">
            <v>EDI</v>
          </cell>
          <cell r="L2224">
            <v>3265</v>
          </cell>
          <cell r="N2224" t="str">
            <v>Production</v>
          </cell>
          <cell r="O2224" t="str">
            <v>No</v>
          </cell>
          <cell r="Q2224" t="str">
            <v>Live</v>
          </cell>
          <cell r="R2224">
            <v>45512.861539351848</v>
          </cell>
          <cell r="S2224" t="str">
            <v>Mahmoud Ashraf</v>
          </cell>
          <cell r="T2224">
            <v>45523</v>
          </cell>
          <cell r="U2224" t="str">
            <v>Tammy Davies</v>
          </cell>
          <cell r="V2224">
            <v>45532</v>
          </cell>
          <cell r="W2224">
            <v>45553</v>
          </cell>
          <cell r="Y2224">
            <v>45517</v>
          </cell>
          <cell r="AC2224">
            <v>45551</v>
          </cell>
        </row>
        <row r="2225">
          <cell r="I2225" t="str">
            <v>EDI</v>
          </cell>
          <cell r="L2225">
            <v>3271</v>
          </cell>
          <cell r="N2225" t="str">
            <v>Production</v>
          </cell>
          <cell r="O2225" t="str">
            <v>No</v>
          </cell>
          <cell r="Q2225" t="str">
            <v>Live</v>
          </cell>
          <cell r="R2225">
            <v>45512.861539351848</v>
          </cell>
          <cell r="S2225" t="str">
            <v>Alaa Yehia</v>
          </cell>
          <cell r="T2225">
            <v>45544</v>
          </cell>
          <cell r="U2225" t="str">
            <v>Tammy Davies</v>
          </cell>
          <cell r="V2225">
            <v>45552</v>
          </cell>
          <cell r="W2225">
            <v>45587</v>
          </cell>
          <cell r="Y2225">
            <v>45542</v>
          </cell>
          <cell r="AC2225">
            <v>45581</v>
          </cell>
        </row>
        <row r="2226">
          <cell r="I2226" t="str">
            <v>EDI</v>
          </cell>
          <cell r="N2226" t="str">
            <v>Requirements Gathering</v>
          </cell>
          <cell r="O2226" t="str">
            <v>No</v>
          </cell>
          <cell r="Q2226" t="str">
            <v>Cancelled</v>
          </cell>
          <cell r="R2226">
            <v>45512.861539351848</v>
          </cell>
          <cell r="S2226" t="str">
            <v>Lourina Edmon</v>
          </cell>
          <cell r="T2226">
            <v>45515</v>
          </cell>
          <cell r="U2226" t="str">
            <v>Tammy Davies</v>
          </cell>
        </row>
        <row r="2227">
          <cell r="I2227" t="str">
            <v>EDI</v>
          </cell>
          <cell r="L2227">
            <v>3296</v>
          </cell>
          <cell r="N2227" t="str">
            <v>Production</v>
          </cell>
          <cell r="O2227" t="str">
            <v>No</v>
          </cell>
          <cell r="Q2227" t="str">
            <v>Live</v>
          </cell>
          <cell r="R2227">
            <v>45512.861527777779</v>
          </cell>
          <cell r="S2227" t="str">
            <v>Mina Adel</v>
          </cell>
          <cell r="T2227">
            <v>45539</v>
          </cell>
          <cell r="U2227" t="str">
            <v>Tammy Davies</v>
          </cell>
          <cell r="V2227">
            <v>45750</v>
          </cell>
          <cell r="W2227">
            <v>45775</v>
          </cell>
          <cell r="Y2227">
            <v>45539</v>
          </cell>
          <cell r="AC2227">
            <v>45775</v>
          </cell>
        </row>
        <row r="2228">
          <cell r="I2228" t="str">
            <v>EDI</v>
          </cell>
          <cell r="L2228">
            <v>3316</v>
          </cell>
          <cell r="N2228" t="str">
            <v>Production</v>
          </cell>
          <cell r="O2228" t="str">
            <v>No</v>
          </cell>
          <cell r="Q2228" t="str">
            <v>Live</v>
          </cell>
          <cell r="R2228">
            <v>45512.861527777779</v>
          </cell>
          <cell r="S2228" t="str">
            <v>Ahmed Ali</v>
          </cell>
          <cell r="T2228">
            <v>45553</v>
          </cell>
          <cell r="U2228" t="str">
            <v>Tammy Davies</v>
          </cell>
          <cell r="V2228">
            <v>45567</v>
          </cell>
          <cell r="W2228">
            <v>45762</v>
          </cell>
          <cell r="Y2228">
            <v>45550</v>
          </cell>
          <cell r="AC2228">
            <v>45760</v>
          </cell>
        </row>
        <row r="2229">
          <cell r="I2229" t="str">
            <v>EDI</v>
          </cell>
          <cell r="L2229">
            <v>3264</v>
          </cell>
          <cell r="N2229" t="str">
            <v>Production</v>
          </cell>
          <cell r="O2229" t="str">
            <v>No</v>
          </cell>
          <cell r="Q2229" t="str">
            <v>Live</v>
          </cell>
          <cell r="R2229">
            <v>45512.754421296297</v>
          </cell>
          <cell r="S2229" t="str">
            <v>Amr Salah</v>
          </cell>
          <cell r="T2229">
            <v>45523</v>
          </cell>
          <cell r="U2229" t="str">
            <v>Hans De Grouw</v>
          </cell>
          <cell r="V2229">
            <v>45594</v>
          </cell>
          <cell r="W2229">
            <v>45958</v>
          </cell>
          <cell r="Y2229">
            <v>45518</v>
          </cell>
          <cell r="AC2229">
            <v>45958</v>
          </cell>
        </row>
        <row r="2230">
          <cell r="I2230" t="str">
            <v>EDI</v>
          </cell>
          <cell r="L2230">
            <v>3273</v>
          </cell>
          <cell r="N2230" t="str">
            <v>Testing</v>
          </cell>
          <cell r="O2230" t="str">
            <v>No</v>
          </cell>
          <cell r="Q2230" t="str">
            <v>Cancelled</v>
          </cell>
          <cell r="R2230">
            <v>45512.733888888892</v>
          </cell>
          <cell r="S2230" t="str">
            <v>Amr Salah</v>
          </cell>
          <cell r="T2230">
            <v>45525</v>
          </cell>
          <cell r="U2230" t="str">
            <v>Tyler  Raposa</v>
          </cell>
          <cell r="V2230">
            <v>45540</v>
          </cell>
          <cell r="Y2230">
            <v>45523</v>
          </cell>
        </row>
        <row r="2231">
          <cell r="I2231" t="str">
            <v>EDI</v>
          </cell>
          <cell r="L2231">
            <v>3436</v>
          </cell>
          <cell r="N2231" t="str">
            <v>Production</v>
          </cell>
          <cell r="O2231" t="str">
            <v>No</v>
          </cell>
          <cell r="Q2231" t="str">
            <v>Live</v>
          </cell>
          <cell r="R2231">
            <v>45512.733888888892</v>
          </cell>
          <cell r="S2231" t="str">
            <v>Marwan Tawfik</v>
          </cell>
          <cell r="T2231">
            <v>45613</v>
          </cell>
          <cell r="U2231" t="str">
            <v>Tyler  Raposa</v>
          </cell>
          <cell r="V2231">
            <v>45631</v>
          </cell>
          <cell r="W2231">
            <v>45708</v>
          </cell>
          <cell r="Y2231">
            <v>45611</v>
          </cell>
          <cell r="AC2231">
            <v>45704</v>
          </cell>
        </row>
        <row r="2232">
          <cell r="I2232" t="str">
            <v>EDI</v>
          </cell>
          <cell r="N2232" t="str">
            <v>Requirements Gathering</v>
          </cell>
          <cell r="O2232" t="str">
            <v>No</v>
          </cell>
          <cell r="Q2232" t="str">
            <v>Cancelled</v>
          </cell>
          <cell r="R2232">
            <v>45512.733888888892</v>
          </cell>
          <cell r="S2232" t="str">
            <v>Abdulrahman Tarek</v>
          </cell>
          <cell r="T2232">
            <v>45515</v>
          </cell>
          <cell r="U2232" t="str">
            <v>Tyler  Raposa</v>
          </cell>
        </row>
        <row r="2233">
          <cell r="I2233" t="str">
            <v>EDI</v>
          </cell>
          <cell r="L2233">
            <v>3294</v>
          </cell>
          <cell r="N2233" t="str">
            <v>Production</v>
          </cell>
          <cell r="O2233" t="str">
            <v>No</v>
          </cell>
          <cell r="Q2233" t="str">
            <v>Live</v>
          </cell>
          <cell r="R2233">
            <v>45512.733877314808</v>
          </cell>
          <cell r="S2233" t="str">
            <v>Aya Fathy</v>
          </cell>
          <cell r="T2233">
            <v>45538</v>
          </cell>
          <cell r="U2233" t="str">
            <v>Tyler  Raposa</v>
          </cell>
          <cell r="V2233">
            <v>45544</v>
          </cell>
          <cell r="W2233">
            <v>45586</v>
          </cell>
          <cell r="Y2233">
            <v>45537</v>
          </cell>
          <cell r="AC2233">
            <v>45582</v>
          </cell>
        </row>
        <row r="2234">
          <cell r="I2234" t="str">
            <v>EDI</v>
          </cell>
          <cell r="N2234" t="str">
            <v>Pending Start</v>
          </cell>
          <cell r="O2234" t="str">
            <v>No</v>
          </cell>
          <cell r="Q2234" t="str">
            <v>Cancelled</v>
          </cell>
          <cell r="R2234">
            <v>45512.718495370369</v>
          </cell>
          <cell r="U2234" t="str">
            <v>Tyler  Raposa</v>
          </cell>
        </row>
        <row r="2235">
          <cell r="I2235" t="str">
            <v>EDI</v>
          </cell>
          <cell r="N2235" t="str">
            <v>Pending Start</v>
          </cell>
          <cell r="O2235" t="str">
            <v>No</v>
          </cell>
          <cell r="Q2235" t="str">
            <v>Cancelled</v>
          </cell>
          <cell r="R2235">
            <v>45512.718495370369</v>
          </cell>
          <cell r="U2235" t="str">
            <v>Tyler  Raposa</v>
          </cell>
        </row>
        <row r="2236">
          <cell r="I2236" t="str">
            <v>EDI</v>
          </cell>
          <cell r="N2236" t="str">
            <v>Pending Start</v>
          </cell>
          <cell r="O2236" t="str">
            <v>No</v>
          </cell>
          <cell r="Q2236" t="str">
            <v>Cancelled</v>
          </cell>
          <cell r="R2236">
            <v>45512.7184837963</v>
          </cell>
          <cell r="U2236" t="str">
            <v>Tyler  Raposa</v>
          </cell>
        </row>
        <row r="2237">
          <cell r="I2237" t="str">
            <v>EDI</v>
          </cell>
          <cell r="N2237" t="str">
            <v>Pending Start</v>
          </cell>
          <cell r="O2237" t="str">
            <v>No</v>
          </cell>
          <cell r="Q2237" t="str">
            <v>Cancelled</v>
          </cell>
          <cell r="R2237">
            <v>45512.7184837963</v>
          </cell>
          <cell r="U2237" t="str">
            <v>Tyler  Raposa</v>
          </cell>
        </row>
        <row r="2238">
          <cell r="I2238" t="str">
            <v>EDI</v>
          </cell>
          <cell r="L2238">
            <v>3263</v>
          </cell>
          <cell r="N2238" t="str">
            <v>Production</v>
          </cell>
          <cell r="O2238" t="str">
            <v>No</v>
          </cell>
          <cell r="Q2238" t="str">
            <v>Live</v>
          </cell>
          <cell r="R2238">
            <v>45512.636458333327</v>
          </cell>
          <cell r="S2238" t="str">
            <v>Noha Moustafa</v>
          </cell>
          <cell r="T2238">
            <v>45523</v>
          </cell>
          <cell r="U2238" t="str">
            <v>Robbie Schappell</v>
          </cell>
          <cell r="V2238">
            <v>45553</v>
          </cell>
          <cell r="W2238">
            <v>25569</v>
          </cell>
          <cell r="Y2238">
            <v>45518</v>
          </cell>
          <cell r="AC2238">
            <v>45587</v>
          </cell>
        </row>
        <row r="2239">
          <cell r="I2239" t="str">
            <v>EDI</v>
          </cell>
          <cell r="L2239">
            <v>3288</v>
          </cell>
          <cell r="N2239" t="str">
            <v>Ready for Production</v>
          </cell>
          <cell r="O2239" t="str">
            <v>No</v>
          </cell>
          <cell r="Q2239" t="str">
            <v>Cancelled</v>
          </cell>
          <cell r="R2239">
            <v>45511.975949074083</v>
          </cell>
          <cell r="S2239" t="str">
            <v>Omnia Abdelaziz</v>
          </cell>
          <cell r="T2239">
            <v>45529</v>
          </cell>
          <cell r="U2239" t="str">
            <v>Tammy Davies</v>
          </cell>
          <cell r="V2239">
            <v>45593</v>
          </cell>
          <cell r="Y2239">
            <v>45519</v>
          </cell>
        </row>
        <row r="2240">
          <cell r="I2240" t="str">
            <v>EDI</v>
          </cell>
          <cell r="L2240">
            <v>3286</v>
          </cell>
          <cell r="N2240" t="str">
            <v>Ready for Production</v>
          </cell>
          <cell r="O2240" t="str">
            <v>No</v>
          </cell>
          <cell r="Q2240" t="str">
            <v>Cancelled</v>
          </cell>
          <cell r="R2240">
            <v>45511.974120370367</v>
          </cell>
          <cell r="S2240" t="str">
            <v>Omnia Abdelaziz</v>
          </cell>
          <cell r="T2240">
            <v>45529</v>
          </cell>
          <cell r="U2240" t="str">
            <v>Tammy Davies</v>
          </cell>
          <cell r="V2240">
            <v>45601</v>
          </cell>
          <cell r="Y2240">
            <v>45519</v>
          </cell>
        </row>
        <row r="2241">
          <cell r="I2241" t="str">
            <v>EDI</v>
          </cell>
          <cell r="L2241">
            <v>3276</v>
          </cell>
          <cell r="N2241" t="str">
            <v>Testing</v>
          </cell>
          <cell r="O2241" t="str">
            <v>No</v>
          </cell>
          <cell r="Q2241" t="str">
            <v>Cancelled</v>
          </cell>
          <cell r="R2241">
            <v>45511.9609375</v>
          </cell>
          <cell r="S2241" t="str">
            <v>Omnia Abdelaziz</v>
          </cell>
          <cell r="T2241">
            <v>45529</v>
          </cell>
          <cell r="U2241" t="str">
            <v>Tammy Davies</v>
          </cell>
          <cell r="V2241">
            <v>45593</v>
          </cell>
          <cell r="Y2241">
            <v>45529</v>
          </cell>
        </row>
        <row r="2242">
          <cell r="I2242" t="str">
            <v>EDI</v>
          </cell>
          <cell r="L2242">
            <v>3248</v>
          </cell>
          <cell r="N2242" t="str">
            <v>Production</v>
          </cell>
          <cell r="O2242" t="str">
            <v>No</v>
          </cell>
          <cell r="Q2242" t="str">
            <v>Live</v>
          </cell>
          <cell r="R2242">
            <v>45511.821643518517</v>
          </cell>
          <cell r="S2242" t="str">
            <v>Reem Radwan</v>
          </cell>
          <cell r="T2242">
            <v>45517</v>
          </cell>
          <cell r="U2242" t="str">
            <v>Tyler  Raposa</v>
          </cell>
          <cell r="V2242">
            <v>45544</v>
          </cell>
          <cell r="W2242">
            <v>25569</v>
          </cell>
          <cell r="Y2242">
            <v>45513</v>
          </cell>
          <cell r="AC2242">
            <v>45547</v>
          </cell>
        </row>
        <row r="2243">
          <cell r="I2243" t="str">
            <v>EDI</v>
          </cell>
          <cell r="L2243">
            <v>3330</v>
          </cell>
          <cell r="N2243" t="str">
            <v>Production</v>
          </cell>
          <cell r="O2243" t="str">
            <v>No</v>
          </cell>
          <cell r="Q2243" t="str">
            <v>Live</v>
          </cell>
          <cell r="R2243">
            <v>45511.819560185177</v>
          </cell>
          <cell r="S2243" t="str">
            <v>Andrew Ramy</v>
          </cell>
          <cell r="T2243">
            <v>45554</v>
          </cell>
          <cell r="U2243" t="str">
            <v>Tyler  Raposa</v>
          </cell>
          <cell r="V2243">
            <v>45579</v>
          </cell>
          <cell r="W2243">
            <v>45622</v>
          </cell>
          <cell r="Y2243">
            <v>45554</v>
          </cell>
          <cell r="AC2243">
            <v>45622</v>
          </cell>
        </row>
        <row r="2244">
          <cell r="I2244" t="str">
            <v>EDI</v>
          </cell>
          <cell r="L2244">
            <v>3269</v>
          </cell>
          <cell r="N2244" t="str">
            <v>Production</v>
          </cell>
          <cell r="O2244" t="str">
            <v>No</v>
          </cell>
          <cell r="Q2244" t="str">
            <v>Cancelled</v>
          </cell>
          <cell r="R2244">
            <v>45511.806747685187</v>
          </cell>
          <cell r="S2244" t="str">
            <v>Mirna Azmy</v>
          </cell>
          <cell r="T2244">
            <v>45530</v>
          </cell>
          <cell r="U2244" t="str">
            <v>Trish Kalinczok</v>
          </cell>
          <cell r="V2244">
            <v>45541</v>
          </cell>
          <cell r="W2244">
            <v>45586</v>
          </cell>
          <cell r="Y2244">
            <v>45530</v>
          </cell>
          <cell r="AC2244">
            <v>45582</v>
          </cell>
        </row>
        <row r="2245">
          <cell r="I2245" t="str">
            <v>EDI</v>
          </cell>
          <cell r="L2245">
            <v>3231</v>
          </cell>
          <cell r="N2245" t="str">
            <v>Production</v>
          </cell>
          <cell r="O2245" t="str">
            <v>No</v>
          </cell>
          <cell r="Q2245" t="str">
            <v>Cancelled</v>
          </cell>
          <cell r="R2245">
            <v>45511.75445601852</v>
          </cell>
          <cell r="S2245" t="str">
            <v>Mina Adel</v>
          </cell>
          <cell r="T2245">
            <v>45512</v>
          </cell>
          <cell r="U2245" t="str">
            <v>Kayla Szczepanski</v>
          </cell>
          <cell r="W2245">
            <v>45526</v>
          </cell>
          <cell r="AC2245">
            <v>45512</v>
          </cell>
        </row>
        <row r="2246">
          <cell r="I2246" t="str">
            <v>EDI</v>
          </cell>
          <cell r="L2246">
            <v>3279</v>
          </cell>
          <cell r="N2246" t="str">
            <v>Production</v>
          </cell>
          <cell r="O2246" t="str">
            <v>No</v>
          </cell>
          <cell r="Q2246" t="str">
            <v>Cancelled</v>
          </cell>
          <cell r="R2246">
            <v>45511.725393518522</v>
          </cell>
          <cell r="S2246" t="str">
            <v>Mina Adel</v>
          </cell>
          <cell r="T2246">
            <v>45523</v>
          </cell>
          <cell r="U2246" t="str">
            <v>Trish Kalinczok</v>
          </cell>
          <cell r="V2246">
            <v>45537</v>
          </cell>
          <cell r="W2246">
            <v>45558</v>
          </cell>
          <cell r="Y2246">
            <v>45513</v>
          </cell>
          <cell r="AC2246">
            <v>45557</v>
          </cell>
        </row>
        <row r="2247">
          <cell r="I2247" t="str">
            <v>EDI</v>
          </cell>
          <cell r="L2247">
            <v>3256</v>
          </cell>
          <cell r="N2247" t="str">
            <v>Production</v>
          </cell>
          <cell r="O2247" t="str">
            <v>No</v>
          </cell>
          <cell r="Q2247" t="str">
            <v>Live</v>
          </cell>
          <cell r="R2247">
            <v>45511.580474537041</v>
          </cell>
          <cell r="S2247" t="str">
            <v>Mina Kamil</v>
          </cell>
          <cell r="T2247">
            <v>45523</v>
          </cell>
          <cell r="U2247" t="str">
            <v>Trish Kalinczok</v>
          </cell>
          <cell r="W2247">
            <v>45616</v>
          </cell>
          <cell r="Y2247">
            <v>45518</v>
          </cell>
          <cell r="AC2247">
            <v>45614</v>
          </cell>
        </row>
        <row r="2248">
          <cell r="I2248" t="str">
            <v>EDI</v>
          </cell>
          <cell r="L2248">
            <v>3249</v>
          </cell>
          <cell r="N2248" t="str">
            <v>Production</v>
          </cell>
          <cell r="O2248" t="str">
            <v>No</v>
          </cell>
          <cell r="Q2248" t="str">
            <v>Live</v>
          </cell>
          <cell r="R2248">
            <v>45511.546898148154</v>
          </cell>
          <cell r="S2248" t="str">
            <v>Reem Radwan</v>
          </cell>
          <cell r="T2248">
            <v>45519</v>
          </cell>
          <cell r="U2248" t="str">
            <v>Robbie Schappell</v>
          </cell>
          <cell r="V2248">
            <v>45526</v>
          </cell>
          <cell r="W2248">
            <v>45532</v>
          </cell>
          <cell r="Y2248">
            <v>45518</v>
          </cell>
          <cell r="AC2248">
            <v>45530</v>
          </cell>
        </row>
        <row r="2249">
          <cell r="I2249" t="str">
            <v>EDI</v>
          </cell>
          <cell r="L2249">
            <v>3250</v>
          </cell>
          <cell r="N2249" t="str">
            <v>Production</v>
          </cell>
          <cell r="O2249" t="str">
            <v>No</v>
          </cell>
          <cell r="Q2249" t="str">
            <v>Live</v>
          </cell>
          <cell r="R2249">
            <v>45509.758125</v>
          </cell>
          <cell r="S2249" t="str">
            <v>Dina Medhat</v>
          </cell>
          <cell r="T2249">
            <v>45510</v>
          </cell>
          <cell r="U2249" t="str">
            <v>Matt Howell</v>
          </cell>
          <cell r="V2249">
            <v>45552</v>
          </cell>
          <cell r="W2249">
            <v>45575</v>
          </cell>
          <cell r="AC2249">
            <v>45574</v>
          </cell>
        </row>
        <row r="2250">
          <cell r="I2250" t="str">
            <v>EDI</v>
          </cell>
          <cell r="L2250">
            <v>3250</v>
          </cell>
          <cell r="N2250" t="str">
            <v>Production</v>
          </cell>
          <cell r="O2250" t="str">
            <v>No</v>
          </cell>
          <cell r="Q2250" t="str">
            <v>Live</v>
          </cell>
          <cell r="R2250">
            <v>45509.75440972222</v>
          </cell>
          <cell r="S2250" t="str">
            <v>Dina Medhat</v>
          </cell>
          <cell r="T2250">
            <v>45510</v>
          </cell>
          <cell r="U2250" t="str">
            <v>Matt Howell</v>
          </cell>
          <cell r="V2250">
            <v>45552</v>
          </cell>
          <cell r="W2250">
            <v>45575</v>
          </cell>
          <cell r="AC2250">
            <v>45574</v>
          </cell>
        </row>
        <row r="2251">
          <cell r="I2251" t="str">
            <v>EDI</v>
          </cell>
          <cell r="L2251">
            <v>3250</v>
          </cell>
          <cell r="N2251" t="str">
            <v>Production</v>
          </cell>
          <cell r="O2251" t="str">
            <v>No</v>
          </cell>
          <cell r="Q2251" t="str">
            <v>Live</v>
          </cell>
          <cell r="R2251">
            <v>45509.75309027778</v>
          </cell>
          <cell r="S2251" t="str">
            <v>Dina Medhat</v>
          </cell>
          <cell r="T2251">
            <v>45510</v>
          </cell>
          <cell r="U2251" t="str">
            <v>Matt Howell</v>
          </cell>
          <cell r="V2251">
            <v>45552</v>
          </cell>
          <cell r="W2251">
            <v>45575</v>
          </cell>
          <cell r="AC2251">
            <v>45574</v>
          </cell>
        </row>
        <row r="2252">
          <cell r="I2252" t="str">
            <v>EDI</v>
          </cell>
          <cell r="L2252">
            <v>3250</v>
          </cell>
          <cell r="N2252" t="str">
            <v>Production</v>
          </cell>
          <cell r="O2252" t="str">
            <v>No</v>
          </cell>
          <cell r="Q2252" t="str">
            <v>Live</v>
          </cell>
          <cell r="R2252">
            <v>45509.752002314817</v>
          </cell>
          <cell r="S2252" t="str">
            <v>Dina Medhat</v>
          </cell>
          <cell r="T2252">
            <v>45510</v>
          </cell>
          <cell r="U2252" t="str">
            <v>Matt Howell</v>
          </cell>
          <cell r="V2252">
            <v>45552</v>
          </cell>
          <cell r="W2252">
            <v>45575</v>
          </cell>
          <cell r="AC2252">
            <v>45574</v>
          </cell>
        </row>
        <row r="2253">
          <cell r="I2253" t="str">
            <v>EDI</v>
          </cell>
          <cell r="L2253">
            <v>3250</v>
          </cell>
          <cell r="N2253" t="str">
            <v>Production</v>
          </cell>
          <cell r="O2253" t="str">
            <v>No</v>
          </cell>
          <cell r="Q2253" t="str">
            <v>Live</v>
          </cell>
          <cell r="R2253">
            <v>45509.750810185193</v>
          </cell>
          <cell r="S2253" t="str">
            <v>Dina Medhat</v>
          </cell>
          <cell r="T2253">
            <v>45510</v>
          </cell>
          <cell r="U2253" t="str">
            <v>Matt Howell</v>
          </cell>
          <cell r="V2253">
            <v>45552</v>
          </cell>
          <cell r="W2253">
            <v>45575</v>
          </cell>
          <cell r="AC2253">
            <v>45574</v>
          </cell>
        </row>
        <row r="2254">
          <cell r="I2254" t="str">
            <v>EDI</v>
          </cell>
          <cell r="L2254">
            <v>3250</v>
          </cell>
          <cell r="N2254" t="str">
            <v>Production</v>
          </cell>
          <cell r="O2254" t="str">
            <v>No</v>
          </cell>
          <cell r="Q2254" t="str">
            <v>Live</v>
          </cell>
          <cell r="R2254">
            <v>45509.748645833337</v>
          </cell>
          <cell r="S2254" t="str">
            <v>Dina Medhat</v>
          </cell>
          <cell r="T2254">
            <v>45510</v>
          </cell>
          <cell r="U2254" t="str">
            <v>Matt Howell</v>
          </cell>
          <cell r="V2254">
            <v>45552</v>
          </cell>
          <cell r="W2254">
            <v>45575</v>
          </cell>
          <cell r="AC2254">
            <v>45574</v>
          </cell>
        </row>
        <row r="2255">
          <cell r="I2255" t="str">
            <v>EDI</v>
          </cell>
          <cell r="L2255">
            <v>3250</v>
          </cell>
          <cell r="N2255" t="str">
            <v>Production</v>
          </cell>
          <cell r="O2255" t="str">
            <v>No</v>
          </cell>
          <cell r="Q2255" t="str">
            <v>Live</v>
          </cell>
          <cell r="R2255">
            <v>45509.745833333327</v>
          </cell>
          <cell r="S2255" t="str">
            <v>Dina Medhat</v>
          </cell>
          <cell r="T2255">
            <v>45510</v>
          </cell>
          <cell r="U2255" t="str">
            <v>Matt Howell</v>
          </cell>
          <cell r="V2255">
            <v>45552</v>
          </cell>
          <cell r="W2255">
            <v>45575</v>
          </cell>
          <cell r="AC2255">
            <v>45574</v>
          </cell>
        </row>
        <row r="2256">
          <cell r="I2256" t="str">
            <v>EDI</v>
          </cell>
          <cell r="L2256">
            <v>3250</v>
          </cell>
          <cell r="N2256" t="str">
            <v>Production</v>
          </cell>
          <cell r="O2256" t="str">
            <v>No</v>
          </cell>
          <cell r="Q2256" t="str">
            <v>Live</v>
          </cell>
          <cell r="R2256">
            <v>45509.713437500002</v>
          </cell>
          <cell r="S2256" t="str">
            <v>Ahmed Ali</v>
          </cell>
          <cell r="T2256">
            <v>45517</v>
          </cell>
          <cell r="U2256" t="str">
            <v>Matt Howell</v>
          </cell>
          <cell r="V2256">
            <v>45552</v>
          </cell>
          <cell r="W2256">
            <v>45575</v>
          </cell>
          <cell r="Y2256">
            <v>45510</v>
          </cell>
          <cell r="AC2256">
            <v>45574</v>
          </cell>
        </row>
        <row r="2257">
          <cell r="I2257" t="str">
            <v>EDI</v>
          </cell>
          <cell r="N2257" t="str">
            <v>Requirements Gathering</v>
          </cell>
          <cell r="O2257" t="str">
            <v>No</v>
          </cell>
          <cell r="Q2257" t="str">
            <v>Cancelled</v>
          </cell>
          <cell r="R2257">
            <v>45509.676412037043</v>
          </cell>
          <cell r="S2257" t="str">
            <v>Abdulrahman Tarek</v>
          </cell>
          <cell r="T2257">
            <v>45510</v>
          </cell>
          <cell r="U2257" t="str">
            <v>Trish Kalinczok</v>
          </cell>
        </row>
        <row r="2258">
          <cell r="I2258" t="str">
            <v>EDI</v>
          </cell>
          <cell r="L2258">
            <v>3254</v>
          </cell>
          <cell r="N2258" t="str">
            <v>Production</v>
          </cell>
          <cell r="O2258" t="str">
            <v>No</v>
          </cell>
          <cell r="Q2258" t="str">
            <v>Live</v>
          </cell>
          <cell r="R2258">
            <v>45509.659155092602</v>
          </cell>
          <cell r="S2258" t="str">
            <v>Mirna Azmy</v>
          </cell>
          <cell r="T2258">
            <v>45523</v>
          </cell>
          <cell r="U2258" t="str">
            <v>Matt Howell</v>
          </cell>
          <cell r="W2258">
            <v>45575</v>
          </cell>
          <cell r="Y2258">
            <v>45519</v>
          </cell>
          <cell r="AC2258">
            <v>45554</v>
          </cell>
        </row>
        <row r="2259">
          <cell r="I2259" t="str">
            <v>EDI</v>
          </cell>
          <cell r="N2259" t="str">
            <v>Requirements Gathering</v>
          </cell>
          <cell r="O2259" t="str">
            <v>No</v>
          </cell>
          <cell r="Q2259" t="str">
            <v>Cancelled</v>
          </cell>
          <cell r="R2259">
            <v>45506.734618055547</v>
          </cell>
          <cell r="S2259" t="str">
            <v>Lourina Edmon</v>
          </cell>
          <cell r="T2259">
            <v>45508</v>
          </cell>
          <cell r="U2259" t="str">
            <v>Trish Kalinczok</v>
          </cell>
        </row>
        <row r="2260">
          <cell r="I2260" t="str">
            <v>EDI</v>
          </cell>
          <cell r="L2260">
            <v>3261</v>
          </cell>
          <cell r="N2260" t="str">
            <v>Production</v>
          </cell>
          <cell r="O2260" t="str">
            <v>No</v>
          </cell>
          <cell r="Q2260" t="str">
            <v>Cancelled</v>
          </cell>
          <cell r="R2260">
            <v>45506.685543981483</v>
          </cell>
          <cell r="S2260" t="str">
            <v>Mirna Azmy</v>
          </cell>
          <cell r="T2260">
            <v>45524</v>
          </cell>
          <cell r="U2260" t="str">
            <v>Trish Kalinczok</v>
          </cell>
          <cell r="V2260">
            <v>45525</v>
          </cell>
          <cell r="W2260">
            <v>45544</v>
          </cell>
          <cell r="Y2260">
            <v>45523</v>
          </cell>
          <cell r="AC2260">
            <v>45541</v>
          </cell>
        </row>
        <row r="2261">
          <cell r="I2261" t="str">
            <v>EDI</v>
          </cell>
          <cell r="L2261">
            <v>3329</v>
          </cell>
          <cell r="N2261" t="str">
            <v>Production</v>
          </cell>
          <cell r="O2261" t="str">
            <v>No</v>
          </cell>
          <cell r="Q2261" t="str">
            <v>Cancelled</v>
          </cell>
          <cell r="R2261">
            <v>45506.685543981483</v>
          </cell>
          <cell r="S2261" t="str">
            <v>Omnia Abdelaziz</v>
          </cell>
          <cell r="T2261">
            <v>45558</v>
          </cell>
          <cell r="U2261" t="str">
            <v>Trish Kalinczok</v>
          </cell>
          <cell r="V2261">
            <v>45617</v>
          </cell>
          <cell r="W2261">
            <v>45691</v>
          </cell>
          <cell r="Y2261">
            <v>45558</v>
          </cell>
          <cell r="AC2261">
            <v>45687</v>
          </cell>
        </row>
        <row r="2262">
          <cell r="I2262" t="str">
            <v>EDI</v>
          </cell>
          <cell r="L2262">
            <v>3277</v>
          </cell>
          <cell r="N2262" t="str">
            <v>Production</v>
          </cell>
          <cell r="O2262" t="str">
            <v>No</v>
          </cell>
          <cell r="Q2262" t="str">
            <v>Live</v>
          </cell>
          <cell r="R2262">
            <v>45505.898888888893</v>
          </cell>
          <cell r="S2262" t="str">
            <v>Mina Kamil</v>
          </cell>
          <cell r="T2262">
            <v>45531</v>
          </cell>
          <cell r="U2262" t="str">
            <v>Gregory Dubec</v>
          </cell>
          <cell r="W2262">
            <v>45589</v>
          </cell>
          <cell r="Y2262">
            <v>45531</v>
          </cell>
          <cell r="AC2262">
            <v>45588</v>
          </cell>
        </row>
        <row r="2263">
          <cell r="I2263" t="str">
            <v>EDI</v>
          </cell>
          <cell r="L2263">
            <v>3258</v>
          </cell>
          <cell r="N2263" t="str">
            <v>Production</v>
          </cell>
          <cell r="O2263" t="str">
            <v>No</v>
          </cell>
          <cell r="Q2263" t="str">
            <v>Live</v>
          </cell>
          <cell r="R2263">
            <v>45505.588923611111</v>
          </cell>
          <cell r="S2263" t="str">
            <v>Mina Kamil</v>
          </cell>
          <cell r="T2263">
            <v>45523</v>
          </cell>
          <cell r="U2263" t="str">
            <v>Robbie Schappell</v>
          </cell>
          <cell r="W2263">
            <v>45581</v>
          </cell>
          <cell r="Y2263">
            <v>45523</v>
          </cell>
          <cell r="AC2263">
            <v>45581</v>
          </cell>
        </row>
        <row r="2264">
          <cell r="I2264" t="str">
            <v>EDI</v>
          </cell>
          <cell r="L2264">
            <v>3246</v>
          </cell>
          <cell r="N2264" t="str">
            <v>Production</v>
          </cell>
          <cell r="O2264" t="str">
            <v>No</v>
          </cell>
          <cell r="Q2264" t="str">
            <v>Live</v>
          </cell>
          <cell r="R2264">
            <v>45505.503993055558</v>
          </cell>
          <cell r="S2264" t="str">
            <v>Mahmoud Ashraf</v>
          </cell>
          <cell r="T2264">
            <v>45517</v>
          </cell>
          <cell r="U2264" t="str">
            <v>Hans De Grouw</v>
          </cell>
          <cell r="V2264">
            <v>45565</v>
          </cell>
          <cell r="W2264">
            <v>45601</v>
          </cell>
          <cell r="Y2264">
            <v>45512</v>
          </cell>
          <cell r="AC2264">
            <v>45583</v>
          </cell>
        </row>
        <row r="2265">
          <cell r="I2265" t="str">
            <v>EDI</v>
          </cell>
          <cell r="L2265">
            <v>3266</v>
          </cell>
          <cell r="N2265" t="str">
            <v>Production</v>
          </cell>
          <cell r="O2265" t="str">
            <v>No</v>
          </cell>
          <cell r="Q2265" t="str">
            <v>Live</v>
          </cell>
          <cell r="R2265">
            <v>45504.650601851848</v>
          </cell>
          <cell r="S2265" t="str">
            <v>Joseph Atef</v>
          </cell>
          <cell r="T2265">
            <v>45517</v>
          </cell>
          <cell r="U2265" t="str">
            <v>Robbie Schappell</v>
          </cell>
          <cell r="V2265">
            <v>45536</v>
          </cell>
          <cell r="W2265">
            <v>45624</v>
          </cell>
          <cell r="Y2265">
            <v>45513</v>
          </cell>
          <cell r="AC2265">
            <v>45623</v>
          </cell>
        </row>
        <row r="2266">
          <cell r="I2266" t="str">
            <v>EDI</v>
          </cell>
          <cell r="L2266">
            <v>3247</v>
          </cell>
          <cell r="N2266" t="str">
            <v>Production</v>
          </cell>
          <cell r="O2266" t="str">
            <v>No</v>
          </cell>
          <cell r="Q2266" t="str">
            <v>Live</v>
          </cell>
          <cell r="R2266">
            <v>45503.556875000002</v>
          </cell>
          <cell r="S2266" t="str">
            <v>Mina Adel</v>
          </cell>
          <cell r="T2266">
            <v>45517</v>
          </cell>
          <cell r="U2266" t="str">
            <v>Hans De Grouw</v>
          </cell>
          <cell r="W2266">
            <v>45561</v>
          </cell>
          <cell r="Y2266">
            <v>45510</v>
          </cell>
          <cell r="AC2266">
            <v>45554</v>
          </cell>
        </row>
        <row r="2267">
          <cell r="I2267" t="str">
            <v>EDI</v>
          </cell>
          <cell r="L2267">
            <v>3327</v>
          </cell>
          <cell r="N2267" t="str">
            <v>Production</v>
          </cell>
          <cell r="O2267" t="str">
            <v>No</v>
          </cell>
          <cell r="Q2267" t="str">
            <v>Live</v>
          </cell>
          <cell r="R2267">
            <v>45503.555231481478</v>
          </cell>
          <cell r="S2267" t="str">
            <v>Amr Salah</v>
          </cell>
          <cell r="T2267">
            <v>45560</v>
          </cell>
          <cell r="U2267" t="str">
            <v>Hans De Grouw</v>
          </cell>
          <cell r="V2267">
            <v>45699</v>
          </cell>
          <cell r="W2267">
            <v>45750</v>
          </cell>
          <cell r="Y2267">
            <v>45560</v>
          </cell>
          <cell r="AC2267">
            <v>45744</v>
          </cell>
        </row>
        <row r="2268">
          <cell r="I2268" t="str">
            <v>EDI</v>
          </cell>
          <cell r="L2268">
            <v>3244</v>
          </cell>
          <cell r="N2268" t="str">
            <v>Testing</v>
          </cell>
          <cell r="O2268" t="str">
            <v>No</v>
          </cell>
          <cell r="Q2268" t="str">
            <v>Cancelled</v>
          </cell>
          <cell r="R2268">
            <v>45503.555231481478</v>
          </cell>
          <cell r="S2268" t="str">
            <v>Aya Fathy</v>
          </cell>
          <cell r="T2268">
            <v>45512</v>
          </cell>
          <cell r="U2268" t="str">
            <v>Hans De Grouw</v>
          </cell>
          <cell r="V2268">
            <v>45523</v>
          </cell>
          <cell r="Y2268">
            <v>45511</v>
          </cell>
        </row>
        <row r="2269">
          <cell r="I2269" t="str">
            <v>EDI</v>
          </cell>
          <cell r="L2269">
            <v>3239</v>
          </cell>
          <cell r="N2269" t="str">
            <v>Production</v>
          </cell>
          <cell r="O2269" t="str">
            <v>No</v>
          </cell>
          <cell r="Q2269" t="str">
            <v>Live</v>
          </cell>
          <cell r="R2269">
            <v>45503.555231481478</v>
          </cell>
          <cell r="S2269" t="str">
            <v>Mirna Azmy</v>
          </cell>
          <cell r="T2269">
            <v>45515</v>
          </cell>
          <cell r="U2269" t="str">
            <v>Hans De Grouw</v>
          </cell>
          <cell r="V2269">
            <v>45522</v>
          </cell>
          <cell r="W2269">
            <v>25569</v>
          </cell>
          <cell r="Y2269">
            <v>45515</v>
          </cell>
          <cell r="AC2269">
            <v>45804</v>
          </cell>
        </row>
        <row r="2270">
          <cell r="I2270" t="str">
            <v>EDI</v>
          </cell>
          <cell r="L2270">
            <v>3253</v>
          </cell>
          <cell r="N2270" t="str">
            <v>Production</v>
          </cell>
          <cell r="O2270" t="str">
            <v>No</v>
          </cell>
          <cell r="Q2270" t="str">
            <v>Live</v>
          </cell>
          <cell r="R2270">
            <v>45503.555231481478</v>
          </cell>
          <cell r="S2270" t="str">
            <v>Andrew Ramy</v>
          </cell>
          <cell r="T2270">
            <v>45517</v>
          </cell>
          <cell r="U2270" t="str">
            <v>Hans De Grouw</v>
          </cell>
          <cell r="V2270">
            <v>45522</v>
          </cell>
          <cell r="W2270">
            <v>45631</v>
          </cell>
          <cell r="Y2270">
            <v>45510</v>
          </cell>
          <cell r="AC2270">
            <v>45624</v>
          </cell>
        </row>
        <row r="2271">
          <cell r="I2271" t="str">
            <v>EDI</v>
          </cell>
          <cell r="L2271">
            <v>3257</v>
          </cell>
          <cell r="N2271" t="str">
            <v>Production</v>
          </cell>
          <cell r="O2271" t="str">
            <v>No</v>
          </cell>
          <cell r="Q2271" t="str">
            <v>Live</v>
          </cell>
          <cell r="R2271">
            <v>45503.538611111107</v>
          </cell>
          <cell r="S2271" t="str">
            <v>Andrew Ramy</v>
          </cell>
          <cell r="T2271">
            <v>45519</v>
          </cell>
          <cell r="U2271" t="str">
            <v>Robbie Schappell</v>
          </cell>
          <cell r="V2271">
            <v>45530</v>
          </cell>
          <cell r="W2271">
            <v>45629</v>
          </cell>
          <cell r="Y2271">
            <v>45518</v>
          </cell>
          <cell r="AC2271">
            <v>45623</v>
          </cell>
        </row>
        <row r="2272">
          <cell r="I2272" t="str">
            <v>EDI</v>
          </cell>
          <cell r="L2272">
            <v>3207</v>
          </cell>
          <cell r="N2272" t="str">
            <v>Production</v>
          </cell>
          <cell r="O2272" t="str">
            <v>Everything Benefits</v>
          </cell>
          <cell r="P2272" t="str">
            <v>Production</v>
          </cell>
          <cell r="Q2272" t="str">
            <v>Cancelled</v>
          </cell>
          <cell r="R2272">
            <v>45502.681145833332</v>
          </cell>
          <cell r="S2272" t="str">
            <v>Mirna Azmy</v>
          </cell>
          <cell r="T2272">
            <v>45502</v>
          </cell>
          <cell r="U2272" t="str">
            <v>Carolina Tanoue</v>
          </cell>
          <cell r="V2272">
            <v>45545</v>
          </cell>
          <cell r="W2272">
            <v>45554</v>
          </cell>
          <cell r="AC2272">
            <v>45551</v>
          </cell>
        </row>
        <row r="2273">
          <cell r="I2273" t="str">
            <v>EDI</v>
          </cell>
          <cell r="L2273">
            <v>3206</v>
          </cell>
          <cell r="N2273" t="str">
            <v>Production</v>
          </cell>
          <cell r="O2273" t="str">
            <v>Everything Benefits</v>
          </cell>
          <cell r="P2273" t="str">
            <v>Production</v>
          </cell>
          <cell r="Q2273" t="str">
            <v>Cancelled</v>
          </cell>
          <cell r="R2273">
            <v>45502.678587962961</v>
          </cell>
          <cell r="S2273" t="str">
            <v>Mirna Azmy</v>
          </cell>
          <cell r="T2273">
            <v>45502</v>
          </cell>
          <cell r="U2273" t="str">
            <v>Carolina Tanoue</v>
          </cell>
          <cell r="V2273">
            <v>25569</v>
          </cell>
          <cell r="W2273">
            <v>45540</v>
          </cell>
          <cell r="AC2273">
            <v>45529</v>
          </cell>
        </row>
        <row r="2274">
          <cell r="I2274" t="str">
            <v>EDI</v>
          </cell>
          <cell r="L2274">
            <v>3205</v>
          </cell>
          <cell r="N2274" t="str">
            <v>Production</v>
          </cell>
          <cell r="O2274" t="str">
            <v>Everything Benefits</v>
          </cell>
          <cell r="P2274" t="str">
            <v>Production</v>
          </cell>
          <cell r="Q2274" t="str">
            <v>Cancelled</v>
          </cell>
          <cell r="R2274">
            <v>45502.675405092603</v>
          </cell>
          <cell r="S2274" t="str">
            <v>Mirna Azmy</v>
          </cell>
          <cell r="T2274">
            <v>45502</v>
          </cell>
          <cell r="U2274" t="str">
            <v>Carolina Tanoue</v>
          </cell>
          <cell r="V2274">
            <v>45516</v>
          </cell>
          <cell r="W2274">
            <v>45526</v>
          </cell>
          <cell r="AC2274">
            <v>45519</v>
          </cell>
        </row>
        <row r="2275">
          <cell r="I2275" t="str">
            <v>EDI</v>
          </cell>
          <cell r="L2275">
            <v>3283</v>
          </cell>
          <cell r="N2275" t="str">
            <v>Production</v>
          </cell>
          <cell r="O2275" t="str">
            <v>No</v>
          </cell>
          <cell r="Q2275" t="str">
            <v>Live</v>
          </cell>
          <cell r="R2275">
            <v>45499.086597222216</v>
          </cell>
          <cell r="S2275" t="str">
            <v>Mirna Azmy</v>
          </cell>
          <cell r="T2275">
            <v>45638</v>
          </cell>
          <cell r="U2275" t="str">
            <v>Amy Bergstrom</v>
          </cell>
          <cell r="V2275">
            <v>45582</v>
          </cell>
          <cell r="W2275">
            <v>45694</v>
          </cell>
          <cell r="Y2275">
            <v>45526</v>
          </cell>
          <cell r="AC2275">
            <v>45688</v>
          </cell>
        </row>
        <row r="2276">
          <cell r="I2276" t="str">
            <v>EDI</v>
          </cell>
          <cell r="L2276">
            <v>3230</v>
          </cell>
          <cell r="N2276" t="str">
            <v>Production</v>
          </cell>
          <cell r="O2276" t="str">
            <v>No</v>
          </cell>
          <cell r="Q2276" t="str">
            <v>Cancelled</v>
          </cell>
          <cell r="R2276">
            <v>45499.009872685187</v>
          </cell>
          <cell r="S2276" t="str">
            <v>Mirna Azmy</v>
          </cell>
          <cell r="T2276">
            <v>45511</v>
          </cell>
          <cell r="U2276" t="str">
            <v>Amy Bergstrom</v>
          </cell>
          <cell r="V2276">
            <v>45525</v>
          </cell>
          <cell r="W2276">
            <v>45541</v>
          </cell>
          <cell r="Y2276">
            <v>45502</v>
          </cell>
          <cell r="AC2276">
            <v>45540</v>
          </cell>
        </row>
        <row r="2277">
          <cell r="I2277" t="str">
            <v>EDI</v>
          </cell>
          <cell r="L2277">
            <v>3240</v>
          </cell>
          <cell r="N2277" t="str">
            <v>Production</v>
          </cell>
          <cell r="O2277" t="str">
            <v>No</v>
          </cell>
          <cell r="Q2277" t="str">
            <v>Cancelled</v>
          </cell>
          <cell r="R2277">
            <v>45498.937905092593</v>
          </cell>
          <cell r="S2277" t="str">
            <v>Mina Kamil</v>
          </cell>
          <cell r="T2277">
            <v>45511</v>
          </cell>
          <cell r="U2277" t="str">
            <v>Tammy Davies</v>
          </cell>
          <cell r="W2277">
            <v>45630</v>
          </cell>
          <cell r="Y2277">
            <v>45510</v>
          </cell>
          <cell r="AC2277">
            <v>45624</v>
          </cell>
        </row>
        <row r="2278">
          <cell r="I2278" t="str">
            <v>EDI</v>
          </cell>
          <cell r="L2278">
            <v>3260</v>
          </cell>
          <cell r="N2278" t="str">
            <v>Production</v>
          </cell>
          <cell r="O2278" t="str">
            <v>No</v>
          </cell>
          <cell r="Q2278" t="str">
            <v>Cancelled</v>
          </cell>
          <cell r="R2278">
            <v>45498.937893518523</v>
          </cell>
          <cell r="S2278" t="str">
            <v>Reem Radwan</v>
          </cell>
          <cell r="T2278">
            <v>45539</v>
          </cell>
          <cell r="U2278" t="str">
            <v>Tammy Davies</v>
          </cell>
          <cell r="V2278">
            <v>45572</v>
          </cell>
          <cell r="W2278">
            <v>45740</v>
          </cell>
          <cell r="Y2278">
            <v>45539</v>
          </cell>
          <cell r="AC2278">
            <v>45734</v>
          </cell>
        </row>
        <row r="2279">
          <cell r="I2279" t="str">
            <v>EDI</v>
          </cell>
          <cell r="L2279">
            <v>3267</v>
          </cell>
          <cell r="N2279" t="str">
            <v>Production</v>
          </cell>
          <cell r="O2279" t="str">
            <v>No</v>
          </cell>
          <cell r="Q2279" t="str">
            <v>Cancelled</v>
          </cell>
          <cell r="R2279">
            <v>45498.937893518523</v>
          </cell>
          <cell r="S2279" t="str">
            <v>Noha Moustafa</v>
          </cell>
          <cell r="T2279">
            <v>45525</v>
          </cell>
          <cell r="U2279" t="str">
            <v>Tammy Davies</v>
          </cell>
          <cell r="V2279">
            <v>45581</v>
          </cell>
          <cell r="W2279">
            <v>25569</v>
          </cell>
          <cell r="Y2279">
            <v>45524</v>
          </cell>
          <cell r="AC2279">
            <v>45833</v>
          </cell>
        </row>
        <row r="2280">
          <cell r="I2280" t="str">
            <v>EDI</v>
          </cell>
          <cell r="L2280">
            <v>3242</v>
          </cell>
          <cell r="N2280" t="str">
            <v>Production</v>
          </cell>
          <cell r="O2280" t="str">
            <v>No</v>
          </cell>
          <cell r="Q2280" t="str">
            <v>Live</v>
          </cell>
          <cell r="R2280">
            <v>45498.937881944446</v>
          </cell>
          <cell r="S2280" t="str">
            <v>Zeyad Khaled</v>
          </cell>
          <cell r="T2280">
            <v>45511</v>
          </cell>
          <cell r="U2280" t="str">
            <v>Tammy Davies</v>
          </cell>
          <cell r="V2280">
            <v>45516</v>
          </cell>
          <cell r="W2280">
            <v>45545</v>
          </cell>
          <cell r="Y2280">
            <v>45503</v>
          </cell>
          <cell r="AC2280">
            <v>45544</v>
          </cell>
        </row>
        <row r="2281">
          <cell r="I2281" t="str">
            <v>EDI</v>
          </cell>
          <cell r="L2281">
            <v>3448</v>
          </cell>
          <cell r="N2281" t="str">
            <v>Production</v>
          </cell>
          <cell r="O2281" t="str">
            <v>No</v>
          </cell>
          <cell r="Q2281" t="str">
            <v>Live</v>
          </cell>
          <cell r="R2281">
            <v>45498.647002314807</v>
          </cell>
          <cell r="S2281" t="str">
            <v>Omnia Abdelaziz</v>
          </cell>
          <cell r="T2281">
            <v>45616</v>
          </cell>
          <cell r="U2281" t="str">
            <v>Robbie Schappell</v>
          </cell>
          <cell r="V2281">
            <v>45631</v>
          </cell>
          <cell r="W2281">
            <v>45769</v>
          </cell>
          <cell r="Y2281">
            <v>45616</v>
          </cell>
          <cell r="AC2281">
            <v>45769</v>
          </cell>
        </row>
        <row r="2282">
          <cell r="I2282" t="str">
            <v>EDI</v>
          </cell>
          <cell r="L2282">
            <v>3241</v>
          </cell>
          <cell r="N2282" t="str">
            <v>Production</v>
          </cell>
          <cell r="O2282" t="str">
            <v>No</v>
          </cell>
          <cell r="Q2282" t="str">
            <v>Live</v>
          </cell>
          <cell r="R2282">
            <v>45497.669490740736</v>
          </cell>
          <cell r="S2282" t="str">
            <v>Reem Radwan</v>
          </cell>
          <cell r="T2282">
            <v>45515</v>
          </cell>
          <cell r="U2282" t="str">
            <v>Trish Kalinczok</v>
          </cell>
          <cell r="V2282">
            <v>45529</v>
          </cell>
          <cell r="W2282">
            <v>45541</v>
          </cell>
          <cell r="Y2282">
            <v>45513</v>
          </cell>
          <cell r="AC2282">
            <v>45540</v>
          </cell>
        </row>
        <row r="2283">
          <cell r="I2283" t="str">
            <v>EDI</v>
          </cell>
          <cell r="L2283">
            <v>3245</v>
          </cell>
          <cell r="N2283" t="str">
            <v>Production</v>
          </cell>
          <cell r="O2283" t="str">
            <v>No</v>
          </cell>
          <cell r="Q2283" t="str">
            <v>Cancelled</v>
          </cell>
          <cell r="R2283">
            <v>45497.593564814822</v>
          </cell>
          <cell r="S2283" t="str">
            <v>Andrew Ramy</v>
          </cell>
          <cell r="T2283">
            <v>45511</v>
          </cell>
          <cell r="U2283" t="str">
            <v>Robbie Schappell</v>
          </cell>
          <cell r="V2283">
            <v>45533</v>
          </cell>
          <cell r="W2283">
            <v>45561</v>
          </cell>
          <cell r="Y2283">
            <v>45506</v>
          </cell>
          <cell r="AC2283">
            <v>45557</v>
          </cell>
        </row>
        <row r="2284">
          <cell r="I2284" t="str">
            <v>EDI</v>
          </cell>
          <cell r="L2284">
            <v>3251</v>
          </cell>
          <cell r="N2284" t="str">
            <v>Production</v>
          </cell>
          <cell r="O2284" t="str">
            <v>No</v>
          </cell>
          <cell r="Q2284" t="str">
            <v>Live</v>
          </cell>
          <cell r="R2284">
            <v>45496.818981481483</v>
          </cell>
          <cell r="S2284" t="str">
            <v>Mina George</v>
          </cell>
          <cell r="T2284">
            <v>45517</v>
          </cell>
          <cell r="U2284" t="str">
            <v>Hans De Grouw</v>
          </cell>
          <cell r="V2284">
            <v>45548</v>
          </cell>
          <cell r="W2284">
            <v>45568</v>
          </cell>
          <cell r="Y2284">
            <v>45515</v>
          </cell>
          <cell r="AC2284">
            <v>45566</v>
          </cell>
        </row>
        <row r="2285">
          <cell r="I2285" t="str">
            <v>EDI</v>
          </cell>
          <cell r="L2285">
            <v>3499</v>
          </cell>
          <cell r="N2285" t="str">
            <v>Production</v>
          </cell>
          <cell r="O2285" t="str">
            <v>No</v>
          </cell>
          <cell r="Q2285" t="str">
            <v>Live</v>
          </cell>
          <cell r="R2285">
            <v>45496.817708333343</v>
          </cell>
          <cell r="S2285" t="str">
            <v>Mina Adel</v>
          </cell>
          <cell r="T2285">
            <v>45637</v>
          </cell>
          <cell r="U2285" t="str">
            <v>Hans De Grouw</v>
          </cell>
          <cell r="V2285">
            <v>45700</v>
          </cell>
          <cell r="W2285">
            <v>45743</v>
          </cell>
          <cell r="Y2285">
            <v>45635</v>
          </cell>
          <cell r="AC2285">
            <v>45735</v>
          </cell>
        </row>
        <row r="2286">
          <cell r="I2286" t="str">
            <v>EDI</v>
          </cell>
          <cell r="L2286">
            <v>3236</v>
          </cell>
          <cell r="N2286" t="str">
            <v>Production</v>
          </cell>
          <cell r="O2286" t="str">
            <v>No</v>
          </cell>
          <cell r="Q2286" t="str">
            <v>Live</v>
          </cell>
          <cell r="R2286">
            <v>45496.817708333343</v>
          </cell>
          <cell r="S2286" t="str">
            <v>Omnia Abdelaziz</v>
          </cell>
          <cell r="T2286">
            <v>45511</v>
          </cell>
          <cell r="U2286" t="str">
            <v>Hans De Grouw</v>
          </cell>
          <cell r="V2286">
            <v>45568</v>
          </cell>
          <cell r="W2286">
            <v>45596</v>
          </cell>
          <cell r="Y2286">
            <v>45508</v>
          </cell>
          <cell r="AC2286">
            <v>45589</v>
          </cell>
        </row>
        <row r="2287">
          <cell r="I2287" t="str">
            <v>EDI</v>
          </cell>
          <cell r="L2287">
            <v>3234</v>
          </cell>
          <cell r="N2287" t="str">
            <v>Production</v>
          </cell>
          <cell r="O2287" t="str">
            <v>No</v>
          </cell>
          <cell r="Q2287" t="str">
            <v>Live</v>
          </cell>
          <cell r="R2287">
            <v>45496.817696759259</v>
          </cell>
          <cell r="S2287" t="str">
            <v>Ahmed Ali</v>
          </cell>
          <cell r="T2287">
            <v>45512</v>
          </cell>
          <cell r="U2287" t="str">
            <v>Hans De Grouw</v>
          </cell>
          <cell r="V2287">
            <v>45551</v>
          </cell>
          <cell r="W2287">
            <v>45596</v>
          </cell>
          <cell r="Y2287">
            <v>45512</v>
          </cell>
          <cell r="AC2287">
            <v>45590</v>
          </cell>
        </row>
        <row r="2288">
          <cell r="I2288" t="str">
            <v>EDI</v>
          </cell>
          <cell r="L2288">
            <v>3233</v>
          </cell>
          <cell r="N2288" t="str">
            <v>Production</v>
          </cell>
          <cell r="O2288" t="str">
            <v>No</v>
          </cell>
          <cell r="Q2288" t="str">
            <v>Live</v>
          </cell>
          <cell r="R2288">
            <v>45496.817696759259</v>
          </cell>
          <cell r="S2288" t="str">
            <v>Reem Radwan</v>
          </cell>
          <cell r="T2288">
            <v>45511</v>
          </cell>
          <cell r="U2288" t="str">
            <v>Hans De Grouw</v>
          </cell>
          <cell r="V2288">
            <v>45574</v>
          </cell>
          <cell r="W2288">
            <v>45596</v>
          </cell>
          <cell r="Y2288">
            <v>45501</v>
          </cell>
          <cell r="AC2288">
            <v>45584</v>
          </cell>
        </row>
        <row r="2289">
          <cell r="I2289" t="str">
            <v>EDI</v>
          </cell>
          <cell r="L2289">
            <v>3290</v>
          </cell>
          <cell r="N2289" t="str">
            <v>Production</v>
          </cell>
          <cell r="O2289" t="str">
            <v>No</v>
          </cell>
          <cell r="Q2289" t="str">
            <v>Live</v>
          </cell>
          <cell r="R2289">
            <v>45496.817696759259</v>
          </cell>
          <cell r="S2289" t="str">
            <v>Ahmed Ali</v>
          </cell>
          <cell r="T2289">
            <v>45539</v>
          </cell>
          <cell r="U2289" t="str">
            <v>Hans De Grouw</v>
          </cell>
          <cell r="V2289">
            <v>45579</v>
          </cell>
          <cell r="W2289">
            <v>45623</v>
          </cell>
          <cell r="Y2289">
            <v>45538</v>
          </cell>
          <cell r="AC2289">
            <v>45616</v>
          </cell>
        </row>
        <row r="2290">
          <cell r="I2290" t="str">
            <v>EDI</v>
          </cell>
          <cell r="L2290">
            <v>3235</v>
          </cell>
          <cell r="N2290" t="str">
            <v>Production</v>
          </cell>
          <cell r="O2290" t="str">
            <v>No</v>
          </cell>
          <cell r="Q2290" t="str">
            <v>Live</v>
          </cell>
          <cell r="R2290">
            <v>45496.761458333327</v>
          </cell>
          <cell r="S2290" t="str">
            <v>Mahmoud Ashraf</v>
          </cell>
          <cell r="T2290">
            <v>45511</v>
          </cell>
          <cell r="U2290" t="str">
            <v>Angie Winter</v>
          </cell>
          <cell r="V2290">
            <v>45522</v>
          </cell>
          <cell r="W2290">
            <v>45596</v>
          </cell>
          <cell r="Y2290">
            <v>45504</v>
          </cell>
          <cell r="AC2290">
            <v>45582</v>
          </cell>
        </row>
        <row r="2291">
          <cell r="I2291" t="str">
            <v>EDI</v>
          </cell>
          <cell r="L2291">
            <v>3229</v>
          </cell>
          <cell r="N2291" t="str">
            <v>Production</v>
          </cell>
          <cell r="O2291" t="str">
            <v>No</v>
          </cell>
          <cell r="Q2291" t="str">
            <v>Live</v>
          </cell>
          <cell r="R2291">
            <v>45496.696458333332</v>
          </cell>
          <cell r="S2291" t="str">
            <v>Ahmed Ali</v>
          </cell>
          <cell r="T2291">
            <v>45511</v>
          </cell>
          <cell r="U2291" t="str">
            <v>Trish Kalinczok</v>
          </cell>
          <cell r="V2291">
            <v>25569</v>
          </cell>
          <cell r="W2291">
            <v>45608</v>
          </cell>
          <cell r="Y2291">
            <v>45502</v>
          </cell>
          <cell r="AC2291">
            <v>45606</v>
          </cell>
        </row>
        <row r="2292">
          <cell r="I2292" t="str">
            <v>EDI</v>
          </cell>
          <cell r="N2292" t="str">
            <v>Pending Start</v>
          </cell>
          <cell r="O2292" t="str">
            <v>No</v>
          </cell>
          <cell r="Q2292" t="str">
            <v>Cancelled</v>
          </cell>
          <cell r="R2292">
            <v>45496.686168981483</v>
          </cell>
          <cell r="U2292" t="str">
            <v>Angie Winter</v>
          </cell>
        </row>
        <row r="2293">
          <cell r="I2293" t="str">
            <v>EDI</v>
          </cell>
          <cell r="L2293">
            <v>3313</v>
          </cell>
          <cell r="N2293" t="str">
            <v>Production</v>
          </cell>
          <cell r="O2293" t="str">
            <v>No</v>
          </cell>
          <cell r="Q2293" t="str">
            <v>Live</v>
          </cell>
          <cell r="R2293">
            <v>45492.653900462959</v>
          </cell>
          <cell r="S2293" t="str">
            <v>Mirna Azmy</v>
          </cell>
          <cell r="T2293">
            <v>45553</v>
          </cell>
          <cell r="U2293" t="str">
            <v>Gregory Dubec</v>
          </cell>
          <cell r="V2293">
            <v>45553</v>
          </cell>
          <cell r="W2293">
            <v>45575</v>
          </cell>
          <cell r="Y2293">
            <v>45552</v>
          </cell>
          <cell r="AC2293">
            <v>45574</v>
          </cell>
        </row>
        <row r="2294">
          <cell r="I2294" t="str">
            <v>EDI</v>
          </cell>
          <cell r="L2294">
            <v>3243</v>
          </cell>
          <cell r="N2294" t="str">
            <v>Production</v>
          </cell>
          <cell r="O2294" t="str">
            <v>No</v>
          </cell>
          <cell r="Q2294" t="str">
            <v>Live</v>
          </cell>
          <cell r="R2294">
            <v>45491.735914351862</v>
          </cell>
          <cell r="S2294" t="str">
            <v>Mina Adel</v>
          </cell>
          <cell r="T2294">
            <v>45508</v>
          </cell>
          <cell r="U2294" t="str">
            <v>Gregory Dubec</v>
          </cell>
          <cell r="V2294">
            <v>45517</v>
          </cell>
          <cell r="W2294">
            <v>45589</v>
          </cell>
          <cell r="Y2294">
            <v>45495</v>
          </cell>
          <cell r="AC2294">
            <v>45589</v>
          </cell>
        </row>
        <row r="2295">
          <cell r="I2295" t="str">
            <v>EDI</v>
          </cell>
          <cell r="L2295">
            <v>3223</v>
          </cell>
          <cell r="N2295" t="str">
            <v>Production</v>
          </cell>
          <cell r="O2295" t="str">
            <v>No</v>
          </cell>
          <cell r="Q2295" t="str">
            <v>Live</v>
          </cell>
          <cell r="R2295">
            <v>45491.735914351862</v>
          </cell>
          <cell r="S2295" t="str">
            <v>Mina Kamil</v>
          </cell>
          <cell r="T2295">
            <v>45508</v>
          </cell>
          <cell r="U2295" t="str">
            <v>Gregory Dubec</v>
          </cell>
          <cell r="W2295">
            <v>45538</v>
          </cell>
          <cell r="Y2295">
            <v>45496</v>
          </cell>
          <cell r="AC2295">
            <v>45536</v>
          </cell>
        </row>
        <row r="2296">
          <cell r="I2296" t="str">
            <v>EDI</v>
          </cell>
          <cell r="L2296">
            <v>3274</v>
          </cell>
          <cell r="N2296" t="str">
            <v>Production</v>
          </cell>
          <cell r="O2296" t="str">
            <v>No</v>
          </cell>
          <cell r="Q2296" t="str">
            <v>Live</v>
          </cell>
          <cell r="R2296">
            <v>45491.735902777778</v>
          </cell>
          <cell r="S2296" t="str">
            <v>Noha Moustafa</v>
          </cell>
          <cell r="T2296">
            <v>45529</v>
          </cell>
          <cell r="U2296" t="str">
            <v>Gregory Dubec</v>
          </cell>
          <cell r="V2296">
            <v>45539</v>
          </cell>
          <cell r="W2296">
            <v>45561</v>
          </cell>
          <cell r="Y2296">
            <v>45526</v>
          </cell>
          <cell r="AC2296">
            <v>45557</v>
          </cell>
        </row>
        <row r="2297">
          <cell r="I2297" t="str">
            <v>EDI</v>
          </cell>
          <cell r="L2297">
            <v>3304</v>
          </cell>
          <cell r="N2297" t="str">
            <v>Production</v>
          </cell>
          <cell r="O2297" t="str">
            <v>No</v>
          </cell>
          <cell r="Q2297" t="str">
            <v>Live</v>
          </cell>
          <cell r="R2297">
            <v>45491.735902777778</v>
          </cell>
          <cell r="S2297" t="str">
            <v>Mina George</v>
          </cell>
          <cell r="T2297">
            <v>45545</v>
          </cell>
          <cell r="U2297" t="str">
            <v>Gregory Dubec</v>
          </cell>
          <cell r="V2297">
            <v>45579</v>
          </cell>
          <cell r="W2297">
            <v>45652</v>
          </cell>
          <cell r="Y2297">
            <v>45544</v>
          </cell>
          <cell r="AC2297">
            <v>45652</v>
          </cell>
        </row>
        <row r="2298">
          <cell r="I2298" t="str">
            <v>EDI</v>
          </cell>
          <cell r="L2298">
            <v>3268</v>
          </cell>
          <cell r="N2298" t="str">
            <v>Production</v>
          </cell>
          <cell r="O2298" t="str">
            <v>No</v>
          </cell>
          <cell r="Q2298" t="str">
            <v>Live</v>
          </cell>
          <cell r="R2298">
            <v>45491.735902777778</v>
          </cell>
          <cell r="S2298" t="str">
            <v>Aya Fathy</v>
          </cell>
          <cell r="T2298">
            <v>45529</v>
          </cell>
          <cell r="U2298" t="str">
            <v>Gregory Dubec</v>
          </cell>
          <cell r="V2298">
            <v>45538</v>
          </cell>
          <cell r="W2298">
            <v>45561</v>
          </cell>
          <cell r="Y2298">
            <v>45525</v>
          </cell>
          <cell r="AC2298">
            <v>45558</v>
          </cell>
        </row>
        <row r="2299">
          <cell r="I2299" t="str">
            <v>EDI</v>
          </cell>
          <cell r="L2299">
            <v>3222</v>
          </cell>
          <cell r="N2299" t="str">
            <v>Production</v>
          </cell>
          <cell r="O2299" t="str">
            <v>No</v>
          </cell>
          <cell r="Q2299" t="str">
            <v>Live</v>
          </cell>
          <cell r="R2299">
            <v>45491.735891203702</v>
          </cell>
          <cell r="S2299" t="str">
            <v>Ahmed Ali</v>
          </cell>
          <cell r="T2299">
            <v>45519</v>
          </cell>
          <cell r="U2299" t="str">
            <v>Gregory Dubec</v>
          </cell>
          <cell r="V2299">
            <v>45574</v>
          </cell>
          <cell r="W2299">
            <v>45638</v>
          </cell>
          <cell r="Y2299">
            <v>45518</v>
          </cell>
          <cell r="AC2299">
            <v>45635</v>
          </cell>
        </row>
        <row r="2300">
          <cell r="I2300" t="str">
            <v>EDI</v>
          </cell>
          <cell r="L2300">
            <v>3221</v>
          </cell>
          <cell r="N2300" t="str">
            <v>Production</v>
          </cell>
          <cell r="O2300" t="str">
            <v>No</v>
          </cell>
          <cell r="Q2300" t="str">
            <v>Live</v>
          </cell>
          <cell r="R2300">
            <v>45491.66133101852</v>
          </cell>
          <cell r="S2300" t="str">
            <v>Reem Radwan</v>
          </cell>
          <cell r="T2300">
            <v>45508</v>
          </cell>
          <cell r="U2300" t="str">
            <v>Robbie Schappell</v>
          </cell>
          <cell r="V2300">
            <v>45530</v>
          </cell>
          <cell r="W2300">
            <v>45573</v>
          </cell>
          <cell r="Y2300">
            <v>45498</v>
          </cell>
          <cell r="AC2300">
            <v>45565</v>
          </cell>
        </row>
        <row r="2301">
          <cell r="I2301" t="str">
            <v>EDI</v>
          </cell>
          <cell r="L2301">
            <v>3215</v>
          </cell>
          <cell r="N2301" t="str">
            <v>Production</v>
          </cell>
          <cell r="O2301" t="str">
            <v>No</v>
          </cell>
          <cell r="Q2301" t="str">
            <v>Live</v>
          </cell>
          <cell r="R2301">
            <v>45491.66133101852</v>
          </cell>
          <cell r="S2301" t="str">
            <v>Noha Moustafa</v>
          </cell>
          <cell r="T2301">
            <v>45503</v>
          </cell>
          <cell r="U2301" t="str">
            <v>Robbie Schappell</v>
          </cell>
          <cell r="V2301">
            <v>45512</v>
          </cell>
          <cell r="W2301">
            <v>45566</v>
          </cell>
          <cell r="Y2301">
            <v>45497</v>
          </cell>
          <cell r="AC2301">
            <v>45562</v>
          </cell>
        </row>
        <row r="2302">
          <cell r="I2302" t="str">
            <v>EDI</v>
          </cell>
          <cell r="L2302">
            <v>3224</v>
          </cell>
          <cell r="N2302" t="str">
            <v>Production</v>
          </cell>
          <cell r="O2302" t="str">
            <v>No</v>
          </cell>
          <cell r="Q2302" t="str">
            <v>Live</v>
          </cell>
          <cell r="R2302">
            <v>45491.661319444444</v>
          </cell>
          <cell r="S2302" t="str">
            <v>Noha Moustafa</v>
          </cell>
          <cell r="T2302">
            <v>45508</v>
          </cell>
          <cell r="U2302" t="str">
            <v>Robbie Schappell</v>
          </cell>
          <cell r="V2302">
            <v>45530</v>
          </cell>
          <cell r="W2302">
            <v>45594</v>
          </cell>
          <cell r="Y2302">
            <v>45508</v>
          </cell>
          <cell r="AC2302">
            <v>45587</v>
          </cell>
        </row>
        <row r="2303">
          <cell r="I2303" t="str">
            <v>EDI</v>
          </cell>
          <cell r="L2303">
            <v>3218</v>
          </cell>
          <cell r="N2303" t="str">
            <v>Production</v>
          </cell>
          <cell r="O2303" t="str">
            <v>No</v>
          </cell>
          <cell r="Q2303" t="str">
            <v>Live</v>
          </cell>
          <cell r="R2303">
            <v>45491.661319444444</v>
          </cell>
          <cell r="S2303" t="str">
            <v>Andrew Ramy</v>
          </cell>
          <cell r="T2303">
            <v>45505</v>
          </cell>
          <cell r="U2303" t="str">
            <v>Robbie Schappell</v>
          </cell>
          <cell r="V2303">
            <v>45534</v>
          </cell>
          <cell r="W2303">
            <v>45559</v>
          </cell>
          <cell r="Y2303">
            <v>45497</v>
          </cell>
          <cell r="AC2303">
            <v>45558</v>
          </cell>
        </row>
        <row r="2304">
          <cell r="I2304" t="str">
            <v>EDI</v>
          </cell>
          <cell r="L2304">
            <v>3228</v>
          </cell>
          <cell r="N2304" t="str">
            <v>Production</v>
          </cell>
          <cell r="O2304" t="str">
            <v>No</v>
          </cell>
          <cell r="Q2304" t="str">
            <v>Live</v>
          </cell>
          <cell r="R2304">
            <v>45491.661319444444</v>
          </cell>
          <cell r="S2304" t="str">
            <v>Mina George</v>
          </cell>
          <cell r="T2304">
            <v>45508</v>
          </cell>
          <cell r="U2304" t="str">
            <v>Robbie Schappell</v>
          </cell>
          <cell r="V2304">
            <v>45519</v>
          </cell>
          <cell r="W2304">
            <v>45589</v>
          </cell>
          <cell r="Y2304">
            <v>45504</v>
          </cell>
          <cell r="AC2304">
            <v>45574</v>
          </cell>
        </row>
        <row r="2305">
          <cell r="I2305" t="str">
            <v>EDI</v>
          </cell>
          <cell r="L2305">
            <v>3214</v>
          </cell>
          <cell r="N2305" t="str">
            <v>Production</v>
          </cell>
          <cell r="O2305" t="str">
            <v>No</v>
          </cell>
          <cell r="Q2305" t="str">
            <v>Live</v>
          </cell>
          <cell r="R2305">
            <v>45490.68172453704</v>
          </cell>
          <cell r="S2305" t="str">
            <v>Andrew Ramy</v>
          </cell>
          <cell r="T2305">
            <v>45504</v>
          </cell>
          <cell r="U2305" t="str">
            <v>Gregory Dubec</v>
          </cell>
          <cell r="V2305">
            <v>45518</v>
          </cell>
          <cell r="W2305">
            <v>25569</v>
          </cell>
          <cell r="Y2305">
            <v>45504</v>
          </cell>
          <cell r="AC2305">
            <v>45610</v>
          </cell>
        </row>
        <row r="2306">
          <cell r="I2306" t="str">
            <v>EDI</v>
          </cell>
          <cell r="L2306">
            <v>3213</v>
          </cell>
          <cell r="N2306" t="str">
            <v>Mapping</v>
          </cell>
          <cell r="O2306" t="str">
            <v>No</v>
          </cell>
          <cell r="Q2306" t="str">
            <v>Cancelled</v>
          </cell>
          <cell r="R2306">
            <v>45485.827777777777</v>
          </cell>
          <cell r="S2306" t="str">
            <v>Mirna Azmy</v>
          </cell>
          <cell r="T2306">
            <v>45504</v>
          </cell>
          <cell r="U2306" t="str">
            <v>Robbie Schappell</v>
          </cell>
          <cell r="Y2306">
            <v>45489</v>
          </cell>
        </row>
        <row r="2307">
          <cell r="I2307" t="str">
            <v>EDI</v>
          </cell>
          <cell r="L2307">
            <v>3211</v>
          </cell>
          <cell r="N2307" t="str">
            <v>Testing</v>
          </cell>
          <cell r="O2307" t="str">
            <v>No</v>
          </cell>
          <cell r="Q2307" t="str">
            <v>Cancelled</v>
          </cell>
          <cell r="R2307">
            <v>45485.82371527778</v>
          </cell>
          <cell r="S2307" t="str">
            <v>Ahmed Ali</v>
          </cell>
          <cell r="T2307">
            <v>45503</v>
          </cell>
          <cell r="U2307" t="str">
            <v>Robbie Schappell</v>
          </cell>
          <cell r="V2307">
            <v>45515</v>
          </cell>
          <cell r="Y2307">
            <v>45498</v>
          </cell>
        </row>
        <row r="2308">
          <cell r="I2308" t="str">
            <v>EDI</v>
          </cell>
          <cell r="N2308" t="str">
            <v>Requirements Gathering</v>
          </cell>
          <cell r="O2308" t="str">
            <v>No</v>
          </cell>
          <cell r="Q2308" t="str">
            <v>Cancelled</v>
          </cell>
          <cell r="R2308">
            <v>45485.82371527778</v>
          </cell>
          <cell r="S2308" t="str">
            <v>Lourina Edmon</v>
          </cell>
          <cell r="T2308">
            <v>45487</v>
          </cell>
          <cell r="U2308" t="str">
            <v>Robbie Schappell</v>
          </cell>
        </row>
        <row r="2309">
          <cell r="I2309" t="str">
            <v>EDI</v>
          </cell>
          <cell r="L2309">
            <v>3219</v>
          </cell>
          <cell r="N2309" t="str">
            <v>Production</v>
          </cell>
          <cell r="O2309" t="str">
            <v>No</v>
          </cell>
          <cell r="Q2309" t="str">
            <v>Live</v>
          </cell>
          <cell r="R2309">
            <v>45485.570729166669</v>
          </cell>
          <cell r="S2309" t="str">
            <v>Reem Radwan</v>
          </cell>
          <cell r="T2309">
            <v>45503</v>
          </cell>
          <cell r="U2309" t="str">
            <v>Trish Kalinczok</v>
          </cell>
          <cell r="V2309">
            <v>45530</v>
          </cell>
          <cell r="W2309">
            <v>45551</v>
          </cell>
          <cell r="Y2309">
            <v>45498</v>
          </cell>
          <cell r="AC2309">
            <v>45546</v>
          </cell>
        </row>
        <row r="2310">
          <cell r="I2310" t="str">
            <v>EDI</v>
          </cell>
          <cell r="L2310">
            <v>3200</v>
          </cell>
          <cell r="N2310" t="str">
            <v>Production</v>
          </cell>
          <cell r="O2310" t="str">
            <v>No</v>
          </cell>
          <cell r="Q2310" t="str">
            <v>Live</v>
          </cell>
          <cell r="R2310">
            <v>45485.570729166669</v>
          </cell>
          <cell r="S2310" t="str">
            <v>Mahmoud Ashraf</v>
          </cell>
          <cell r="T2310">
            <v>45498</v>
          </cell>
          <cell r="U2310" t="str">
            <v>Trish Kalinczok</v>
          </cell>
          <cell r="V2310">
            <v>45515</v>
          </cell>
          <cell r="W2310">
            <v>45559</v>
          </cell>
          <cell r="Y2310">
            <v>45493</v>
          </cell>
          <cell r="AC2310">
            <v>45552</v>
          </cell>
        </row>
        <row r="2311">
          <cell r="I2311" t="str">
            <v>EDI</v>
          </cell>
          <cell r="L2311">
            <v>3301</v>
          </cell>
          <cell r="N2311" t="str">
            <v>Production</v>
          </cell>
          <cell r="O2311" t="str">
            <v>No</v>
          </cell>
          <cell r="Q2311" t="str">
            <v>Live</v>
          </cell>
          <cell r="R2311">
            <v>45483.872372685182</v>
          </cell>
          <cell r="S2311" t="str">
            <v>Zeyad Khaled</v>
          </cell>
          <cell r="T2311">
            <v>45544</v>
          </cell>
          <cell r="U2311" t="str">
            <v>Tammy Davies</v>
          </cell>
          <cell r="V2311">
            <v>45588</v>
          </cell>
          <cell r="W2311">
            <v>45610</v>
          </cell>
          <cell r="Y2311">
            <v>45540</v>
          </cell>
          <cell r="AC2311">
            <v>45644</v>
          </cell>
        </row>
        <row r="2312">
          <cell r="I2312" t="str">
            <v>EDI</v>
          </cell>
          <cell r="L2312">
            <v>3195</v>
          </cell>
          <cell r="N2312" t="str">
            <v>Production</v>
          </cell>
          <cell r="O2312" t="str">
            <v>No</v>
          </cell>
          <cell r="Q2312" t="str">
            <v>Live</v>
          </cell>
          <cell r="R2312">
            <v>45483.709965277783</v>
          </cell>
          <cell r="S2312" t="str">
            <v>Amr Salah</v>
          </cell>
          <cell r="T2312">
            <v>45532</v>
          </cell>
          <cell r="U2312" t="str">
            <v>Gregory Dubec</v>
          </cell>
          <cell r="V2312">
            <v>45564</v>
          </cell>
          <cell r="W2312">
            <v>45589</v>
          </cell>
          <cell r="Y2312">
            <v>45488</v>
          </cell>
          <cell r="AC2312">
            <v>45588</v>
          </cell>
        </row>
        <row r="2313">
          <cell r="I2313" t="str">
            <v>EDI</v>
          </cell>
          <cell r="L2313">
            <v>3189</v>
          </cell>
          <cell r="N2313" t="str">
            <v>Production</v>
          </cell>
          <cell r="O2313" t="str">
            <v>No</v>
          </cell>
          <cell r="Q2313" t="str">
            <v>Cancelled</v>
          </cell>
          <cell r="R2313">
            <v>45483.69976851852</v>
          </cell>
          <cell r="S2313" t="str">
            <v>Omnia Abdelaziz</v>
          </cell>
          <cell r="T2313">
            <v>45490</v>
          </cell>
          <cell r="U2313" t="str">
            <v>Gregory Dubec</v>
          </cell>
          <cell r="V2313">
            <v>45505</v>
          </cell>
          <cell r="W2313">
            <v>45526</v>
          </cell>
          <cell r="Y2313">
            <v>45485</v>
          </cell>
          <cell r="AC2313">
            <v>45526</v>
          </cell>
        </row>
        <row r="2314">
          <cell r="I2314" t="str">
            <v>EDI</v>
          </cell>
          <cell r="L2314">
            <v>3225</v>
          </cell>
          <cell r="N2314" t="str">
            <v>Production</v>
          </cell>
          <cell r="O2314" t="str">
            <v>No</v>
          </cell>
          <cell r="Q2314" t="str">
            <v>Live</v>
          </cell>
          <cell r="R2314">
            <v>45483.654421296298</v>
          </cell>
          <cell r="S2314" t="str">
            <v>Omnia Abdelaziz</v>
          </cell>
          <cell r="T2314">
            <v>45503</v>
          </cell>
          <cell r="U2314" t="str">
            <v>Nicole Stevens</v>
          </cell>
          <cell r="V2314">
            <v>45533</v>
          </cell>
          <cell r="W2314">
            <v>45617</v>
          </cell>
          <cell r="Y2314">
            <v>45495</v>
          </cell>
          <cell r="AC2314">
            <v>45610</v>
          </cell>
        </row>
        <row r="2315">
          <cell r="I2315" t="str">
            <v>EDI</v>
          </cell>
          <cell r="L2315">
            <v>3208</v>
          </cell>
          <cell r="N2315" t="str">
            <v>Production</v>
          </cell>
          <cell r="O2315" t="str">
            <v>No</v>
          </cell>
          <cell r="Q2315" t="str">
            <v>Live</v>
          </cell>
          <cell r="R2315">
            <v>45482.642106481479</v>
          </cell>
          <cell r="S2315" t="str">
            <v>Mina Adel</v>
          </cell>
          <cell r="T2315">
            <v>45494</v>
          </cell>
          <cell r="U2315" t="str">
            <v>Tyler  Raposa</v>
          </cell>
          <cell r="V2315">
            <v>45503</v>
          </cell>
          <cell r="W2315">
            <v>45519</v>
          </cell>
          <cell r="Y2315">
            <v>45488</v>
          </cell>
          <cell r="AC2315">
            <v>45519</v>
          </cell>
        </row>
        <row r="2316">
          <cell r="I2316" t="str">
            <v>EDI</v>
          </cell>
          <cell r="L2316">
            <v>3188</v>
          </cell>
          <cell r="N2316" t="str">
            <v>Production</v>
          </cell>
          <cell r="O2316" t="str">
            <v>No</v>
          </cell>
          <cell r="Q2316" t="str">
            <v>Live</v>
          </cell>
          <cell r="R2316">
            <v>45482.640532407408</v>
          </cell>
          <cell r="S2316" t="str">
            <v>Aya Fathy</v>
          </cell>
          <cell r="T2316">
            <v>45490</v>
          </cell>
          <cell r="U2316" t="str">
            <v>Tyler  Raposa</v>
          </cell>
          <cell r="V2316">
            <v>45494</v>
          </cell>
          <cell r="W2316">
            <v>45518</v>
          </cell>
          <cell r="Y2316">
            <v>45488</v>
          </cell>
          <cell r="AC2316">
            <v>45518</v>
          </cell>
        </row>
        <row r="2317">
          <cell r="I2317" t="str">
            <v>EDI</v>
          </cell>
          <cell r="L2317">
            <v>3204</v>
          </cell>
          <cell r="N2317" t="str">
            <v>Production</v>
          </cell>
          <cell r="O2317" t="str">
            <v>No</v>
          </cell>
          <cell r="Q2317" t="str">
            <v>Live</v>
          </cell>
          <cell r="R2317">
            <v>45481.810636574082</v>
          </cell>
          <cell r="S2317" t="str">
            <v>Ahmed Ali</v>
          </cell>
          <cell r="T2317">
            <v>45498</v>
          </cell>
          <cell r="U2317" t="str">
            <v>Tyler  Raposa</v>
          </cell>
          <cell r="V2317">
            <v>45515</v>
          </cell>
          <cell r="W2317">
            <v>25569</v>
          </cell>
          <cell r="Y2317">
            <v>45493</v>
          </cell>
          <cell r="AC2317">
            <v>45517</v>
          </cell>
        </row>
        <row r="2318">
          <cell r="I2318" t="str">
            <v>EDI</v>
          </cell>
          <cell r="L2318">
            <v>3201</v>
          </cell>
          <cell r="N2318" t="str">
            <v>Production</v>
          </cell>
          <cell r="O2318" t="str">
            <v>No</v>
          </cell>
          <cell r="Q2318" t="str">
            <v>Cancelled</v>
          </cell>
          <cell r="R2318">
            <v>45481.64947916667</v>
          </cell>
          <cell r="S2318" t="str">
            <v>Omnia Abdelaziz</v>
          </cell>
          <cell r="T2318">
            <v>45494</v>
          </cell>
          <cell r="U2318" t="str">
            <v>Tammy Davies</v>
          </cell>
          <cell r="V2318">
            <v>45559</v>
          </cell>
          <cell r="W2318">
            <v>45593</v>
          </cell>
          <cell r="Y2318">
            <v>45490</v>
          </cell>
          <cell r="AC2318">
            <v>45589</v>
          </cell>
        </row>
        <row r="2319">
          <cell r="I2319" t="str">
            <v>EDI</v>
          </cell>
          <cell r="L2319">
            <v>3191</v>
          </cell>
          <cell r="N2319" t="str">
            <v>Production</v>
          </cell>
          <cell r="O2319" t="str">
            <v>No</v>
          </cell>
          <cell r="Q2319" t="str">
            <v>Cancelled</v>
          </cell>
          <cell r="R2319">
            <v>45481.64947916667</v>
          </cell>
          <cell r="S2319" t="str">
            <v>Reem Radwan</v>
          </cell>
          <cell r="T2319">
            <v>45490</v>
          </cell>
          <cell r="U2319" t="str">
            <v>Tammy Davies</v>
          </cell>
          <cell r="V2319">
            <v>45506</v>
          </cell>
          <cell r="W2319">
            <v>45518</v>
          </cell>
          <cell r="Y2319">
            <v>45488</v>
          </cell>
          <cell r="AC2319">
            <v>45515</v>
          </cell>
        </row>
        <row r="2320">
          <cell r="I2320" t="str">
            <v>EDI</v>
          </cell>
          <cell r="L2320">
            <v>3187</v>
          </cell>
          <cell r="N2320" t="str">
            <v>Production</v>
          </cell>
          <cell r="O2320" t="str">
            <v>No</v>
          </cell>
          <cell r="Q2320" t="str">
            <v>Cancelled</v>
          </cell>
          <cell r="R2320">
            <v>45481.649467592593</v>
          </cell>
          <cell r="S2320" t="str">
            <v>Mirna Azmy</v>
          </cell>
          <cell r="T2320">
            <v>45490</v>
          </cell>
          <cell r="U2320" t="str">
            <v>Tammy Davies</v>
          </cell>
          <cell r="V2320">
            <v>45595</v>
          </cell>
          <cell r="W2320">
            <v>45677</v>
          </cell>
          <cell r="Y2320">
            <v>45485</v>
          </cell>
          <cell r="AC2320">
            <v>45673</v>
          </cell>
        </row>
        <row r="2321">
          <cell r="I2321" t="str">
            <v>EDI</v>
          </cell>
          <cell r="L2321">
            <v>3183</v>
          </cell>
          <cell r="N2321" t="str">
            <v>Production</v>
          </cell>
          <cell r="O2321" t="str">
            <v>No</v>
          </cell>
          <cell r="Q2321" t="str">
            <v>Cancelled</v>
          </cell>
          <cell r="R2321">
            <v>45476.751828703702</v>
          </cell>
          <cell r="S2321" t="str">
            <v>Omnia Abdelaziz</v>
          </cell>
          <cell r="T2321">
            <v>45481</v>
          </cell>
          <cell r="U2321" t="str">
            <v>Trish Kalinczok</v>
          </cell>
          <cell r="V2321">
            <v>45491</v>
          </cell>
          <cell r="W2321">
            <v>45502</v>
          </cell>
          <cell r="Y2321">
            <v>45479</v>
          </cell>
          <cell r="AC2321">
            <v>45498</v>
          </cell>
        </row>
        <row r="2322">
          <cell r="I2322" t="str">
            <v>EDI</v>
          </cell>
          <cell r="L2322">
            <v>3179</v>
          </cell>
          <cell r="N2322" t="str">
            <v>Production</v>
          </cell>
          <cell r="O2322" t="str">
            <v>No</v>
          </cell>
          <cell r="Q2322" t="str">
            <v>Cancelled</v>
          </cell>
          <cell r="R2322">
            <v>45476.75037037037</v>
          </cell>
          <cell r="S2322" t="str">
            <v>Omnia Abdelaziz</v>
          </cell>
          <cell r="T2322">
            <v>45481</v>
          </cell>
          <cell r="U2322" t="str">
            <v>Trish Kalinczok</v>
          </cell>
          <cell r="V2322">
            <v>45491</v>
          </cell>
          <cell r="W2322">
            <v>45502</v>
          </cell>
          <cell r="Y2322">
            <v>45479</v>
          </cell>
          <cell r="AC2322">
            <v>45498</v>
          </cell>
        </row>
        <row r="2323">
          <cell r="I2323" t="str">
            <v>EDI</v>
          </cell>
          <cell r="L2323">
            <v>3227</v>
          </cell>
          <cell r="N2323" t="str">
            <v>Production</v>
          </cell>
          <cell r="O2323" t="str">
            <v>No</v>
          </cell>
          <cell r="Q2323" t="str">
            <v>Live</v>
          </cell>
          <cell r="R2323">
            <v>45476.72452546296</v>
          </cell>
          <cell r="S2323" t="str">
            <v>Joseph Atef</v>
          </cell>
          <cell r="T2323">
            <v>45503</v>
          </cell>
          <cell r="U2323" t="str">
            <v>Hans De Grouw</v>
          </cell>
          <cell r="V2323">
            <v>45592</v>
          </cell>
          <cell r="W2323">
            <v>45778</v>
          </cell>
          <cell r="Y2323">
            <v>45497</v>
          </cell>
          <cell r="AC2323">
            <v>45777</v>
          </cell>
        </row>
        <row r="2324">
          <cell r="I2324" t="str">
            <v>EDI</v>
          </cell>
          <cell r="L2324">
            <v>3186</v>
          </cell>
          <cell r="N2324" t="str">
            <v>Production</v>
          </cell>
          <cell r="O2324" t="str">
            <v>No</v>
          </cell>
          <cell r="Q2324" t="str">
            <v>Live</v>
          </cell>
          <cell r="R2324">
            <v>45475.917002314818</v>
          </cell>
          <cell r="S2324" t="str">
            <v>Mahmoud Ashraf</v>
          </cell>
          <cell r="T2324">
            <v>45490</v>
          </cell>
          <cell r="U2324" t="str">
            <v>Trish Kalinczok</v>
          </cell>
          <cell r="V2324">
            <v>45557</v>
          </cell>
          <cell r="W2324">
            <v>45565</v>
          </cell>
          <cell r="Y2324">
            <v>45482</v>
          </cell>
          <cell r="AC2324">
            <v>45561</v>
          </cell>
        </row>
        <row r="2325">
          <cell r="I2325" t="str">
            <v>EDI</v>
          </cell>
          <cell r="L2325">
            <v>3212</v>
          </cell>
          <cell r="N2325" t="str">
            <v>Production</v>
          </cell>
          <cell r="O2325" t="str">
            <v>No</v>
          </cell>
          <cell r="Q2325" t="str">
            <v>Live</v>
          </cell>
          <cell r="R2325">
            <v>45475.916990740741</v>
          </cell>
          <cell r="S2325" t="str">
            <v>Andrew Ramy</v>
          </cell>
          <cell r="T2325">
            <v>45498</v>
          </cell>
          <cell r="U2325" t="str">
            <v>Trish Kalinczok</v>
          </cell>
          <cell r="V2325">
            <v>45504</v>
          </cell>
          <cell r="W2325">
            <v>45532</v>
          </cell>
          <cell r="Y2325">
            <v>45497</v>
          </cell>
          <cell r="AC2325">
            <v>45522</v>
          </cell>
        </row>
        <row r="2326">
          <cell r="I2326" t="str">
            <v>EDI</v>
          </cell>
          <cell r="L2326">
            <v>3180</v>
          </cell>
          <cell r="N2326" t="str">
            <v>Production</v>
          </cell>
          <cell r="O2326" t="str">
            <v>No</v>
          </cell>
          <cell r="Q2326" t="str">
            <v>Live</v>
          </cell>
          <cell r="R2326">
            <v>45475.73946759259</v>
          </cell>
          <cell r="S2326" t="str">
            <v>Noha Moustafa</v>
          </cell>
          <cell r="T2326">
            <v>45483</v>
          </cell>
          <cell r="U2326" t="str">
            <v>Julie Lombardi</v>
          </cell>
          <cell r="V2326">
            <v>45505</v>
          </cell>
          <cell r="W2326">
            <v>45798</v>
          </cell>
          <cell r="Y2326">
            <v>45481</v>
          </cell>
          <cell r="AC2326">
            <v>45794</v>
          </cell>
        </row>
        <row r="2327">
          <cell r="I2327" t="str">
            <v>EDI</v>
          </cell>
          <cell r="L2327">
            <v>3202</v>
          </cell>
          <cell r="N2327" t="str">
            <v>Production</v>
          </cell>
          <cell r="O2327" t="str">
            <v>No</v>
          </cell>
          <cell r="Q2327" t="str">
            <v>Cancelled</v>
          </cell>
          <cell r="R2327">
            <v>45475.706886574073</v>
          </cell>
          <cell r="S2327" t="str">
            <v>Omnia Abdelaziz</v>
          </cell>
          <cell r="T2327">
            <v>45498</v>
          </cell>
          <cell r="U2327" t="str">
            <v>Robbie Schappell</v>
          </cell>
          <cell r="V2327">
            <v>45518</v>
          </cell>
          <cell r="W2327">
            <v>45572</v>
          </cell>
          <cell r="Y2327">
            <v>45496</v>
          </cell>
          <cell r="AC2327">
            <v>45574</v>
          </cell>
        </row>
        <row r="2328">
          <cell r="I2328" t="str">
            <v>EDI</v>
          </cell>
          <cell r="L2328">
            <v>3216</v>
          </cell>
          <cell r="N2328" t="str">
            <v>Production</v>
          </cell>
          <cell r="O2328" t="str">
            <v>No</v>
          </cell>
          <cell r="Q2328" t="str">
            <v>Cancelled</v>
          </cell>
          <cell r="R2328">
            <v>45475.706886574073</v>
          </cell>
          <cell r="S2328" t="str">
            <v>Zeyad Khaled</v>
          </cell>
          <cell r="T2328">
            <v>45498</v>
          </cell>
          <cell r="U2328" t="str">
            <v>Robbie Schappell</v>
          </cell>
          <cell r="V2328">
            <v>45505</v>
          </cell>
          <cell r="W2328">
            <v>45517</v>
          </cell>
          <cell r="Y2328">
            <v>45495</v>
          </cell>
          <cell r="AC2328">
            <v>45515</v>
          </cell>
        </row>
        <row r="2329">
          <cell r="I2329" t="str">
            <v>EDI</v>
          </cell>
          <cell r="L2329">
            <v>3178</v>
          </cell>
          <cell r="N2329" t="str">
            <v>Production</v>
          </cell>
          <cell r="O2329" t="str">
            <v>No</v>
          </cell>
          <cell r="Q2329" t="str">
            <v>Live</v>
          </cell>
          <cell r="R2329">
            <v>45475.62400462963</v>
          </cell>
          <cell r="S2329" t="str">
            <v>Ahmed Ali</v>
          </cell>
          <cell r="T2329">
            <v>45483</v>
          </cell>
          <cell r="U2329" t="str">
            <v>Robbie Schappell</v>
          </cell>
          <cell r="V2329">
            <v>45503</v>
          </cell>
          <cell r="W2329">
            <v>25569</v>
          </cell>
          <cell r="Y2329">
            <v>45479</v>
          </cell>
          <cell r="AC2329">
            <v>45523</v>
          </cell>
        </row>
        <row r="2330">
          <cell r="I2330" t="str">
            <v>EDI</v>
          </cell>
          <cell r="L2330">
            <v>3192</v>
          </cell>
          <cell r="N2330" t="str">
            <v>Production</v>
          </cell>
          <cell r="O2330" t="str">
            <v>No</v>
          </cell>
          <cell r="Q2330" t="str">
            <v>Live</v>
          </cell>
          <cell r="R2330">
            <v>45475.62400462963</v>
          </cell>
          <cell r="S2330" t="str">
            <v>Ahmed Ali</v>
          </cell>
          <cell r="T2330">
            <v>45494</v>
          </cell>
          <cell r="U2330" t="str">
            <v>Robbie Schappell</v>
          </cell>
          <cell r="V2330">
            <v>45601</v>
          </cell>
          <cell r="W2330">
            <v>45726</v>
          </cell>
          <cell r="Y2330">
            <v>45490</v>
          </cell>
          <cell r="AC2330">
            <v>45725</v>
          </cell>
        </row>
        <row r="2331">
          <cell r="I2331" t="str">
            <v>EDI</v>
          </cell>
          <cell r="L2331">
            <v>3220</v>
          </cell>
          <cell r="N2331" t="str">
            <v>Testing</v>
          </cell>
          <cell r="O2331" t="str">
            <v>No</v>
          </cell>
          <cell r="Q2331" t="str">
            <v>Cancelled</v>
          </cell>
          <cell r="R2331">
            <v>45475.62400462963</v>
          </cell>
          <cell r="S2331" t="str">
            <v>Mina George</v>
          </cell>
          <cell r="T2331">
            <v>45498</v>
          </cell>
          <cell r="U2331" t="str">
            <v>Robbie Schappell</v>
          </cell>
          <cell r="V2331">
            <v>45551</v>
          </cell>
          <cell r="Y2331">
            <v>45497</v>
          </cell>
        </row>
        <row r="2332">
          <cell r="I2332" t="str">
            <v>EDI</v>
          </cell>
          <cell r="L2332">
            <v>3182</v>
          </cell>
          <cell r="N2332" t="str">
            <v>Production</v>
          </cell>
          <cell r="O2332" t="str">
            <v>No</v>
          </cell>
          <cell r="Q2332" t="str">
            <v>Live</v>
          </cell>
          <cell r="R2332">
            <v>45475.623993055553</v>
          </cell>
          <cell r="S2332" t="str">
            <v>Aya Fathy</v>
          </cell>
          <cell r="T2332">
            <v>45488</v>
          </cell>
          <cell r="U2332" t="str">
            <v>Robbie Schappell</v>
          </cell>
          <cell r="V2332">
            <v>45587</v>
          </cell>
          <cell r="W2332">
            <v>45629</v>
          </cell>
          <cell r="Y2332">
            <v>45484</v>
          </cell>
          <cell r="AC2332">
            <v>45622</v>
          </cell>
        </row>
        <row r="2333">
          <cell r="I2333" t="str">
            <v>EDI</v>
          </cell>
          <cell r="L2333">
            <v>3181</v>
          </cell>
          <cell r="N2333" t="str">
            <v>Production</v>
          </cell>
          <cell r="O2333" t="str">
            <v>No</v>
          </cell>
          <cell r="Q2333" t="str">
            <v>Live</v>
          </cell>
          <cell r="R2333">
            <v>45475.586574074077</v>
          </cell>
          <cell r="S2333" t="str">
            <v>Mahmoud Ashraf</v>
          </cell>
          <cell r="T2333">
            <v>45483</v>
          </cell>
          <cell r="U2333" t="str">
            <v>Trish Kalinczok</v>
          </cell>
          <cell r="V2333">
            <v>45497</v>
          </cell>
          <cell r="W2333">
            <v>45516</v>
          </cell>
          <cell r="Y2333">
            <v>45481</v>
          </cell>
          <cell r="AC2333">
            <v>45515</v>
          </cell>
        </row>
        <row r="2334">
          <cell r="I2334" t="str">
            <v>Forms</v>
          </cell>
          <cell r="L2334" t="str">
            <v>[3160]</v>
          </cell>
          <cell r="N2334" t="str">
            <v>Production</v>
          </cell>
          <cell r="O2334" t="str">
            <v>Everything Benefits</v>
          </cell>
          <cell r="P2334" t="str">
            <v>Production</v>
          </cell>
          <cell r="Q2334" t="str">
            <v>Cancelled</v>
          </cell>
          <cell r="R2334">
            <v>45471.906886574077</v>
          </cell>
          <cell r="S2334" t="str">
            <v>Reem Radwan</v>
          </cell>
          <cell r="T2334">
            <v>45475</v>
          </cell>
          <cell r="U2334" t="str">
            <v>Matt Howell</v>
          </cell>
          <cell r="AC2334">
            <v>45721</v>
          </cell>
        </row>
        <row r="2335">
          <cell r="I2335" t="str">
            <v>EDI</v>
          </cell>
          <cell r="N2335" t="str">
            <v>Pending Start</v>
          </cell>
          <cell r="O2335" t="str">
            <v>Everything Benefits</v>
          </cell>
          <cell r="P2335" t="str">
            <v>Phase 1 - Map Built</v>
          </cell>
          <cell r="Q2335" t="str">
            <v>Cancelled</v>
          </cell>
          <cell r="R2335">
            <v>45471.906875000001</v>
          </cell>
          <cell r="U2335" t="str">
            <v>Matt Howell</v>
          </cell>
        </row>
        <row r="2336">
          <cell r="I2336" t="str">
            <v>EDI</v>
          </cell>
          <cell r="L2336">
            <v>3163</v>
          </cell>
          <cell r="N2336" t="str">
            <v>Production</v>
          </cell>
          <cell r="O2336" t="str">
            <v>No</v>
          </cell>
          <cell r="Q2336" t="str">
            <v>Live</v>
          </cell>
          <cell r="R2336">
            <v>45471.609293981477</v>
          </cell>
          <cell r="S2336" t="str">
            <v>Mirna Azmy</v>
          </cell>
          <cell r="T2336">
            <v>45476</v>
          </cell>
          <cell r="U2336" t="str">
            <v>Hans De Grouw</v>
          </cell>
          <cell r="V2336">
            <v>45476</v>
          </cell>
          <cell r="W2336">
            <v>45799</v>
          </cell>
          <cell r="Y2336">
            <v>45473</v>
          </cell>
          <cell r="AC2336">
            <v>45797</v>
          </cell>
        </row>
        <row r="2337">
          <cell r="I2337" t="str">
            <v>EDI</v>
          </cell>
          <cell r="L2337">
            <v>3397</v>
          </cell>
          <cell r="N2337" t="str">
            <v>Production</v>
          </cell>
          <cell r="O2337" t="str">
            <v>No</v>
          </cell>
          <cell r="Q2337" t="str">
            <v>Live</v>
          </cell>
          <cell r="R2337">
            <v>45470.928668981483</v>
          </cell>
          <cell r="S2337" t="str">
            <v>Hazem Rostom</v>
          </cell>
          <cell r="T2337">
            <v>45595</v>
          </cell>
          <cell r="U2337" t="str">
            <v>Tammy Davies</v>
          </cell>
          <cell r="V2337">
            <v>45595</v>
          </cell>
          <cell r="W2337">
            <v>45817</v>
          </cell>
          <cell r="Y2337">
            <v>45595</v>
          </cell>
          <cell r="AC2337">
            <v>45817</v>
          </cell>
        </row>
        <row r="2338">
          <cell r="I2338" t="str">
            <v>EDI</v>
          </cell>
          <cell r="L2338">
            <v>3173</v>
          </cell>
          <cell r="N2338" t="str">
            <v>Production</v>
          </cell>
          <cell r="O2338" t="str">
            <v>No</v>
          </cell>
          <cell r="Q2338" t="str">
            <v>Live</v>
          </cell>
          <cell r="R2338">
            <v>45470.928668981483</v>
          </cell>
          <cell r="S2338" t="str">
            <v>Aya Fathy</v>
          </cell>
          <cell r="T2338">
            <v>45482</v>
          </cell>
          <cell r="U2338" t="str">
            <v>Tammy Davies</v>
          </cell>
          <cell r="V2338">
            <v>45508</v>
          </cell>
          <cell r="W2338">
            <v>45544</v>
          </cell>
          <cell r="Y2338">
            <v>45476</v>
          </cell>
          <cell r="AC2338">
            <v>45540</v>
          </cell>
        </row>
        <row r="2339">
          <cell r="I2339" t="str">
            <v>EDI</v>
          </cell>
          <cell r="L2339">
            <v>3164</v>
          </cell>
          <cell r="N2339" t="str">
            <v>Production</v>
          </cell>
          <cell r="O2339" t="str">
            <v>No</v>
          </cell>
          <cell r="Q2339" t="str">
            <v>Live</v>
          </cell>
          <cell r="R2339">
            <v>45470.75340277778</v>
          </cell>
          <cell r="S2339" t="str">
            <v>Omnia Abdelaziz</v>
          </cell>
          <cell r="T2339">
            <v>45475</v>
          </cell>
          <cell r="U2339" t="str">
            <v>Amy Bergstrom</v>
          </cell>
          <cell r="V2339">
            <v>45496</v>
          </cell>
          <cell r="W2339">
            <v>45526</v>
          </cell>
          <cell r="Y2339">
            <v>45474</v>
          </cell>
          <cell r="AC2339">
            <v>45518</v>
          </cell>
        </row>
        <row r="2340">
          <cell r="I2340" t="str">
            <v>EDI</v>
          </cell>
          <cell r="L2340">
            <v>3185</v>
          </cell>
          <cell r="N2340" t="str">
            <v>Production</v>
          </cell>
          <cell r="O2340" t="str">
            <v>No</v>
          </cell>
          <cell r="Q2340" t="str">
            <v>Cancelled</v>
          </cell>
          <cell r="R2340">
            <v>45470.602048611108</v>
          </cell>
          <cell r="S2340" t="str">
            <v>Ahmed Ali</v>
          </cell>
          <cell r="T2340">
            <v>45490</v>
          </cell>
          <cell r="U2340" t="str">
            <v>Robbie Schappell</v>
          </cell>
          <cell r="V2340">
            <v>45510</v>
          </cell>
          <cell r="W2340">
            <v>45538</v>
          </cell>
          <cell r="Y2340">
            <v>45489</v>
          </cell>
          <cell r="AC2340">
            <v>45536</v>
          </cell>
        </row>
        <row r="2341">
          <cell r="I2341" t="str">
            <v>EDI</v>
          </cell>
          <cell r="L2341">
            <v>3209</v>
          </cell>
          <cell r="N2341" t="str">
            <v>Production</v>
          </cell>
          <cell r="O2341" t="str">
            <v>No</v>
          </cell>
          <cell r="Q2341" t="str">
            <v>Live</v>
          </cell>
          <cell r="R2341">
            <v>45469.890706018523</v>
          </cell>
          <cell r="S2341" t="str">
            <v>Aya Fathy</v>
          </cell>
          <cell r="T2341">
            <v>45503</v>
          </cell>
          <cell r="U2341" t="str">
            <v>Trish Kalinczok</v>
          </cell>
          <cell r="V2341">
            <v>45526</v>
          </cell>
          <cell r="W2341">
            <v>45544</v>
          </cell>
          <cell r="Y2341">
            <v>45501</v>
          </cell>
          <cell r="AC2341">
            <v>45543</v>
          </cell>
        </row>
        <row r="2342">
          <cell r="I2342" t="str">
            <v>EDI</v>
          </cell>
          <cell r="L2342">
            <v>3165</v>
          </cell>
          <cell r="N2342" t="str">
            <v>Production</v>
          </cell>
          <cell r="O2342" t="str">
            <v>No</v>
          </cell>
          <cell r="Q2342" t="str">
            <v>Live</v>
          </cell>
          <cell r="R2342">
            <v>45469.890694444453</v>
          </cell>
          <cell r="S2342" t="str">
            <v>Mahmoud Ashraf</v>
          </cell>
          <cell r="T2342">
            <v>45475</v>
          </cell>
          <cell r="U2342" t="str">
            <v>Trish Kalinczok</v>
          </cell>
          <cell r="V2342">
            <v>45484</v>
          </cell>
          <cell r="W2342">
            <v>45551</v>
          </cell>
          <cell r="Y2342">
            <v>45474</v>
          </cell>
          <cell r="AC2342">
            <v>45546</v>
          </cell>
        </row>
        <row r="2343">
          <cell r="I2343" t="str">
            <v>EDI</v>
          </cell>
          <cell r="L2343">
            <v>3174</v>
          </cell>
          <cell r="N2343" t="str">
            <v>Production</v>
          </cell>
          <cell r="O2343" t="str">
            <v>No</v>
          </cell>
          <cell r="Q2343" t="str">
            <v>Live</v>
          </cell>
          <cell r="R2343">
            <v>45469.890694444453</v>
          </cell>
          <cell r="S2343" t="str">
            <v>Mina George</v>
          </cell>
          <cell r="T2343">
            <v>45476</v>
          </cell>
          <cell r="U2343" t="str">
            <v>Trish Kalinczok</v>
          </cell>
          <cell r="V2343">
            <v>45484</v>
          </cell>
          <cell r="W2343">
            <v>45523</v>
          </cell>
          <cell r="Y2343">
            <v>45475</v>
          </cell>
          <cell r="AC2343">
            <v>45523</v>
          </cell>
        </row>
        <row r="2344">
          <cell r="I2344" t="str">
            <v>EDI</v>
          </cell>
          <cell r="L2344">
            <v>3217</v>
          </cell>
          <cell r="N2344" t="str">
            <v>Testing</v>
          </cell>
          <cell r="O2344" t="str">
            <v>Everything Benefits</v>
          </cell>
          <cell r="P2344" t="str">
            <v>Migration Testing</v>
          </cell>
          <cell r="Q2344" t="str">
            <v>Cancelled</v>
          </cell>
          <cell r="R2344">
            <v>45469.749050925922</v>
          </cell>
          <cell r="S2344" t="str">
            <v>Alaa Yehia</v>
          </cell>
          <cell r="T2344">
            <v>45504</v>
          </cell>
          <cell r="U2344" t="str">
            <v>Carolina Tanoue</v>
          </cell>
          <cell r="V2344">
            <v>45518</v>
          </cell>
          <cell r="Y2344">
            <v>45497</v>
          </cell>
        </row>
        <row r="2345">
          <cell r="I2345" t="str">
            <v>EDI</v>
          </cell>
          <cell r="L2345">
            <v>3226</v>
          </cell>
          <cell r="N2345" t="str">
            <v>Production</v>
          </cell>
          <cell r="O2345" t="str">
            <v>Everything Benefits</v>
          </cell>
          <cell r="P2345" t="str">
            <v>Production</v>
          </cell>
          <cell r="Q2345" t="str">
            <v>Cancelled</v>
          </cell>
          <cell r="R2345">
            <v>45469.749039351853</v>
          </cell>
          <cell r="S2345" t="str">
            <v>Karen Ramy</v>
          </cell>
          <cell r="T2345">
            <v>45490</v>
          </cell>
          <cell r="U2345" t="str">
            <v>Carolina Tanoue</v>
          </cell>
          <cell r="V2345">
            <v>45526</v>
          </cell>
          <cell r="W2345">
            <v>45642</v>
          </cell>
          <cell r="Y2345">
            <v>45481</v>
          </cell>
          <cell r="AC2345">
            <v>45641</v>
          </cell>
        </row>
        <row r="2346">
          <cell r="I2346" t="str">
            <v>EDI</v>
          </cell>
          <cell r="L2346">
            <v>3190</v>
          </cell>
          <cell r="N2346" t="str">
            <v>Production</v>
          </cell>
          <cell r="O2346" t="str">
            <v>No</v>
          </cell>
          <cell r="Q2346" t="str">
            <v>Cancelled</v>
          </cell>
          <cell r="R2346">
            <v>45469.749039351853</v>
          </cell>
          <cell r="S2346" t="str">
            <v>Mina Adel</v>
          </cell>
          <cell r="T2346">
            <v>45481</v>
          </cell>
          <cell r="U2346" t="str">
            <v>Carolina Tanoue</v>
          </cell>
          <cell r="V2346">
            <v>45516</v>
          </cell>
          <cell r="W2346">
            <v>45558</v>
          </cell>
          <cell r="Y2346">
            <v>45480</v>
          </cell>
          <cell r="AC2346">
            <v>45553</v>
          </cell>
        </row>
        <row r="2347">
          <cell r="I2347" t="str">
            <v>EDI</v>
          </cell>
          <cell r="L2347">
            <v>3161</v>
          </cell>
          <cell r="N2347" t="str">
            <v>Production</v>
          </cell>
          <cell r="O2347" t="str">
            <v>Everything Benefits</v>
          </cell>
          <cell r="P2347" t="str">
            <v>Production</v>
          </cell>
          <cell r="Q2347" t="str">
            <v>Cancelled</v>
          </cell>
          <cell r="R2347">
            <v>45469.749039351853</v>
          </cell>
          <cell r="S2347" t="str">
            <v>Mirna Azmy</v>
          </cell>
          <cell r="T2347">
            <v>45475</v>
          </cell>
          <cell r="U2347" t="str">
            <v>Carolina Tanoue</v>
          </cell>
          <cell r="V2347">
            <v>45502</v>
          </cell>
          <cell r="W2347">
            <v>45526</v>
          </cell>
          <cell r="Y2347">
            <v>45472</v>
          </cell>
          <cell r="AC2347">
            <v>45519</v>
          </cell>
        </row>
        <row r="2348">
          <cell r="I2348" t="str">
            <v>EDI</v>
          </cell>
          <cell r="L2348">
            <v>3171</v>
          </cell>
          <cell r="N2348" t="str">
            <v>Production</v>
          </cell>
          <cell r="O2348" t="str">
            <v>No</v>
          </cell>
          <cell r="Q2348" t="str">
            <v>Live</v>
          </cell>
          <cell r="R2348">
            <v>45468.678993055553</v>
          </cell>
          <cell r="S2348" t="str">
            <v>Joseph Atef</v>
          </cell>
          <cell r="T2348">
            <v>45475</v>
          </cell>
          <cell r="U2348" t="str">
            <v>Trish Kalinczok</v>
          </cell>
          <cell r="V2348">
            <v>45490</v>
          </cell>
          <cell r="W2348">
            <v>45519</v>
          </cell>
          <cell r="Y2348">
            <v>45468</v>
          </cell>
          <cell r="AC2348">
            <v>45517</v>
          </cell>
        </row>
        <row r="2349">
          <cell r="I2349" t="str">
            <v>EDI</v>
          </cell>
          <cell r="L2349">
            <v>3158</v>
          </cell>
          <cell r="N2349" t="str">
            <v>Production</v>
          </cell>
          <cell r="O2349" t="str">
            <v>No</v>
          </cell>
          <cell r="Q2349" t="str">
            <v>Live</v>
          </cell>
          <cell r="R2349">
            <v>45467.919664351852</v>
          </cell>
          <cell r="S2349" t="str">
            <v>Ahmed Ali</v>
          </cell>
          <cell r="T2349">
            <v>45475</v>
          </cell>
          <cell r="U2349" t="str">
            <v>Trish Kalinczok</v>
          </cell>
          <cell r="V2349">
            <v>45486</v>
          </cell>
          <cell r="W2349">
            <v>45502</v>
          </cell>
          <cell r="Y2349">
            <v>45470</v>
          </cell>
          <cell r="AC2349">
            <v>45498</v>
          </cell>
        </row>
        <row r="2350">
          <cell r="I2350" t="str">
            <v>EDI</v>
          </cell>
          <cell r="L2350">
            <v>3150</v>
          </cell>
          <cell r="N2350" t="str">
            <v>Production</v>
          </cell>
          <cell r="O2350" t="str">
            <v>No</v>
          </cell>
          <cell r="Q2350" t="str">
            <v>Live</v>
          </cell>
          <cell r="R2350">
            <v>45467.898425925923</v>
          </cell>
          <cell r="S2350" t="str">
            <v>Aya Fathy</v>
          </cell>
          <cell r="T2350">
            <v>45470</v>
          </cell>
          <cell r="U2350" t="str">
            <v>Trish Kalinczok</v>
          </cell>
          <cell r="V2350">
            <v>45488</v>
          </cell>
          <cell r="W2350">
            <v>45537</v>
          </cell>
          <cell r="Y2350">
            <v>45468</v>
          </cell>
          <cell r="AC2350">
            <v>45534</v>
          </cell>
        </row>
        <row r="2351">
          <cell r="I2351" t="str">
            <v>EDI</v>
          </cell>
          <cell r="L2351">
            <v>3157</v>
          </cell>
          <cell r="N2351" t="str">
            <v>Production</v>
          </cell>
          <cell r="O2351" t="str">
            <v>No</v>
          </cell>
          <cell r="Q2351" t="str">
            <v>Live</v>
          </cell>
          <cell r="R2351">
            <v>45467.888287037043</v>
          </cell>
          <cell r="S2351" t="str">
            <v>Mina George</v>
          </cell>
          <cell r="T2351">
            <v>45469</v>
          </cell>
          <cell r="U2351" t="str">
            <v>Trish Kalinczok</v>
          </cell>
          <cell r="V2351">
            <v>45491</v>
          </cell>
          <cell r="W2351">
            <v>45498</v>
          </cell>
          <cell r="Y2351">
            <v>45468</v>
          </cell>
          <cell r="AC2351">
            <v>45497</v>
          </cell>
        </row>
        <row r="2352">
          <cell r="I2352" t="str">
            <v>EDI</v>
          </cell>
          <cell r="L2352">
            <v>3168</v>
          </cell>
          <cell r="N2352" t="str">
            <v>Production</v>
          </cell>
          <cell r="O2352" t="str">
            <v>No</v>
          </cell>
          <cell r="Q2352" t="str">
            <v>Live</v>
          </cell>
          <cell r="R2352">
            <v>45467.886481481481</v>
          </cell>
          <cell r="S2352" t="str">
            <v>Mina Adel</v>
          </cell>
          <cell r="T2352">
            <v>45468</v>
          </cell>
          <cell r="U2352" t="str">
            <v>Trish Kalinczok</v>
          </cell>
          <cell r="W2352">
            <v>45494</v>
          </cell>
          <cell r="Y2352">
            <v>45468</v>
          </cell>
          <cell r="AC2352">
            <v>45494</v>
          </cell>
        </row>
        <row r="2353">
          <cell r="I2353" t="str">
            <v>EDI</v>
          </cell>
          <cell r="L2353">
            <v>3169</v>
          </cell>
          <cell r="N2353" t="str">
            <v>Production</v>
          </cell>
          <cell r="O2353" t="str">
            <v>No</v>
          </cell>
          <cell r="Q2353" t="str">
            <v>Cancelled</v>
          </cell>
          <cell r="R2353">
            <v>45467.852546296293</v>
          </cell>
          <cell r="S2353" t="str">
            <v>Andrew Ramy</v>
          </cell>
          <cell r="T2353">
            <v>45475</v>
          </cell>
          <cell r="U2353" t="str">
            <v>Trish Kalinczok</v>
          </cell>
          <cell r="V2353">
            <v>45484</v>
          </cell>
          <cell r="W2353">
            <v>45509</v>
          </cell>
          <cell r="Y2353">
            <v>45468</v>
          </cell>
          <cell r="AC2353">
            <v>45505</v>
          </cell>
        </row>
        <row r="2354">
          <cell r="I2354" t="str">
            <v>EDI</v>
          </cell>
          <cell r="L2354">
            <v>3166</v>
          </cell>
          <cell r="N2354" t="str">
            <v>Production</v>
          </cell>
          <cell r="O2354" t="str">
            <v>No</v>
          </cell>
          <cell r="Q2354" t="str">
            <v>Cancelled</v>
          </cell>
          <cell r="R2354">
            <v>45467.852534722217</v>
          </cell>
          <cell r="S2354" t="str">
            <v>Noha Moustafa</v>
          </cell>
          <cell r="T2354">
            <v>45475</v>
          </cell>
          <cell r="U2354" t="str">
            <v>Trish Kalinczok</v>
          </cell>
          <cell r="V2354">
            <v>45498</v>
          </cell>
          <cell r="W2354">
            <v>45523</v>
          </cell>
          <cell r="Y2354">
            <v>45473</v>
          </cell>
          <cell r="AC2354">
            <v>45519</v>
          </cell>
        </row>
        <row r="2355">
          <cell r="I2355" t="str">
            <v>EDI</v>
          </cell>
          <cell r="L2355">
            <v>3162</v>
          </cell>
          <cell r="N2355" t="str">
            <v>Production</v>
          </cell>
          <cell r="O2355" t="str">
            <v>No</v>
          </cell>
          <cell r="Q2355" t="str">
            <v>Live</v>
          </cell>
          <cell r="R2355">
            <v>45463.871701388889</v>
          </cell>
          <cell r="S2355" t="str">
            <v>Mirna Azmy</v>
          </cell>
          <cell r="T2355">
            <v>45476</v>
          </cell>
          <cell r="U2355" t="str">
            <v>Trish Kalinczok</v>
          </cell>
          <cell r="V2355">
            <v>45481</v>
          </cell>
          <cell r="W2355">
            <v>45488</v>
          </cell>
          <cell r="Y2355">
            <v>45476</v>
          </cell>
          <cell r="AC2355">
            <v>45488</v>
          </cell>
        </row>
        <row r="2356">
          <cell r="I2356" t="str">
            <v>EDI</v>
          </cell>
          <cell r="L2356">
            <v>3132</v>
          </cell>
          <cell r="N2356" t="str">
            <v>Pending Start</v>
          </cell>
          <cell r="O2356" t="str">
            <v>No</v>
          </cell>
          <cell r="Q2356" t="str">
            <v>Blocked</v>
          </cell>
          <cell r="R2356">
            <v>45463.357129629629</v>
          </cell>
          <cell r="U2356" t="str">
            <v>Sherry Nazih Isolved Super Admin</v>
          </cell>
        </row>
        <row r="2357">
          <cell r="I2357" t="str">
            <v>EDI</v>
          </cell>
          <cell r="L2357">
            <v>3131</v>
          </cell>
          <cell r="N2357" t="str">
            <v>Pending Start</v>
          </cell>
          <cell r="O2357" t="str">
            <v>No</v>
          </cell>
          <cell r="Q2357" t="str">
            <v>Blocked</v>
          </cell>
          <cell r="R2357">
            <v>45463.346712962957</v>
          </cell>
          <cell r="U2357" t="str">
            <v>Sherry Nazih Internal Isolved</v>
          </cell>
        </row>
        <row r="2358">
          <cell r="I2358" t="str">
            <v>EDI</v>
          </cell>
          <cell r="L2358">
            <v>3148</v>
          </cell>
          <cell r="N2358" t="str">
            <v>Production</v>
          </cell>
          <cell r="O2358" t="str">
            <v>No</v>
          </cell>
          <cell r="Q2358" t="str">
            <v>Live</v>
          </cell>
          <cell r="R2358">
            <v>45462.862326388888</v>
          </cell>
          <cell r="S2358" t="str">
            <v>Andrew Ramy</v>
          </cell>
          <cell r="T2358">
            <v>45470</v>
          </cell>
          <cell r="U2358" t="str">
            <v>Trish Kalinczok</v>
          </cell>
          <cell r="V2358">
            <v>45533</v>
          </cell>
          <cell r="W2358">
            <v>45614</v>
          </cell>
          <cell r="Y2358">
            <v>45468</v>
          </cell>
          <cell r="AC2358">
            <v>45679</v>
          </cell>
        </row>
        <row r="2359">
          <cell r="I2359" t="str">
            <v>EDI</v>
          </cell>
          <cell r="L2359">
            <v>3285</v>
          </cell>
          <cell r="N2359" t="str">
            <v>Production</v>
          </cell>
          <cell r="O2359" t="str">
            <v>No</v>
          </cell>
          <cell r="Q2359" t="str">
            <v>Cancelled</v>
          </cell>
          <cell r="R2359">
            <v>45462.847129629627</v>
          </cell>
          <cell r="S2359" t="str">
            <v>Aya Fathy</v>
          </cell>
          <cell r="T2359">
            <v>45536</v>
          </cell>
          <cell r="U2359" t="str">
            <v>Trish Kalinczok</v>
          </cell>
          <cell r="V2359">
            <v>25569</v>
          </cell>
          <cell r="W2359">
            <v>45614</v>
          </cell>
          <cell r="Y2359">
            <v>45533</v>
          </cell>
          <cell r="AC2359">
            <v>45613</v>
          </cell>
        </row>
        <row r="2360">
          <cell r="I2360" t="str">
            <v>EDI</v>
          </cell>
          <cell r="L2360">
            <v>3210</v>
          </cell>
          <cell r="N2360" t="str">
            <v>Production</v>
          </cell>
          <cell r="O2360" t="str">
            <v>No</v>
          </cell>
          <cell r="Q2360" t="str">
            <v>Live</v>
          </cell>
          <cell r="R2360">
            <v>45460.890324074076</v>
          </cell>
          <cell r="S2360" t="str">
            <v>Mina Adel</v>
          </cell>
          <cell r="T2360">
            <v>45498</v>
          </cell>
          <cell r="U2360" t="str">
            <v>Trish Kalinczok</v>
          </cell>
          <cell r="V2360">
            <v>45509</v>
          </cell>
          <cell r="W2360">
            <v>45607</v>
          </cell>
          <cell r="Y2360">
            <v>45496</v>
          </cell>
          <cell r="AC2360">
            <v>45601</v>
          </cell>
        </row>
        <row r="2361">
          <cell r="I2361" t="str">
            <v>EDI</v>
          </cell>
          <cell r="L2361">
            <v>3143</v>
          </cell>
          <cell r="N2361" t="str">
            <v>Production</v>
          </cell>
          <cell r="O2361" t="str">
            <v>No</v>
          </cell>
          <cell r="Q2361" t="str">
            <v>Live</v>
          </cell>
          <cell r="R2361">
            <v>45460.8903125</v>
          </cell>
          <cell r="S2361" t="str">
            <v>Ahmed Ali</v>
          </cell>
          <cell r="T2361">
            <v>45469</v>
          </cell>
          <cell r="U2361" t="str">
            <v>Trish Kalinczok</v>
          </cell>
          <cell r="V2361">
            <v>45481</v>
          </cell>
          <cell r="W2361">
            <v>45502</v>
          </cell>
          <cell r="Y2361">
            <v>45464</v>
          </cell>
          <cell r="AC2361">
            <v>45496</v>
          </cell>
        </row>
        <row r="2362">
          <cell r="I2362" t="str">
            <v>EDI</v>
          </cell>
          <cell r="N2362" t="str">
            <v>Resource Assignment</v>
          </cell>
          <cell r="O2362" t="str">
            <v>No</v>
          </cell>
          <cell r="Q2362" t="str">
            <v>Cancelled</v>
          </cell>
          <cell r="R2362">
            <v>45460.8903125</v>
          </cell>
          <cell r="S2362" t="str">
            <v>Dina Medhat</v>
          </cell>
          <cell r="T2362">
            <v>45464</v>
          </cell>
          <cell r="U2362" t="str">
            <v>Trish Kalinczok</v>
          </cell>
          <cell r="Y2362">
            <v>45464</v>
          </cell>
        </row>
        <row r="2363">
          <cell r="I2363" t="str">
            <v>EDI</v>
          </cell>
          <cell r="L2363">
            <v>3137</v>
          </cell>
          <cell r="N2363" t="str">
            <v>Production</v>
          </cell>
          <cell r="O2363" t="str">
            <v>Everything Benefits</v>
          </cell>
          <cell r="P2363" t="str">
            <v>Production</v>
          </cell>
          <cell r="Q2363" t="str">
            <v>Cancelled</v>
          </cell>
          <cell r="R2363">
            <v>45456.455879629633</v>
          </cell>
          <cell r="S2363" t="str">
            <v>Hazem Rostom</v>
          </cell>
          <cell r="T2363">
            <v>45456</v>
          </cell>
          <cell r="U2363" t="str">
            <v>Trish Kalinczok</v>
          </cell>
          <cell r="W2363">
            <v>45582</v>
          </cell>
          <cell r="AC2363">
            <v>45571</v>
          </cell>
        </row>
        <row r="2364">
          <cell r="I2364" t="str">
            <v>EDI</v>
          </cell>
          <cell r="L2364">
            <v>3138</v>
          </cell>
          <cell r="N2364" t="str">
            <v>Production</v>
          </cell>
          <cell r="O2364" t="str">
            <v>Everything Benefits</v>
          </cell>
          <cell r="P2364" t="str">
            <v>Production</v>
          </cell>
          <cell r="Q2364" t="str">
            <v>Cancelled</v>
          </cell>
          <cell r="R2364">
            <v>45456.447546296287</v>
          </cell>
          <cell r="S2364" t="str">
            <v>Hazem Rostom</v>
          </cell>
          <cell r="T2364">
            <v>45456</v>
          </cell>
          <cell r="U2364" t="str">
            <v>Trish Kalinczok</v>
          </cell>
          <cell r="W2364">
            <v>45575</v>
          </cell>
          <cell r="AC2364">
            <v>45571</v>
          </cell>
        </row>
        <row r="2365">
          <cell r="I2365" t="str">
            <v>EDI</v>
          </cell>
          <cell r="L2365">
            <v>3155</v>
          </cell>
          <cell r="N2365" t="str">
            <v>Production</v>
          </cell>
          <cell r="O2365" t="str">
            <v>Everything Benefits</v>
          </cell>
          <cell r="P2365" t="str">
            <v>Production</v>
          </cell>
          <cell r="Q2365" t="str">
            <v>Cancelled</v>
          </cell>
          <cell r="R2365">
            <v>45456.444687499999</v>
          </cell>
          <cell r="S2365" t="str">
            <v>Hazem Rostom</v>
          </cell>
          <cell r="T2365">
            <v>45456</v>
          </cell>
          <cell r="U2365" t="str">
            <v>Trish Kalinczok</v>
          </cell>
          <cell r="V2365">
            <v>45495</v>
          </cell>
          <cell r="W2365">
            <v>45575</v>
          </cell>
          <cell r="AC2365">
            <v>45571</v>
          </cell>
        </row>
        <row r="2366">
          <cell r="I2366" t="str">
            <v>EDI</v>
          </cell>
          <cell r="L2366">
            <v>3156</v>
          </cell>
          <cell r="N2366" t="str">
            <v>Production</v>
          </cell>
          <cell r="O2366" t="str">
            <v>Everything Benefits</v>
          </cell>
          <cell r="P2366" t="str">
            <v>Production</v>
          </cell>
          <cell r="Q2366" t="str">
            <v>Cancelled</v>
          </cell>
          <cell r="R2366">
            <v>45456.441018518519</v>
          </cell>
          <cell r="S2366" t="str">
            <v>Hazem Rostom</v>
          </cell>
          <cell r="T2366">
            <v>45456</v>
          </cell>
          <cell r="U2366" t="str">
            <v>Trish Kalinczok</v>
          </cell>
          <cell r="V2366">
            <v>45495</v>
          </cell>
          <cell r="W2366">
            <v>45574</v>
          </cell>
          <cell r="AC2366">
            <v>45571</v>
          </cell>
        </row>
        <row r="2367">
          <cell r="I2367" t="str">
            <v>EDI</v>
          </cell>
          <cell r="L2367">
            <v>3203</v>
          </cell>
          <cell r="N2367" t="str">
            <v>Testing</v>
          </cell>
          <cell r="O2367" t="str">
            <v>No</v>
          </cell>
          <cell r="Q2367" t="str">
            <v>Cancelled</v>
          </cell>
          <cell r="R2367">
            <v>45455.605138888888</v>
          </cell>
          <cell r="S2367" t="str">
            <v>Aya Fathy</v>
          </cell>
          <cell r="T2367">
            <v>45498</v>
          </cell>
          <cell r="U2367" t="str">
            <v>Hans De Grouw</v>
          </cell>
          <cell r="V2367">
            <v>45526</v>
          </cell>
          <cell r="Y2367">
            <v>45497</v>
          </cell>
        </row>
        <row r="2368">
          <cell r="I2368" t="str">
            <v>EDI</v>
          </cell>
          <cell r="L2368">
            <v>3175</v>
          </cell>
          <cell r="N2368" t="str">
            <v>Production</v>
          </cell>
          <cell r="O2368" t="str">
            <v>No</v>
          </cell>
          <cell r="Q2368" t="str">
            <v>Live</v>
          </cell>
          <cell r="R2368">
            <v>45455.586238425924</v>
          </cell>
          <cell r="S2368" t="str">
            <v>Andrew Ramy</v>
          </cell>
          <cell r="T2368">
            <v>45481</v>
          </cell>
          <cell r="U2368" t="str">
            <v>Trish Kalinczok</v>
          </cell>
          <cell r="V2368">
            <v>45495</v>
          </cell>
          <cell r="W2368">
            <v>45589</v>
          </cell>
          <cell r="Y2368">
            <v>45481</v>
          </cell>
          <cell r="AC2368">
            <v>45582</v>
          </cell>
        </row>
        <row r="2369">
          <cell r="I2369" t="str">
            <v>EDI</v>
          </cell>
          <cell r="N2369" t="str">
            <v>Pending Start</v>
          </cell>
          <cell r="O2369" t="str">
            <v>No</v>
          </cell>
          <cell r="Q2369" t="str">
            <v>Cancelled</v>
          </cell>
          <cell r="R2369">
            <v>45454.573761574073</v>
          </cell>
          <cell r="U2369" t="str">
            <v>Matt Howell</v>
          </cell>
        </row>
        <row r="2370">
          <cell r="I2370" t="str">
            <v>Forms</v>
          </cell>
          <cell r="L2370" t="str">
            <v>[3117]</v>
          </cell>
          <cell r="N2370" t="str">
            <v>Production</v>
          </cell>
          <cell r="O2370" t="str">
            <v>No</v>
          </cell>
          <cell r="Q2370" t="str">
            <v>Blocked</v>
          </cell>
          <cell r="R2370">
            <v>45453.885497685187</v>
          </cell>
          <cell r="S2370" t="str">
            <v>Testing User</v>
          </cell>
          <cell r="T2370">
            <v>45488</v>
          </cell>
          <cell r="U2370" t="str">
            <v>Testing User</v>
          </cell>
          <cell r="AC2370">
            <v>45853</v>
          </cell>
        </row>
        <row r="2371">
          <cell r="I2371" t="str">
            <v>EDI</v>
          </cell>
          <cell r="L2371">
            <v>3153</v>
          </cell>
          <cell r="N2371" t="str">
            <v>Production</v>
          </cell>
          <cell r="O2371" t="str">
            <v>No</v>
          </cell>
          <cell r="Q2371" t="str">
            <v>Cancelled</v>
          </cell>
          <cell r="R2371">
            <v>45453.720891203702</v>
          </cell>
          <cell r="S2371" t="str">
            <v>Omnia Abdelaziz</v>
          </cell>
          <cell r="T2371">
            <v>45469</v>
          </cell>
          <cell r="U2371" t="str">
            <v>Hans De Grouw</v>
          </cell>
          <cell r="V2371">
            <v>45518</v>
          </cell>
          <cell r="W2371">
            <v>45531</v>
          </cell>
          <cell r="Y2371">
            <v>45455</v>
          </cell>
          <cell r="AC2371">
            <v>45526</v>
          </cell>
        </row>
        <row r="2372">
          <cell r="I2372" t="str">
            <v>EDI</v>
          </cell>
          <cell r="L2372">
            <v>3193</v>
          </cell>
          <cell r="N2372" t="str">
            <v>Production</v>
          </cell>
          <cell r="O2372" t="str">
            <v>No</v>
          </cell>
          <cell r="Q2372" t="str">
            <v>Cancelled</v>
          </cell>
          <cell r="R2372">
            <v>45450.810081018521</v>
          </cell>
          <cell r="S2372" t="str">
            <v>Mirna Azmy</v>
          </cell>
          <cell r="T2372">
            <v>45494</v>
          </cell>
          <cell r="U2372" t="str">
            <v>Hans De Grouw</v>
          </cell>
          <cell r="V2372">
            <v>45499</v>
          </cell>
          <cell r="W2372">
            <v>45531</v>
          </cell>
          <cell r="Y2372">
            <v>45490</v>
          </cell>
          <cell r="AC2372">
            <v>45525</v>
          </cell>
        </row>
        <row r="2373">
          <cell r="I2373" t="str">
            <v>EDI</v>
          </cell>
          <cell r="L2373">
            <v>3177</v>
          </cell>
          <cell r="N2373" t="str">
            <v>Production</v>
          </cell>
          <cell r="O2373" t="str">
            <v>No</v>
          </cell>
          <cell r="Q2373" t="str">
            <v>Cancelled</v>
          </cell>
          <cell r="R2373">
            <v>45450.810081018521</v>
          </cell>
          <cell r="S2373" t="str">
            <v>Andrew Ramy</v>
          </cell>
          <cell r="T2373">
            <v>45481</v>
          </cell>
          <cell r="U2373" t="str">
            <v>Hans De Grouw</v>
          </cell>
          <cell r="V2373">
            <v>45553</v>
          </cell>
          <cell r="W2373">
            <v>45566</v>
          </cell>
          <cell r="Y2373">
            <v>45476</v>
          </cell>
          <cell r="AC2373">
            <v>45566</v>
          </cell>
        </row>
        <row r="2374">
          <cell r="I2374" t="str">
            <v>EDI</v>
          </cell>
          <cell r="L2374">
            <v>3194</v>
          </cell>
          <cell r="N2374" t="str">
            <v>Production</v>
          </cell>
          <cell r="O2374" t="str">
            <v>No</v>
          </cell>
          <cell r="Q2374" t="str">
            <v>Cancelled</v>
          </cell>
          <cell r="R2374">
            <v>45450.810069444437</v>
          </cell>
          <cell r="S2374" t="str">
            <v>Noha Moustafa</v>
          </cell>
          <cell r="T2374">
            <v>45490</v>
          </cell>
          <cell r="U2374" t="str">
            <v>Hans De Grouw</v>
          </cell>
          <cell r="V2374">
            <v>45518</v>
          </cell>
          <cell r="W2374">
            <v>25569</v>
          </cell>
          <cell r="Y2374">
            <v>45488</v>
          </cell>
          <cell r="AC2374">
            <v>45592</v>
          </cell>
        </row>
        <row r="2375">
          <cell r="I2375" t="str">
            <v>EDI</v>
          </cell>
          <cell r="L2375">
            <v>3145</v>
          </cell>
          <cell r="N2375" t="str">
            <v>Production</v>
          </cell>
          <cell r="O2375" t="str">
            <v>No</v>
          </cell>
          <cell r="Q2375" t="str">
            <v>Live</v>
          </cell>
          <cell r="R2375">
            <v>45450.675578703696</v>
          </cell>
          <cell r="S2375" t="str">
            <v>Mahmoud Ashraf</v>
          </cell>
          <cell r="T2375">
            <v>45469</v>
          </cell>
          <cell r="U2375" t="str">
            <v>Hans De Grouw</v>
          </cell>
          <cell r="V2375">
            <v>45512</v>
          </cell>
          <cell r="W2375">
            <v>45722</v>
          </cell>
          <cell r="Y2375">
            <v>45464</v>
          </cell>
          <cell r="AC2375">
            <v>45707</v>
          </cell>
        </row>
        <row r="2376">
          <cell r="I2376" t="str">
            <v>EDI</v>
          </cell>
          <cell r="L2376">
            <v>3159</v>
          </cell>
          <cell r="N2376" t="str">
            <v>Production</v>
          </cell>
          <cell r="O2376" t="str">
            <v>No</v>
          </cell>
          <cell r="Q2376" t="str">
            <v>Live</v>
          </cell>
          <cell r="R2376">
            <v>45450.675567129627</v>
          </cell>
          <cell r="S2376" t="str">
            <v>Zeyad Khaled</v>
          </cell>
          <cell r="T2376">
            <v>45462</v>
          </cell>
          <cell r="U2376" t="str">
            <v>Hans De Grouw</v>
          </cell>
          <cell r="V2376">
            <v>45532</v>
          </cell>
          <cell r="W2376">
            <v>45596</v>
          </cell>
          <cell r="Y2376">
            <v>45455</v>
          </cell>
          <cell r="AC2376">
            <v>45593</v>
          </cell>
        </row>
        <row r="2377">
          <cell r="I2377" t="str">
            <v>EDI</v>
          </cell>
          <cell r="L2377">
            <v>3142</v>
          </cell>
          <cell r="N2377" t="str">
            <v>Production</v>
          </cell>
          <cell r="O2377" t="str">
            <v>No</v>
          </cell>
          <cell r="Q2377" t="str">
            <v>Live</v>
          </cell>
          <cell r="R2377">
            <v>45450.675567129627</v>
          </cell>
          <cell r="S2377" t="str">
            <v>Omnia Abdelaziz</v>
          </cell>
          <cell r="T2377">
            <v>45467</v>
          </cell>
          <cell r="U2377" t="str">
            <v>Robbie Schappell</v>
          </cell>
          <cell r="V2377">
            <v>45585</v>
          </cell>
          <cell r="W2377">
            <v>46079</v>
          </cell>
          <cell r="Y2377">
            <v>45455</v>
          </cell>
          <cell r="AC2377">
            <v>46077</v>
          </cell>
        </row>
        <row r="2378">
          <cell r="I2378" t="str">
            <v>EDI</v>
          </cell>
          <cell r="N2378" t="str">
            <v>Requirements Gathering</v>
          </cell>
          <cell r="O2378" t="str">
            <v>No</v>
          </cell>
          <cell r="Q2378" t="str">
            <v>Cancelled</v>
          </cell>
          <cell r="R2378">
            <v>45448.892337962963</v>
          </cell>
          <cell r="S2378" t="str">
            <v>Abdulrahman Tarek</v>
          </cell>
          <cell r="T2378">
            <v>45449</v>
          </cell>
          <cell r="U2378" t="str">
            <v>Trish Kalinczok</v>
          </cell>
        </row>
        <row r="2379">
          <cell r="I2379" t="str">
            <v>EDI</v>
          </cell>
          <cell r="N2379" t="str">
            <v>Requirements Gathering</v>
          </cell>
          <cell r="O2379" t="str">
            <v>No</v>
          </cell>
          <cell r="Q2379" t="str">
            <v>Cancelled</v>
          </cell>
          <cell r="R2379">
            <v>45448.89167824074</v>
          </cell>
          <cell r="S2379" t="str">
            <v>Abdulrahman Tarek</v>
          </cell>
          <cell r="T2379">
            <v>45449</v>
          </cell>
          <cell r="U2379" t="str">
            <v>Trish Kalinczok</v>
          </cell>
        </row>
        <row r="2380">
          <cell r="I2380" t="str">
            <v>EDI</v>
          </cell>
          <cell r="L2380">
            <v>3136</v>
          </cell>
          <cell r="N2380" t="str">
            <v>Production</v>
          </cell>
          <cell r="O2380" t="str">
            <v>No</v>
          </cell>
          <cell r="Q2380" t="str">
            <v>Live</v>
          </cell>
          <cell r="R2380">
            <v>45448.879224537042</v>
          </cell>
          <cell r="S2380" t="str">
            <v>Hazem Rostom</v>
          </cell>
          <cell r="T2380">
            <v>45462</v>
          </cell>
          <cell r="U2380" t="str">
            <v>Matt Howell</v>
          </cell>
          <cell r="V2380">
            <v>45488</v>
          </cell>
          <cell r="W2380">
            <v>45589</v>
          </cell>
          <cell r="Y2380">
            <v>45453</v>
          </cell>
          <cell r="AC2380">
            <v>45588</v>
          </cell>
        </row>
        <row r="2381">
          <cell r="I2381" t="str">
            <v>EDI</v>
          </cell>
          <cell r="L2381">
            <v>3125</v>
          </cell>
          <cell r="N2381" t="str">
            <v>Production</v>
          </cell>
          <cell r="O2381" t="str">
            <v>No</v>
          </cell>
          <cell r="Q2381" t="str">
            <v>Live</v>
          </cell>
          <cell r="R2381">
            <v>45448.879224537042</v>
          </cell>
          <cell r="S2381" t="str">
            <v>Mina Adel</v>
          </cell>
          <cell r="T2381">
            <v>45455</v>
          </cell>
          <cell r="U2381" t="str">
            <v>Matt Howell</v>
          </cell>
          <cell r="V2381">
            <v>45468</v>
          </cell>
          <cell r="W2381">
            <v>45485</v>
          </cell>
          <cell r="Y2381">
            <v>45453</v>
          </cell>
          <cell r="AC2381">
            <v>45482</v>
          </cell>
        </row>
        <row r="2382">
          <cell r="I2382" t="str">
            <v>EDI</v>
          </cell>
          <cell r="L2382">
            <v>3280</v>
          </cell>
          <cell r="N2382" t="str">
            <v>Production</v>
          </cell>
          <cell r="O2382" t="str">
            <v>No</v>
          </cell>
          <cell r="Q2382" t="str">
            <v>Cancelled</v>
          </cell>
          <cell r="R2382">
            <v>45448.842256944437</v>
          </cell>
          <cell r="S2382" t="str">
            <v>Noha Moustafa</v>
          </cell>
          <cell r="T2382">
            <v>45532</v>
          </cell>
          <cell r="U2382" t="str">
            <v>Gregory Dubec</v>
          </cell>
          <cell r="V2382">
            <v>45572</v>
          </cell>
          <cell r="W2382">
            <v>45587</v>
          </cell>
          <cell r="Y2382">
            <v>45531</v>
          </cell>
          <cell r="AC2382">
            <v>45585</v>
          </cell>
        </row>
        <row r="2383">
          <cell r="I2383" t="str">
            <v>EDI</v>
          </cell>
          <cell r="L2383">
            <v>3149</v>
          </cell>
          <cell r="N2383" t="str">
            <v>Production</v>
          </cell>
          <cell r="O2383" t="str">
            <v>No</v>
          </cell>
          <cell r="Q2383" t="str">
            <v>Live</v>
          </cell>
          <cell r="R2383">
            <v>45447.903622685182</v>
          </cell>
          <cell r="S2383" t="str">
            <v>Joseph Atef</v>
          </cell>
          <cell r="T2383">
            <v>45467</v>
          </cell>
          <cell r="U2383" t="str">
            <v>Trish Kalinczok</v>
          </cell>
          <cell r="V2383">
            <v>45547</v>
          </cell>
          <cell r="W2383">
            <v>45621</v>
          </cell>
          <cell r="Y2383">
            <v>45466</v>
          </cell>
          <cell r="AC2383">
            <v>45621</v>
          </cell>
        </row>
        <row r="2384">
          <cell r="I2384" t="str">
            <v>EDI</v>
          </cell>
          <cell r="L2384">
            <v>3128</v>
          </cell>
          <cell r="N2384" t="str">
            <v>Production</v>
          </cell>
          <cell r="O2384" t="str">
            <v>No</v>
          </cell>
          <cell r="Q2384" t="str">
            <v>Live</v>
          </cell>
          <cell r="R2384">
            <v>45447.831724537027</v>
          </cell>
          <cell r="S2384" t="str">
            <v>Ahmed Ali</v>
          </cell>
          <cell r="T2384">
            <v>45462</v>
          </cell>
          <cell r="U2384" t="str">
            <v>Hans De Grouw</v>
          </cell>
          <cell r="V2384">
            <v>45489</v>
          </cell>
          <cell r="W2384">
            <v>45505</v>
          </cell>
          <cell r="Y2384">
            <v>45448</v>
          </cell>
          <cell r="AC2384">
            <v>45500</v>
          </cell>
        </row>
        <row r="2385">
          <cell r="I2385" t="str">
            <v>EDI</v>
          </cell>
          <cell r="L2385">
            <v>3112</v>
          </cell>
          <cell r="N2385" t="str">
            <v>Production</v>
          </cell>
          <cell r="O2385" t="str">
            <v>No</v>
          </cell>
          <cell r="Q2385" t="str">
            <v>Live</v>
          </cell>
          <cell r="R2385">
            <v>45447.793773148151</v>
          </cell>
          <cell r="S2385" t="str">
            <v>Mina Kamil</v>
          </cell>
          <cell r="T2385">
            <v>45448</v>
          </cell>
          <cell r="U2385" t="str">
            <v>Matt Howell</v>
          </cell>
          <cell r="W2385">
            <v>45617</v>
          </cell>
          <cell r="AC2385">
            <v>45617</v>
          </cell>
        </row>
        <row r="2386">
          <cell r="I2386" t="str">
            <v>EDI</v>
          </cell>
          <cell r="L2386">
            <v>3111</v>
          </cell>
          <cell r="N2386" t="str">
            <v>Production</v>
          </cell>
          <cell r="O2386" t="str">
            <v>No</v>
          </cell>
          <cell r="Q2386" t="str">
            <v>Live</v>
          </cell>
          <cell r="R2386">
            <v>45447.793773148151</v>
          </cell>
          <cell r="S2386" t="str">
            <v>Mina Kamil</v>
          </cell>
          <cell r="T2386">
            <v>45448</v>
          </cell>
          <cell r="U2386" t="str">
            <v>Matt Howell</v>
          </cell>
          <cell r="V2386">
            <v>45527</v>
          </cell>
          <cell r="W2386">
            <v>45603</v>
          </cell>
          <cell r="AC2386">
            <v>45602</v>
          </cell>
        </row>
        <row r="2387">
          <cell r="I2387" t="str">
            <v>EDI</v>
          </cell>
          <cell r="N2387" t="str">
            <v>Requirements Gathering</v>
          </cell>
          <cell r="O2387" t="str">
            <v>No</v>
          </cell>
          <cell r="Q2387" t="str">
            <v>Cancelled</v>
          </cell>
          <cell r="R2387">
            <v>45447.716064814813</v>
          </cell>
          <cell r="S2387" t="str">
            <v>Abdulrahman Tarek</v>
          </cell>
          <cell r="T2387">
            <v>45448</v>
          </cell>
          <cell r="U2387" t="str">
            <v>Scott Henrehan</v>
          </cell>
        </row>
        <row r="2388">
          <cell r="I2388" t="str">
            <v>EDI</v>
          </cell>
          <cell r="N2388" t="str">
            <v>Requirements Gathering</v>
          </cell>
          <cell r="O2388" t="str">
            <v>No</v>
          </cell>
          <cell r="Q2388" t="str">
            <v>Cancelled</v>
          </cell>
          <cell r="R2388">
            <v>45446.796678240738</v>
          </cell>
          <cell r="S2388" t="str">
            <v>Lourina Edmon</v>
          </cell>
          <cell r="T2388">
            <v>45447</v>
          </cell>
          <cell r="U2388" t="str">
            <v>Trish Kalinczok</v>
          </cell>
        </row>
        <row r="2389">
          <cell r="I2389" t="str">
            <v>EDI</v>
          </cell>
          <cell r="N2389" t="str">
            <v>Resource Assignment</v>
          </cell>
          <cell r="O2389" t="str">
            <v>No</v>
          </cell>
          <cell r="Q2389" t="str">
            <v>Cancelled</v>
          </cell>
          <cell r="R2389">
            <v>45446.796678240738</v>
          </cell>
          <cell r="S2389" t="str">
            <v>Dina Medhat</v>
          </cell>
          <cell r="T2389">
            <v>45455</v>
          </cell>
          <cell r="U2389" t="str">
            <v>Trish Kalinczok</v>
          </cell>
          <cell r="Y2389">
            <v>45455</v>
          </cell>
        </row>
        <row r="2390">
          <cell r="I2390" t="str">
            <v>EDI</v>
          </cell>
          <cell r="N2390" t="str">
            <v>Resource Assignment</v>
          </cell>
          <cell r="O2390" t="str">
            <v>No</v>
          </cell>
          <cell r="Q2390" t="str">
            <v>Cancelled</v>
          </cell>
          <cell r="R2390">
            <v>45446.796678240738</v>
          </cell>
          <cell r="S2390" t="str">
            <v>Dina Medhat</v>
          </cell>
          <cell r="T2390">
            <v>45453</v>
          </cell>
          <cell r="U2390" t="str">
            <v>Trish Kalinczok</v>
          </cell>
          <cell r="Y2390">
            <v>45453</v>
          </cell>
        </row>
        <row r="2391">
          <cell r="I2391" t="str">
            <v>EDI</v>
          </cell>
          <cell r="L2391">
            <v>3152</v>
          </cell>
          <cell r="N2391" t="str">
            <v>Production</v>
          </cell>
          <cell r="O2391" t="str">
            <v>No</v>
          </cell>
          <cell r="Q2391" t="str">
            <v>Live</v>
          </cell>
          <cell r="R2391">
            <v>45446.638564814813</v>
          </cell>
          <cell r="S2391" t="str">
            <v>Amr Salah</v>
          </cell>
          <cell r="T2391">
            <v>45469</v>
          </cell>
          <cell r="U2391" t="str">
            <v>Trish Kalinczok</v>
          </cell>
          <cell r="V2391">
            <v>45494</v>
          </cell>
          <cell r="W2391">
            <v>45517</v>
          </cell>
          <cell r="Y2391">
            <v>45469</v>
          </cell>
          <cell r="AC2391">
            <v>45517</v>
          </cell>
        </row>
        <row r="2392">
          <cell r="I2392" t="str">
            <v>EDI</v>
          </cell>
          <cell r="L2392">
            <v>3114</v>
          </cell>
          <cell r="N2392" t="str">
            <v>Testing</v>
          </cell>
          <cell r="O2392" t="str">
            <v>No</v>
          </cell>
          <cell r="Q2392" t="str">
            <v>Cancelled</v>
          </cell>
          <cell r="R2392">
            <v>45443.736817129633</v>
          </cell>
          <cell r="S2392" t="str">
            <v>Aya Fathy</v>
          </cell>
          <cell r="T2392">
            <v>45453</v>
          </cell>
          <cell r="U2392" t="str">
            <v>Hans De Grouw</v>
          </cell>
          <cell r="V2392">
            <v>45508</v>
          </cell>
          <cell r="Y2392">
            <v>45452</v>
          </cell>
        </row>
        <row r="2393">
          <cell r="I2393" t="str">
            <v>EDI</v>
          </cell>
          <cell r="L2393">
            <v>3121</v>
          </cell>
          <cell r="N2393" t="str">
            <v>Production</v>
          </cell>
          <cell r="O2393" t="str">
            <v>No</v>
          </cell>
          <cell r="Q2393" t="str">
            <v>Live</v>
          </cell>
          <cell r="R2393">
            <v>45442.698391203703</v>
          </cell>
          <cell r="S2393" t="str">
            <v>Zeyad Khaled</v>
          </cell>
          <cell r="T2393">
            <v>45453</v>
          </cell>
          <cell r="U2393" t="str">
            <v>Hans De Grouw</v>
          </cell>
          <cell r="V2393">
            <v>45474</v>
          </cell>
          <cell r="W2393">
            <v>45537</v>
          </cell>
          <cell r="Y2393">
            <v>45449</v>
          </cell>
          <cell r="AC2393">
            <v>45530</v>
          </cell>
        </row>
        <row r="2394">
          <cell r="I2394" t="str">
            <v>EDI</v>
          </cell>
          <cell r="L2394">
            <v>3116</v>
          </cell>
          <cell r="N2394" t="str">
            <v>Production</v>
          </cell>
          <cell r="O2394" t="str">
            <v>No</v>
          </cell>
          <cell r="Q2394" t="str">
            <v>Live</v>
          </cell>
          <cell r="R2394">
            <v>45442.597685185188</v>
          </cell>
          <cell r="S2394" t="str">
            <v>Mina Kamil</v>
          </cell>
          <cell r="T2394">
            <v>45453</v>
          </cell>
          <cell r="U2394" t="str">
            <v>Gregory Dubec</v>
          </cell>
          <cell r="W2394">
            <v>45561</v>
          </cell>
          <cell r="Y2394">
            <v>45447</v>
          </cell>
          <cell r="AC2394">
            <v>45558</v>
          </cell>
        </row>
        <row r="2395">
          <cell r="I2395" t="str">
            <v>Forms</v>
          </cell>
          <cell r="L2395" t="str">
            <v>[3096]</v>
          </cell>
          <cell r="N2395" t="str">
            <v>Testing</v>
          </cell>
          <cell r="O2395" t="str">
            <v>Everything Benefits</v>
          </cell>
          <cell r="P2395" t="str">
            <v>Migration Testing</v>
          </cell>
          <cell r="Q2395" t="str">
            <v>Cancelled</v>
          </cell>
          <cell r="R2395">
            <v>45440.730798611112</v>
          </cell>
          <cell r="S2395" t="str">
            <v>Karim Tarek</v>
          </cell>
          <cell r="T2395">
            <v>45441</v>
          </cell>
          <cell r="U2395" t="str">
            <v>Vicky Wright</v>
          </cell>
        </row>
        <row r="2396">
          <cell r="I2396" t="str">
            <v>Forms</v>
          </cell>
          <cell r="L2396" t="str">
            <v>[3100]</v>
          </cell>
          <cell r="N2396" t="str">
            <v>Testing</v>
          </cell>
          <cell r="O2396" t="str">
            <v>Everything Benefits</v>
          </cell>
          <cell r="P2396" t="str">
            <v>Migration Testing</v>
          </cell>
          <cell r="Q2396" t="str">
            <v>Cancelled</v>
          </cell>
          <cell r="R2396">
            <v>45440.730787037042</v>
          </cell>
          <cell r="S2396" t="str">
            <v>Reem Radwan</v>
          </cell>
          <cell r="T2396">
            <v>45452</v>
          </cell>
          <cell r="U2396" t="str">
            <v>Vicky Wright</v>
          </cell>
        </row>
        <row r="2397">
          <cell r="I2397" t="str">
            <v>EDI</v>
          </cell>
          <cell r="L2397">
            <v>3119</v>
          </cell>
          <cell r="N2397" t="str">
            <v>Production</v>
          </cell>
          <cell r="O2397" t="str">
            <v>No</v>
          </cell>
          <cell r="Q2397" t="str">
            <v>Cancelled</v>
          </cell>
          <cell r="R2397">
            <v>45440.685474537036</v>
          </cell>
          <cell r="S2397" t="str">
            <v>Andrew Ramy</v>
          </cell>
          <cell r="T2397">
            <v>45446</v>
          </cell>
          <cell r="U2397" t="str">
            <v>Jene Hamm</v>
          </cell>
          <cell r="V2397">
            <v>45454</v>
          </cell>
          <cell r="W2397">
            <v>45559</v>
          </cell>
          <cell r="Y2397">
            <v>45441</v>
          </cell>
          <cell r="AC2397">
            <v>45553</v>
          </cell>
        </row>
        <row r="2398">
          <cell r="I2398" t="str">
            <v>EDI</v>
          </cell>
          <cell r="L2398">
            <v>3199</v>
          </cell>
          <cell r="N2398" t="str">
            <v>Production</v>
          </cell>
          <cell r="O2398" t="str">
            <v>No</v>
          </cell>
          <cell r="Q2398" t="str">
            <v>Cancelled</v>
          </cell>
          <cell r="R2398">
            <v>45436.648472222223</v>
          </cell>
          <cell r="S2398" t="str">
            <v>Noha Moustafa</v>
          </cell>
          <cell r="T2398">
            <v>45498</v>
          </cell>
          <cell r="U2398" t="str">
            <v>Trish Kalinczok</v>
          </cell>
          <cell r="V2398">
            <v>45547</v>
          </cell>
          <cell r="W2398">
            <v>25569</v>
          </cell>
          <cell r="Y2398">
            <v>45495</v>
          </cell>
          <cell r="AC2398">
            <v>45602</v>
          </cell>
        </row>
        <row r="2399">
          <cell r="I2399" t="str">
            <v>EDI</v>
          </cell>
          <cell r="L2399">
            <v>3101</v>
          </cell>
          <cell r="N2399" t="str">
            <v>Production</v>
          </cell>
          <cell r="O2399" t="str">
            <v>No</v>
          </cell>
          <cell r="Q2399" t="str">
            <v>Cancelled</v>
          </cell>
          <cell r="R2399">
            <v>45435.983761574083</v>
          </cell>
          <cell r="S2399" t="str">
            <v>Noha Moustafa</v>
          </cell>
          <cell r="T2399">
            <v>45445</v>
          </cell>
          <cell r="U2399" t="str">
            <v>Angie Winter</v>
          </cell>
          <cell r="V2399">
            <v>45463</v>
          </cell>
          <cell r="W2399">
            <v>45491</v>
          </cell>
          <cell r="Y2399">
            <v>45441</v>
          </cell>
          <cell r="AC2399">
            <v>45488</v>
          </cell>
        </row>
        <row r="2400">
          <cell r="I2400" t="str">
            <v>EDI</v>
          </cell>
          <cell r="L2400">
            <v>3105</v>
          </cell>
          <cell r="N2400" t="str">
            <v>Production</v>
          </cell>
          <cell r="O2400" t="str">
            <v>No</v>
          </cell>
          <cell r="Q2400" t="str">
            <v>Live</v>
          </cell>
          <cell r="R2400">
            <v>45435.851215277777</v>
          </cell>
          <cell r="S2400" t="str">
            <v>Reem Radwan</v>
          </cell>
          <cell r="T2400">
            <v>45447</v>
          </cell>
          <cell r="U2400" t="str">
            <v>Trish Kalinczok</v>
          </cell>
          <cell r="V2400">
            <v>45452</v>
          </cell>
          <cell r="W2400">
            <v>25569</v>
          </cell>
          <cell r="Y2400">
            <v>45441</v>
          </cell>
          <cell r="AC2400">
            <v>45502</v>
          </cell>
        </row>
        <row r="2401">
          <cell r="I2401" t="str">
            <v>EDI</v>
          </cell>
          <cell r="L2401">
            <v>3115</v>
          </cell>
          <cell r="N2401" t="str">
            <v>Production</v>
          </cell>
          <cell r="O2401" t="str">
            <v>No</v>
          </cell>
          <cell r="Q2401" t="str">
            <v>Cancelled</v>
          </cell>
          <cell r="R2401">
            <v>45435.851215277777</v>
          </cell>
          <cell r="S2401" t="str">
            <v>Hazem Rostom</v>
          </cell>
          <cell r="T2401">
            <v>45453</v>
          </cell>
          <cell r="U2401" t="str">
            <v>Trish Kalinczok</v>
          </cell>
          <cell r="V2401">
            <v>45502</v>
          </cell>
          <cell r="W2401">
            <v>45533</v>
          </cell>
          <cell r="Y2401">
            <v>45449</v>
          </cell>
          <cell r="AC2401">
            <v>45533</v>
          </cell>
        </row>
        <row r="2402">
          <cell r="I2402" t="str">
            <v>EDI</v>
          </cell>
          <cell r="L2402">
            <v>3110</v>
          </cell>
          <cell r="N2402" t="str">
            <v>Production</v>
          </cell>
          <cell r="O2402" t="str">
            <v>No</v>
          </cell>
          <cell r="Q2402" t="str">
            <v>Cancelled</v>
          </cell>
          <cell r="R2402">
            <v>45435.815555555557</v>
          </cell>
          <cell r="S2402" t="str">
            <v>Mahmoud Ashraf</v>
          </cell>
          <cell r="T2402">
            <v>45447</v>
          </cell>
          <cell r="U2402" t="str">
            <v>Tammy Davies</v>
          </cell>
          <cell r="W2402">
            <v>45504</v>
          </cell>
          <cell r="Y2402">
            <v>45446</v>
          </cell>
          <cell r="AC2402">
            <v>45500</v>
          </cell>
        </row>
        <row r="2403">
          <cell r="I2403" t="str">
            <v>EDI</v>
          </cell>
          <cell r="L2403">
            <v>3102</v>
          </cell>
          <cell r="N2403" t="str">
            <v>Production</v>
          </cell>
          <cell r="O2403" t="str">
            <v>No</v>
          </cell>
          <cell r="Q2403" t="str">
            <v>Cancelled</v>
          </cell>
          <cell r="R2403">
            <v>45435.81554398148</v>
          </cell>
          <cell r="S2403" t="str">
            <v>Amr Salah</v>
          </cell>
          <cell r="T2403">
            <v>45445</v>
          </cell>
          <cell r="U2403" t="str">
            <v>Tammy Davies</v>
          </cell>
          <cell r="V2403">
            <v>45517</v>
          </cell>
          <cell r="W2403">
            <v>45616</v>
          </cell>
          <cell r="Y2403">
            <v>45442</v>
          </cell>
          <cell r="AC2403">
            <v>45614</v>
          </cell>
        </row>
        <row r="2404">
          <cell r="I2404" t="str">
            <v>EDI</v>
          </cell>
          <cell r="L2404">
            <v>3146</v>
          </cell>
          <cell r="N2404" t="str">
            <v>Production</v>
          </cell>
          <cell r="O2404" t="str">
            <v>No</v>
          </cell>
          <cell r="Q2404" t="str">
            <v>Cancelled</v>
          </cell>
          <cell r="R2404">
            <v>45435.81554398148</v>
          </cell>
          <cell r="S2404" t="str">
            <v>Andrew Ramy</v>
          </cell>
          <cell r="T2404">
            <v>45467</v>
          </cell>
          <cell r="U2404" t="str">
            <v>Tammy Davies</v>
          </cell>
          <cell r="V2404">
            <v>45589</v>
          </cell>
          <cell r="W2404">
            <v>45679</v>
          </cell>
          <cell r="Y2404">
            <v>45466</v>
          </cell>
          <cell r="AC2404">
            <v>45679</v>
          </cell>
        </row>
        <row r="2405">
          <cell r="I2405" t="str">
            <v>EDI</v>
          </cell>
          <cell r="L2405">
            <v>3322</v>
          </cell>
          <cell r="N2405" t="str">
            <v>Production</v>
          </cell>
          <cell r="O2405" t="str">
            <v>No</v>
          </cell>
          <cell r="Q2405" t="str">
            <v>Cancelled</v>
          </cell>
          <cell r="R2405">
            <v>45435.69902777778</v>
          </cell>
          <cell r="S2405" t="str">
            <v>Mirna Azmy</v>
          </cell>
          <cell r="T2405">
            <v>45557</v>
          </cell>
          <cell r="U2405" t="str">
            <v>Carolina Tanoue</v>
          </cell>
          <cell r="V2405">
            <v>45580</v>
          </cell>
          <cell r="W2405">
            <v>45614</v>
          </cell>
          <cell r="Y2405">
            <v>45553</v>
          </cell>
          <cell r="AC2405">
            <v>45608</v>
          </cell>
        </row>
        <row r="2406">
          <cell r="I2406" t="str">
            <v>EDI</v>
          </cell>
          <cell r="L2406">
            <v>3298</v>
          </cell>
          <cell r="N2406" t="str">
            <v>Production</v>
          </cell>
          <cell r="O2406" t="str">
            <v>No</v>
          </cell>
          <cell r="Q2406" t="str">
            <v>Cancelled</v>
          </cell>
          <cell r="R2406">
            <v>45435.69902777778</v>
          </cell>
          <cell r="S2406" t="str">
            <v>Mirna Azmy</v>
          </cell>
          <cell r="T2406">
            <v>45544</v>
          </cell>
          <cell r="U2406" t="str">
            <v>Carolina Tanoue</v>
          </cell>
          <cell r="V2406">
            <v>45564</v>
          </cell>
          <cell r="W2406">
            <v>45642</v>
          </cell>
          <cell r="Y2406">
            <v>45540</v>
          </cell>
          <cell r="AC2406">
            <v>45634</v>
          </cell>
        </row>
        <row r="2407">
          <cell r="I2407" t="str">
            <v>EDI</v>
          </cell>
          <cell r="L2407">
            <v>3106</v>
          </cell>
          <cell r="N2407" t="str">
            <v>Production</v>
          </cell>
          <cell r="O2407" t="str">
            <v>No</v>
          </cell>
          <cell r="Q2407" t="str">
            <v>Cancelled</v>
          </cell>
          <cell r="R2407">
            <v>45434.741562499999</v>
          </cell>
          <cell r="S2407" t="str">
            <v>Aya Fathy</v>
          </cell>
          <cell r="T2407">
            <v>45447</v>
          </cell>
          <cell r="U2407" t="str">
            <v>Hans De Grouw</v>
          </cell>
          <cell r="V2407">
            <v>45474</v>
          </cell>
          <cell r="W2407">
            <v>45489</v>
          </cell>
          <cell r="Y2407">
            <v>45446</v>
          </cell>
          <cell r="AC2407">
            <v>45485</v>
          </cell>
        </row>
        <row r="2408">
          <cell r="I2408" t="str">
            <v>EDI</v>
          </cell>
          <cell r="L2408">
            <v>3172</v>
          </cell>
          <cell r="N2408" t="str">
            <v>Mapping</v>
          </cell>
          <cell r="O2408" t="str">
            <v>No</v>
          </cell>
          <cell r="Q2408" t="str">
            <v>Cancelled</v>
          </cell>
          <cell r="R2408">
            <v>45433.78365740741</v>
          </cell>
          <cell r="S2408" t="str">
            <v>Mirna Azmy</v>
          </cell>
          <cell r="T2408">
            <v>45482</v>
          </cell>
          <cell r="U2408" t="str">
            <v>Gregory Dubec</v>
          </cell>
          <cell r="Y2408">
            <v>45481</v>
          </cell>
        </row>
        <row r="2409">
          <cell r="I2409" t="str">
            <v>EDI</v>
          </cell>
          <cell r="N2409" t="str">
            <v>Requirements Gathering</v>
          </cell>
          <cell r="O2409" t="str">
            <v>No</v>
          </cell>
          <cell r="Q2409" t="str">
            <v>Cancelled</v>
          </cell>
          <cell r="R2409">
            <v>45433.769305555557</v>
          </cell>
          <cell r="S2409" t="str">
            <v>Lourina Edmon</v>
          </cell>
          <cell r="T2409">
            <v>45434</v>
          </cell>
          <cell r="U2409" t="str">
            <v>Gregory Dubec</v>
          </cell>
        </row>
        <row r="2410">
          <cell r="I2410" t="str">
            <v>EDI</v>
          </cell>
          <cell r="L2410">
            <v>3154</v>
          </cell>
          <cell r="N2410" t="str">
            <v>Production</v>
          </cell>
          <cell r="O2410" t="str">
            <v>Everything Benefits</v>
          </cell>
          <cell r="P2410" t="str">
            <v>Production</v>
          </cell>
          <cell r="Q2410" t="str">
            <v>Live</v>
          </cell>
          <cell r="R2410">
            <v>45433.72388888889</v>
          </cell>
          <cell r="S2410" t="str">
            <v>Karen Ramy</v>
          </cell>
          <cell r="T2410">
            <v>45470</v>
          </cell>
          <cell r="U2410" t="str">
            <v>Scott Henrehan</v>
          </cell>
          <cell r="V2410">
            <v>25569</v>
          </cell>
          <cell r="W2410">
            <v>45701</v>
          </cell>
          <cell r="Y2410">
            <v>45467</v>
          </cell>
          <cell r="AC2410">
            <v>45698</v>
          </cell>
        </row>
        <row r="2411">
          <cell r="I2411" t="str">
            <v>EDI</v>
          </cell>
          <cell r="L2411">
            <v>3134</v>
          </cell>
          <cell r="N2411" t="str">
            <v>Testing</v>
          </cell>
          <cell r="O2411" t="str">
            <v>No</v>
          </cell>
          <cell r="Q2411" t="str">
            <v>Cancelled</v>
          </cell>
          <cell r="R2411">
            <v>45432.881041666667</v>
          </cell>
          <cell r="S2411" t="str">
            <v>Omnia Abdelaziz</v>
          </cell>
          <cell r="T2411">
            <v>45462</v>
          </cell>
          <cell r="U2411" t="str">
            <v>Tyler  Raposa</v>
          </cell>
          <cell r="V2411">
            <v>45496</v>
          </cell>
          <cell r="Y2411">
            <v>45455</v>
          </cell>
        </row>
        <row r="2412">
          <cell r="I2412" t="str">
            <v>EDI</v>
          </cell>
          <cell r="L2412">
            <v>3109</v>
          </cell>
          <cell r="N2412" t="str">
            <v>Production</v>
          </cell>
          <cell r="O2412" t="str">
            <v>No</v>
          </cell>
          <cell r="Q2412" t="str">
            <v>Cancelled</v>
          </cell>
          <cell r="R2412">
            <v>45430.77103009259</v>
          </cell>
          <cell r="S2412" t="str">
            <v>Zeyad Khaled</v>
          </cell>
          <cell r="T2412">
            <v>45447</v>
          </cell>
          <cell r="U2412" t="str">
            <v>Hans De Grouw</v>
          </cell>
          <cell r="V2412">
            <v>45476</v>
          </cell>
          <cell r="W2412">
            <v>45610</v>
          </cell>
          <cell r="Y2412">
            <v>45447</v>
          </cell>
          <cell r="AC2412">
            <v>45608</v>
          </cell>
        </row>
        <row r="2413">
          <cell r="I2413" t="str">
            <v>EDI</v>
          </cell>
          <cell r="L2413">
            <v>3122</v>
          </cell>
          <cell r="N2413" t="str">
            <v>Production</v>
          </cell>
          <cell r="O2413" t="str">
            <v>No</v>
          </cell>
          <cell r="Q2413" t="str">
            <v>Cancelled</v>
          </cell>
          <cell r="R2413">
            <v>45430.771018518521</v>
          </cell>
          <cell r="S2413" t="str">
            <v>Omnia Abdelaziz</v>
          </cell>
          <cell r="T2413">
            <v>45453</v>
          </cell>
          <cell r="U2413" t="str">
            <v>Hans De Grouw</v>
          </cell>
          <cell r="V2413">
            <v>45468</v>
          </cell>
          <cell r="W2413">
            <v>45481</v>
          </cell>
          <cell r="Y2413">
            <v>45452</v>
          </cell>
          <cell r="AC2413">
            <v>45474</v>
          </cell>
        </row>
        <row r="2414">
          <cell r="I2414" t="str">
            <v>EDI</v>
          </cell>
          <cell r="L2414">
            <v>3091</v>
          </cell>
          <cell r="N2414" t="str">
            <v>Production</v>
          </cell>
          <cell r="O2414" t="str">
            <v>No</v>
          </cell>
          <cell r="Q2414" t="str">
            <v>Cancelled</v>
          </cell>
          <cell r="R2414">
            <v>45430.771018518521</v>
          </cell>
          <cell r="S2414" t="str">
            <v>Mirna Azmy</v>
          </cell>
          <cell r="T2414">
            <v>45439</v>
          </cell>
          <cell r="U2414" t="str">
            <v>Hans De Grouw</v>
          </cell>
          <cell r="V2414">
            <v>45453</v>
          </cell>
          <cell r="W2414">
            <v>25569</v>
          </cell>
          <cell r="Y2414">
            <v>45438</v>
          </cell>
          <cell r="AC2414">
            <v>45561</v>
          </cell>
        </row>
        <row r="2415">
          <cell r="I2415" t="str">
            <v>EDI</v>
          </cell>
          <cell r="L2415">
            <v>3151</v>
          </cell>
          <cell r="N2415" t="str">
            <v>Production</v>
          </cell>
          <cell r="O2415" t="str">
            <v>No</v>
          </cell>
          <cell r="Q2415" t="str">
            <v>Cancelled</v>
          </cell>
          <cell r="R2415">
            <v>45429.922847222217</v>
          </cell>
          <cell r="S2415" t="str">
            <v>Noha Moustafa</v>
          </cell>
          <cell r="T2415">
            <v>45469</v>
          </cell>
          <cell r="U2415" t="str">
            <v>Matt Howell</v>
          </cell>
          <cell r="V2415">
            <v>45516</v>
          </cell>
          <cell r="W2415">
            <v>25569</v>
          </cell>
          <cell r="Y2415">
            <v>45468</v>
          </cell>
          <cell r="AC2415">
            <v>45560</v>
          </cell>
        </row>
        <row r="2416">
          <cell r="I2416" t="str">
            <v>EDI</v>
          </cell>
          <cell r="L2416">
            <v>3133</v>
          </cell>
          <cell r="N2416" t="str">
            <v>Production</v>
          </cell>
          <cell r="O2416" t="str">
            <v>No</v>
          </cell>
          <cell r="Q2416" t="str">
            <v>Live</v>
          </cell>
          <cell r="R2416">
            <v>45429.582233796304</v>
          </cell>
          <cell r="S2416" t="str">
            <v>Mirna Azmy</v>
          </cell>
          <cell r="T2416">
            <v>45453</v>
          </cell>
          <cell r="U2416" t="str">
            <v>Maria Zea Rodriguez</v>
          </cell>
          <cell r="V2416">
            <v>45466</v>
          </cell>
          <cell r="W2416">
            <v>45544</v>
          </cell>
          <cell r="Y2416">
            <v>45452</v>
          </cell>
          <cell r="AC2416">
            <v>45540</v>
          </cell>
        </row>
        <row r="2417">
          <cell r="I2417" t="str">
            <v>EDI</v>
          </cell>
          <cell r="L2417">
            <v>3081</v>
          </cell>
          <cell r="N2417" t="str">
            <v>Production</v>
          </cell>
          <cell r="O2417" t="str">
            <v>No</v>
          </cell>
          <cell r="Q2417" t="str">
            <v>Live</v>
          </cell>
          <cell r="R2417">
            <v>45428.123831018522</v>
          </cell>
          <cell r="S2417" t="str">
            <v>Mirna Azmy</v>
          </cell>
          <cell r="T2417">
            <v>45432</v>
          </cell>
          <cell r="U2417" t="str">
            <v>Matt Howell</v>
          </cell>
          <cell r="V2417">
            <v>45505</v>
          </cell>
          <cell r="W2417">
            <v>45643</v>
          </cell>
          <cell r="Y2417">
            <v>45431</v>
          </cell>
          <cell r="AC2417">
            <v>45639</v>
          </cell>
        </row>
        <row r="2418">
          <cell r="I2418" t="str">
            <v>EDI</v>
          </cell>
          <cell r="L2418">
            <v>3127</v>
          </cell>
          <cell r="N2418" t="str">
            <v>Production</v>
          </cell>
          <cell r="O2418" t="str">
            <v>No</v>
          </cell>
          <cell r="Q2418" t="str">
            <v>Cancelled</v>
          </cell>
          <cell r="R2418">
            <v>45427.904386574082</v>
          </cell>
          <cell r="S2418" t="str">
            <v>Mina George</v>
          </cell>
          <cell r="T2418">
            <v>45453</v>
          </cell>
          <cell r="U2418" t="str">
            <v>Trish Kalinczok</v>
          </cell>
          <cell r="V2418">
            <v>45508</v>
          </cell>
          <cell r="W2418">
            <v>45580</v>
          </cell>
          <cell r="Y2418">
            <v>45448</v>
          </cell>
          <cell r="AC2418">
            <v>45580</v>
          </cell>
        </row>
        <row r="2419">
          <cell r="I2419" t="str">
            <v>EDI</v>
          </cell>
          <cell r="L2419">
            <v>3184</v>
          </cell>
          <cell r="N2419" t="str">
            <v>Production</v>
          </cell>
          <cell r="O2419" t="str">
            <v>No</v>
          </cell>
          <cell r="Q2419" t="str">
            <v>Live</v>
          </cell>
          <cell r="R2419">
            <v>45427.832604166673</v>
          </cell>
          <cell r="S2419" t="str">
            <v>Joseph Atef</v>
          </cell>
          <cell r="T2419">
            <v>45488</v>
          </cell>
          <cell r="U2419" t="str">
            <v>Nicole Stevens</v>
          </cell>
          <cell r="V2419">
            <v>45502</v>
          </cell>
          <cell r="W2419">
            <v>45519</v>
          </cell>
          <cell r="Y2419">
            <v>45484</v>
          </cell>
          <cell r="AC2419">
            <v>45515</v>
          </cell>
        </row>
        <row r="2420">
          <cell r="I2420" t="str">
            <v>EDI</v>
          </cell>
          <cell r="L2420">
            <v>3084</v>
          </cell>
          <cell r="N2420" t="str">
            <v>Testing</v>
          </cell>
          <cell r="O2420" t="str">
            <v>No</v>
          </cell>
          <cell r="Q2420" t="str">
            <v>Cancelled</v>
          </cell>
          <cell r="R2420">
            <v>45427.819710648153</v>
          </cell>
          <cell r="S2420" t="str">
            <v>Amr Salah</v>
          </cell>
          <cell r="T2420">
            <v>45432</v>
          </cell>
          <cell r="U2420" t="str">
            <v>Hans De Grouw</v>
          </cell>
          <cell r="V2420">
            <v>45576</v>
          </cell>
          <cell r="Y2420">
            <v>45432</v>
          </cell>
        </row>
        <row r="2421">
          <cell r="I2421" t="str">
            <v>EDI</v>
          </cell>
          <cell r="L2421">
            <v>3095</v>
          </cell>
          <cell r="N2421" t="str">
            <v>Production</v>
          </cell>
          <cell r="O2421" t="str">
            <v>No</v>
          </cell>
          <cell r="Q2421" t="str">
            <v>Live</v>
          </cell>
          <cell r="R2421">
            <v>45427.651909722219</v>
          </cell>
          <cell r="S2421" t="str">
            <v>Zeyad Khaled</v>
          </cell>
          <cell r="T2421">
            <v>45435</v>
          </cell>
          <cell r="U2421" t="str">
            <v>Trish Kalinczok</v>
          </cell>
          <cell r="V2421">
            <v>45502</v>
          </cell>
          <cell r="W2421">
            <v>45539</v>
          </cell>
          <cell r="Y2421">
            <v>45434</v>
          </cell>
          <cell r="AC2421">
            <v>45539</v>
          </cell>
        </row>
        <row r="2422">
          <cell r="I2422" t="str">
            <v>EDI</v>
          </cell>
          <cell r="L2422">
            <v>3123</v>
          </cell>
          <cell r="N2422" t="str">
            <v>Production</v>
          </cell>
          <cell r="O2422" t="str">
            <v>No</v>
          </cell>
          <cell r="Q2422" t="str">
            <v>Cancelled</v>
          </cell>
          <cell r="R2422">
            <v>45427.644293981481</v>
          </cell>
          <cell r="S2422" t="str">
            <v>Joseph Atef</v>
          </cell>
          <cell r="T2422">
            <v>45453</v>
          </cell>
          <cell r="U2422" t="str">
            <v>Trish Kalinczok</v>
          </cell>
          <cell r="V2422">
            <v>25569</v>
          </cell>
          <cell r="W2422">
            <v>45534</v>
          </cell>
          <cell r="Y2422">
            <v>45449</v>
          </cell>
          <cell r="AC2422">
            <v>45530</v>
          </cell>
        </row>
        <row r="2423">
          <cell r="I2423" t="str">
            <v>EDI</v>
          </cell>
          <cell r="L2423">
            <v>3088</v>
          </cell>
          <cell r="N2423" t="str">
            <v>Testing</v>
          </cell>
          <cell r="O2423" t="str">
            <v>No</v>
          </cell>
          <cell r="Q2423" t="str">
            <v>Cancelled</v>
          </cell>
          <cell r="R2423">
            <v>45427.642627314817</v>
          </cell>
          <cell r="S2423" t="str">
            <v>Amr Salah</v>
          </cell>
          <cell r="T2423">
            <v>45733</v>
          </cell>
          <cell r="U2423" t="str">
            <v>Trish Kalinczok</v>
          </cell>
          <cell r="V2423">
            <v>45462</v>
          </cell>
          <cell r="Y2423">
            <v>45435</v>
          </cell>
        </row>
        <row r="2424">
          <cell r="I2424" t="str">
            <v>EDI</v>
          </cell>
          <cell r="L2424">
            <v>3144</v>
          </cell>
          <cell r="N2424" t="str">
            <v>Production</v>
          </cell>
          <cell r="O2424" t="str">
            <v>No</v>
          </cell>
          <cell r="Q2424" t="str">
            <v>Cancelled</v>
          </cell>
          <cell r="R2424">
            <v>45427.635289351849</v>
          </cell>
          <cell r="S2424" t="str">
            <v>Joseph Atef</v>
          </cell>
          <cell r="T2424">
            <v>45462</v>
          </cell>
          <cell r="U2424" t="str">
            <v>Trish Kalinczok</v>
          </cell>
          <cell r="V2424">
            <v>45517</v>
          </cell>
          <cell r="W2424">
            <v>45534</v>
          </cell>
          <cell r="Y2424">
            <v>45460</v>
          </cell>
          <cell r="AC2424">
            <v>45530</v>
          </cell>
        </row>
        <row r="2425">
          <cell r="I2425" t="str">
            <v>EDI</v>
          </cell>
          <cell r="L2425">
            <v>3082</v>
          </cell>
          <cell r="N2425" t="str">
            <v>Production</v>
          </cell>
          <cell r="O2425" t="str">
            <v>No</v>
          </cell>
          <cell r="Q2425" t="str">
            <v>Live</v>
          </cell>
          <cell r="R2425">
            <v>45426.751354166663</v>
          </cell>
          <cell r="S2425" t="str">
            <v>Omnia Abdelaziz</v>
          </cell>
          <cell r="T2425">
            <v>45428</v>
          </cell>
          <cell r="U2425" t="str">
            <v>Hans De Grouw</v>
          </cell>
          <cell r="V2425">
            <v>45448</v>
          </cell>
          <cell r="W2425">
            <v>45455</v>
          </cell>
          <cell r="Y2425">
            <v>45427</v>
          </cell>
          <cell r="AC2425">
            <v>45449</v>
          </cell>
        </row>
        <row r="2426">
          <cell r="I2426" t="str">
            <v>EDI</v>
          </cell>
          <cell r="L2426">
            <v>3176</v>
          </cell>
          <cell r="N2426" t="str">
            <v>Production</v>
          </cell>
          <cell r="O2426" t="str">
            <v>No</v>
          </cell>
          <cell r="Q2426" t="str">
            <v>Live</v>
          </cell>
          <cell r="R2426">
            <v>45426.585555555554</v>
          </cell>
          <cell r="S2426" t="str">
            <v>Amr Salah</v>
          </cell>
          <cell r="T2426">
            <v>45483</v>
          </cell>
          <cell r="U2426" t="str">
            <v>Jay Lang</v>
          </cell>
          <cell r="V2426">
            <v>45503</v>
          </cell>
          <cell r="W2426">
            <v>45519</v>
          </cell>
          <cell r="Y2426">
            <v>45482</v>
          </cell>
          <cell r="AC2426">
            <v>45517</v>
          </cell>
        </row>
        <row r="2427">
          <cell r="I2427" t="str">
            <v>EDI</v>
          </cell>
          <cell r="L2427">
            <v>3107</v>
          </cell>
          <cell r="N2427" t="str">
            <v>Production</v>
          </cell>
          <cell r="O2427" t="str">
            <v>No</v>
          </cell>
          <cell r="Q2427" t="str">
            <v>Live</v>
          </cell>
          <cell r="R2427">
            <v>45426.585555555554</v>
          </cell>
          <cell r="S2427" t="str">
            <v>Amr Salah</v>
          </cell>
          <cell r="T2427">
            <v>45448</v>
          </cell>
          <cell r="U2427" t="str">
            <v>Jay Lang</v>
          </cell>
          <cell r="V2427">
            <v>45494</v>
          </cell>
          <cell r="W2427">
            <v>45517</v>
          </cell>
          <cell r="Y2427">
            <v>45448</v>
          </cell>
          <cell r="AC2427">
            <v>45517</v>
          </cell>
        </row>
        <row r="2428">
          <cell r="I2428" t="str">
            <v>EDI</v>
          </cell>
          <cell r="L2428">
            <v>3129</v>
          </cell>
          <cell r="N2428" t="str">
            <v>Production</v>
          </cell>
          <cell r="O2428" t="str">
            <v>No</v>
          </cell>
          <cell r="Q2428" t="str">
            <v>Cancelled</v>
          </cell>
          <cell r="R2428">
            <v>45426.585555555554</v>
          </cell>
          <cell r="S2428" t="str">
            <v>Aya Fathy</v>
          </cell>
          <cell r="T2428">
            <v>45462</v>
          </cell>
          <cell r="U2428" t="str">
            <v>Jay Lang</v>
          </cell>
          <cell r="V2428">
            <v>45484</v>
          </cell>
          <cell r="W2428">
            <v>45498</v>
          </cell>
          <cell r="Y2428">
            <v>45457</v>
          </cell>
          <cell r="AC2428">
            <v>45494</v>
          </cell>
        </row>
        <row r="2429">
          <cell r="I2429" t="str">
            <v>EDI</v>
          </cell>
          <cell r="L2429">
            <v>3094</v>
          </cell>
          <cell r="N2429" t="str">
            <v>Production</v>
          </cell>
          <cell r="O2429" t="str">
            <v>No</v>
          </cell>
          <cell r="Q2429" t="str">
            <v>Live</v>
          </cell>
          <cell r="R2429">
            <v>45426.585555555554</v>
          </cell>
          <cell r="S2429" t="str">
            <v>Omnia Abdelaziz</v>
          </cell>
          <cell r="T2429">
            <v>45435</v>
          </cell>
          <cell r="U2429" t="str">
            <v>Jay Lang</v>
          </cell>
          <cell r="V2429">
            <v>45448</v>
          </cell>
          <cell r="W2429">
            <v>45505</v>
          </cell>
          <cell r="Y2429">
            <v>45434</v>
          </cell>
          <cell r="AC2429">
            <v>45505</v>
          </cell>
        </row>
        <row r="2430">
          <cell r="I2430" t="str">
            <v>EDI</v>
          </cell>
          <cell r="L2430">
            <v>3090</v>
          </cell>
          <cell r="N2430" t="str">
            <v>Production</v>
          </cell>
          <cell r="O2430" t="str">
            <v>No</v>
          </cell>
          <cell r="Q2430" t="str">
            <v>Live</v>
          </cell>
          <cell r="R2430">
            <v>45425.684745370367</v>
          </cell>
          <cell r="S2430" t="str">
            <v>Aya Fathy</v>
          </cell>
          <cell r="T2430">
            <v>45435</v>
          </cell>
          <cell r="U2430" t="str">
            <v>Trish Kalinczok</v>
          </cell>
          <cell r="V2430">
            <v>45439</v>
          </cell>
          <cell r="W2430">
            <v>25569</v>
          </cell>
          <cell r="Y2430">
            <v>45433</v>
          </cell>
          <cell r="AC2430">
            <v>45480</v>
          </cell>
        </row>
        <row r="2431">
          <cell r="I2431" t="str">
            <v>EDI</v>
          </cell>
          <cell r="L2431">
            <v>3089</v>
          </cell>
          <cell r="N2431" t="str">
            <v>Production</v>
          </cell>
          <cell r="O2431" t="str">
            <v>No</v>
          </cell>
          <cell r="Q2431" t="str">
            <v>Live</v>
          </cell>
          <cell r="R2431">
            <v>45425.684745370367</v>
          </cell>
          <cell r="S2431" t="str">
            <v>Joseph Atef</v>
          </cell>
          <cell r="T2431">
            <v>45435</v>
          </cell>
          <cell r="U2431" t="str">
            <v>Trish Kalinczok</v>
          </cell>
          <cell r="V2431">
            <v>45446</v>
          </cell>
          <cell r="W2431">
            <v>45466</v>
          </cell>
          <cell r="Y2431">
            <v>45434</v>
          </cell>
          <cell r="AC2431">
            <v>45466</v>
          </cell>
        </row>
        <row r="2432">
          <cell r="I2432" t="str">
            <v>EDI</v>
          </cell>
          <cell r="L2432">
            <v>3197</v>
          </cell>
          <cell r="N2432" t="str">
            <v>Production</v>
          </cell>
          <cell r="O2432" t="str">
            <v>No</v>
          </cell>
          <cell r="Q2432" t="str">
            <v>Live</v>
          </cell>
          <cell r="R2432">
            <v>45422.045694444438</v>
          </cell>
          <cell r="S2432" t="str">
            <v>Mina George</v>
          </cell>
          <cell r="T2432">
            <v>45488</v>
          </cell>
          <cell r="U2432" t="str">
            <v>Amy Bergstrom</v>
          </cell>
          <cell r="V2432">
            <v>45553</v>
          </cell>
          <cell r="W2432">
            <v>45615</v>
          </cell>
          <cell r="Y2432">
            <v>45484</v>
          </cell>
          <cell r="AC2432">
            <v>45608</v>
          </cell>
        </row>
        <row r="2433">
          <cell r="I2433" t="str">
            <v>EDI</v>
          </cell>
          <cell r="L2433">
            <v>3141</v>
          </cell>
          <cell r="N2433" t="str">
            <v>Production</v>
          </cell>
          <cell r="O2433" t="str">
            <v>No</v>
          </cell>
          <cell r="Q2433" t="str">
            <v>Cancelled</v>
          </cell>
          <cell r="R2433">
            <v>45421.873599537037</v>
          </cell>
          <cell r="S2433" t="str">
            <v>Andrew Ramy</v>
          </cell>
          <cell r="T2433">
            <v>45462</v>
          </cell>
          <cell r="U2433" t="str">
            <v>Hans De Grouw</v>
          </cell>
          <cell r="V2433">
            <v>45484</v>
          </cell>
          <cell r="W2433">
            <v>45560</v>
          </cell>
          <cell r="Y2433">
            <v>45458</v>
          </cell>
          <cell r="AC2433">
            <v>45557</v>
          </cell>
        </row>
        <row r="2434">
          <cell r="I2434" t="str">
            <v>EDI</v>
          </cell>
          <cell r="L2434">
            <v>3130</v>
          </cell>
          <cell r="N2434" t="str">
            <v>Production</v>
          </cell>
          <cell r="O2434" t="str">
            <v>No</v>
          </cell>
          <cell r="Q2434" t="str">
            <v>Live</v>
          </cell>
          <cell r="R2434">
            <v>45421.657511574071</v>
          </cell>
          <cell r="S2434" t="str">
            <v>Noha Moustafa</v>
          </cell>
          <cell r="T2434">
            <v>45462</v>
          </cell>
          <cell r="U2434" t="str">
            <v>Destinee Duncan</v>
          </cell>
          <cell r="V2434">
            <v>45489</v>
          </cell>
          <cell r="W2434">
            <v>45523</v>
          </cell>
          <cell r="Y2434">
            <v>45455</v>
          </cell>
          <cell r="AC2434">
            <v>45519</v>
          </cell>
        </row>
        <row r="2435">
          <cell r="I2435" t="str">
            <v>EDI</v>
          </cell>
          <cell r="L2435">
            <v>3135</v>
          </cell>
          <cell r="N2435" t="str">
            <v>Production</v>
          </cell>
          <cell r="O2435" t="str">
            <v>No</v>
          </cell>
          <cell r="Q2435" t="str">
            <v>Cancelled</v>
          </cell>
          <cell r="R2435">
            <v>45421.657511574071</v>
          </cell>
          <cell r="S2435" t="str">
            <v>Mina Adel</v>
          </cell>
          <cell r="T2435">
            <v>45453</v>
          </cell>
          <cell r="U2435" t="str">
            <v>Destinee Duncan</v>
          </cell>
          <cell r="V2435">
            <v>45531</v>
          </cell>
          <cell r="W2435">
            <v>45552</v>
          </cell>
          <cell r="Y2435">
            <v>45452</v>
          </cell>
          <cell r="AC2435">
            <v>45548</v>
          </cell>
        </row>
        <row r="2436">
          <cell r="I2436" t="str">
            <v>EDI</v>
          </cell>
          <cell r="L2436">
            <v>3085</v>
          </cell>
          <cell r="N2436" t="str">
            <v>Testing</v>
          </cell>
          <cell r="O2436" t="str">
            <v>No</v>
          </cell>
          <cell r="Q2436" t="str">
            <v>Cancelled</v>
          </cell>
          <cell r="R2436">
            <v>45418.849027777767</v>
          </cell>
          <cell r="S2436" t="str">
            <v>Andrew Ramy</v>
          </cell>
          <cell r="T2436">
            <v>45428</v>
          </cell>
          <cell r="U2436" t="str">
            <v>Trish Kalinczok</v>
          </cell>
          <cell r="V2436">
            <v>45596</v>
          </cell>
          <cell r="Y2436">
            <v>45427</v>
          </cell>
        </row>
        <row r="2437">
          <cell r="I2437" t="str">
            <v>EDI</v>
          </cell>
          <cell r="L2437">
            <v>3124</v>
          </cell>
          <cell r="N2437" t="str">
            <v>Production</v>
          </cell>
          <cell r="O2437" t="str">
            <v>No</v>
          </cell>
          <cell r="Q2437" t="str">
            <v>Live</v>
          </cell>
          <cell r="R2437">
            <v>45415.863541666673</v>
          </cell>
          <cell r="S2437" t="str">
            <v>Mina Adel</v>
          </cell>
          <cell r="T2437">
            <v>45489</v>
          </cell>
          <cell r="U2437" t="str">
            <v>Angie Winter</v>
          </cell>
          <cell r="V2437">
            <v>45504</v>
          </cell>
          <cell r="W2437">
            <v>45586</v>
          </cell>
          <cell r="Y2437">
            <v>45437</v>
          </cell>
          <cell r="AC2437">
            <v>45585</v>
          </cell>
        </row>
        <row r="2438">
          <cell r="I2438" t="str">
            <v>EDI</v>
          </cell>
          <cell r="L2438">
            <v>3170</v>
          </cell>
          <cell r="N2438" t="str">
            <v>Production</v>
          </cell>
          <cell r="O2438" t="str">
            <v>No</v>
          </cell>
          <cell r="Q2438" t="str">
            <v>Live</v>
          </cell>
          <cell r="R2438">
            <v>45415.861493055563</v>
          </cell>
          <cell r="S2438" t="str">
            <v>Amr Salah</v>
          </cell>
          <cell r="T2438">
            <v>45481</v>
          </cell>
          <cell r="U2438" t="str">
            <v>Angie Winter</v>
          </cell>
          <cell r="V2438">
            <v>25569</v>
          </cell>
          <cell r="W2438">
            <v>45538</v>
          </cell>
          <cell r="Y2438">
            <v>45481</v>
          </cell>
          <cell r="AC2438">
            <v>45538</v>
          </cell>
        </row>
        <row r="2439">
          <cell r="I2439" t="str">
            <v>EDI</v>
          </cell>
          <cell r="L2439">
            <v>3104</v>
          </cell>
          <cell r="N2439" t="str">
            <v>Production</v>
          </cell>
          <cell r="O2439" t="str">
            <v>No</v>
          </cell>
          <cell r="Q2439" t="str">
            <v>Live</v>
          </cell>
          <cell r="R2439">
            <v>45415.079907407409</v>
          </cell>
          <cell r="S2439" t="str">
            <v>Ahmed Ali</v>
          </cell>
          <cell r="T2439">
            <v>45447</v>
          </cell>
          <cell r="U2439" t="str">
            <v>Amy Bergstrom</v>
          </cell>
          <cell r="V2439">
            <v>25569</v>
          </cell>
          <cell r="W2439">
            <v>45545</v>
          </cell>
          <cell r="Y2439">
            <v>45446</v>
          </cell>
          <cell r="AC2439">
            <v>45500</v>
          </cell>
        </row>
        <row r="2440">
          <cell r="I2440" t="str">
            <v>EDI</v>
          </cell>
          <cell r="L2440">
            <v>3097</v>
          </cell>
          <cell r="N2440" t="str">
            <v>Testing</v>
          </cell>
          <cell r="O2440" t="str">
            <v>No</v>
          </cell>
          <cell r="Q2440" t="str">
            <v>In Progress</v>
          </cell>
          <cell r="R2440">
            <v>45414.819085648152</v>
          </cell>
          <cell r="S2440" t="str">
            <v>Andrew Ramy</v>
          </cell>
          <cell r="T2440">
            <v>45440</v>
          </cell>
          <cell r="U2440" t="str">
            <v>Robbie Schappell</v>
          </cell>
          <cell r="V2440">
            <v>45462</v>
          </cell>
          <cell r="Y2440">
            <v>45439</v>
          </cell>
        </row>
        <row r="2441">
          <cell r="I2441" t="str">
            <v>EDI</v>
          </cell>
          <cell r="L2441">
            <v>3080</v>
          </cell>
          <cell r="N2441" t="str">
            <v>Production</v>
          </cell>
          <cell r="O2441" t="str">
            <v>No</v>
          </cell>
          <cell r="Q2441" t="str">
            <v>Live</v>
          </cell>
          <cell r="R2441">
            <v>45414.733819444453</v>
          </cell>
          <cell r="S2441" t="str">
            <v>Reem Radwan</v>
          </cell>
          <cell r="T2441">
            <v>45432</v>
          </cell>
          <cell r="U2441" t="str">
            <v>Trish Kalinczok</v>
          </cell>
          <cell r="V2441">
            <v>45441</v>
          </cell>
          <cell r="W2441">
            <v>25569</v>
          </cell>
          <cell r="Y2441">
            <v>45431</v>
          </cell>
          <cell r="AC2441">
            <v>45449</v>
          </cell>
        </row>
        <row r="2442">
          <cell r="I2442" t="str">
            <v>EDI</v>
          </cell>
          <cell r="L2442">
            <v>3079</v>
          </cell>
          <cell r="N2442" t="str">
            <v>Production</v>
          </cell>
          <cell r="O2442" t="str">
            <v>No</v>
          </cell>
          <cell r="Q2442" t="str">
            <v>Live</v>
          </cell>
          <cell r="R2442">
            <v>45414.729699074072</v>
          </cell>
          <cell r="S2442" t="str">
            <v>Reem Radwan</v>
          </cell>
          <cell r="T2442">
            <v>45432</v>
          </cell>
          <cell r="U2442" t="str">
            <v>Trish Kalinczok</v>
          </cell>
          <cell r="V2442">
            <v>45441</v>
          </cell>
          <cell r="W2442">
            <v>25569</v>
          </cell>
          <cell r="Y2442">
            <v>45428</v>
          </cell>
          <cell r="AC2442">
            <v>45449</v>
          </cell>
        </row>
        <row r="2443">
          <cell r="I2443" t="str">
            <v>EDI</v>
          </cell>
          <cell r="L2443">
            <v>3086</v>
          </cell>
          <cell r="N2443" t="str">
            <v>Production</v>
          </cell>
          <cell r="O2443" t="str">
            <v>No</v>
          </cell>
          <cell r="Q2443" t="str">
            <v>Live</v>
          </cell>
          <cell r="R2443">
            <v>45414.727488425917</v>
          </cell>
          <cell r="S2443" t="str">
            <v>Mina Adel</v>
          </cell>
          <cell r="T2443">
            <v>45431</v>
          </cell>
          <cell r="U2443" t="str">
            <v>Trish Kalinczok</v>
          </cell>
          <cell r="V2443">
            <v>45468</v>
          </cell>
          <cell r="W2443">
            <v>45478</v>
          </cell>
          <cell r="Y2443">
            <v>45428</v>
          </cell>
          <cell r="AC2443">
            <v>45478</v>
          </cell>
        </row>
        <row r="2444">
          <cell r="I2444" t="str">
            <v>EDI</v>
          </cell>
          <cell r="L2444">
            <v>3098</v>
          </cell>
          <cell r="N2444" t="str">
            <v>Production</v>
          </cell>
          <cell r="O2444" t="str">
            <v>Everything Benefits</v>
          </cell>
          <cell r="P2444" t="str">
            <v>Production</v>
          </cell>
          <cell r="Q2444" t="str">
            <v>Live</v>
          </cell>
          <cell r="R2444">
            <v>45414.646805555552</v>
          </cell>
          <cell r="S2444" t="str">
            <v>Alaa Yehia</v>
          </cell>
          <cell r="T2444">
            <v>45436</v>
          </cell>
          <cell r="U2444" t="str">
            <v>Carolina Tanoue</v>
          </cell>
          <cell r="V2444">
            <v>45453</v>
          </cell>
          <cell r="W2444">
            <v>45495</v>
          </cell>
          <cell r="Y2444">
            <v>45432</v>
          </cell>
          <cell r="AC2444">
            <v>45494</v>
          </cell>
        </row>
        <row r="2445">
          <cell r="I2445" t="str">
            <v>EDI</v>
          </cell>
          <cell r="L2445">
            <v>3147</v>
          </cell>
          <cell r="N2445" t="str">
            <v>Production</v>
          </cell>
          <cell r="O2445" t="str">
            <v>Everything Benefits</v>
          </cell>
          <cell r="P2445" t="str">
            <v>Production</v>
          </cell>
          <cell r="Q2445" t="str">
            <v>Live</v>
          </cell>
          <cell r="R2445">
            <v>45414.646793981483</v>
          </cell>
          <cell r="S2445" t="str">
            <v>Mohamed Abdelhamed</v>
          </cell>
          <cell r="T2445">
            <v>45470</v>
          </cell>
          <cell r="U2445" t="str">
            <v>Carolina Tanoue</v>
          </cell>
          <cell r="V2445">
            <v>45481</v>
          </cell>
          <cell r="W2445">
            <v>45523</v>
          </cell>
          <cell r="Y2445">
            <v>45468</v>
          </cell>
          <cell r="AC2445">
            <v>45522</v>
          </cell>
        </row>
        <row r="2446">
          <cell r="I2446" t="str">
            <v>EDI</v>
          </cell>
          <cell r="L2446">
            <v>3099</v>
          </cell>
          <cell r="N2446" t="str">
            <v>Production</v>
          </cell>
          <cell r="O2446" t="str">
            <v>Everything Benefits</v>
          </cell>
          <cell r="P2446" t="str">
            <v>Production</v>
          </cell>
          <cell r="Q2446" t="str">
            <v>Live</v>
          </cell>
          <cell r="R2446">
            <v>45414.646793981483</v>
          </cell>
          <cell r="S2446" t="str">
            <v>Mahmoud Ashraf</v>
          </cell>
          <cell r="T2446">
            <v>45439</v>
          </cell>
          <cell r="U2446" t="str">
            <v>Carolina Tanoue</v>
          </cell>
          <cell r="V2446">
            <v>45475</v>
          </cell>
          <cell r="W2446">
            <v>45558</v>
          </cell>
          <cell r="Y2446">
            <v>45428</v>
          </cell>
          <cell r="AC2446">
            <v>45557</v>
          </cell>
        </row>
        <row r="2447">
          <cell r="I2447" t="str">
            <v>EDI</v>
          </cell>
          <cell r="L2447">
            <v>3060</v>
          </cell>
          <cell r="N2447" t="str">
            <v>Production</v>
          </cell>
          <cell r="O2447" t="str">
            <v>No</v>
          </cell>
          <cell r="Q2447" t="str">
            <v>Live</v>
          </cell>
          <cell r="R2447">
            <v>45413.649537037039</v>
          </cell>
          <cell r="S2447" t="str">
            <v>Reem Radwan</v>
          </cell>
          <cell r="T2447">
            <v>45424</v>
          </cell>
          <cell r="U2447" t="str">
            <v>Robbie Schappell</v>
          </cell>
          <cell r="V2447">
            <v>45495</v>
          </cell>
          <cell r="W2447">
            <v>45617</v>
          </cell>
          <cell r="Y2447">
            <v>45420</v>
          </cell>
          <cell r="AC2447">
            <v>45613</v>
          </cell>
        </row>
        <row r="2448">
          <cell r="I2448" t="str">
            <v>EDI</v>
          </cell>
          <cell r="L2448">
            <v>3068</v>
          </cell>
          <cell r="N2448" t="str">
            <v>Production</v>
          </cell>
          <cell r="O2448" t="str">
            <v>No</v>
          </cell>
          <cell r="Q2448" t="str">
            <v>Live</v>
          </cell>
          <cell r="R2448">
            <v>45412.72724537037</v>
          </cell>
          <cell r="S2448" t="str">
            <v>Mirna Azmy</v>
          </cell>
          <cell r="T2448">
            <v>45425</v>
          </cell>
          <cell r="U2448" t="str">
            <v>Trish Kalinczok</v>
          </cell>
          <cell r="V2448">
            <v>45427</v>
          </cell>
          <cell r="W2448">
            <v>45600</v>
          </cell>
          <cell r="Y2448">
            <v>45423</v>
          </cell>
          <cell r="AC2448">
            <v>45593</v>
          </cell>
        </row>
        <row r="2449">
          <cell r="I2449" t="str">
            <v>EDI</v>
          </cell>
          <cell r="L2449">
            <v>3093</v>
          </cell>
          <cell r="N2449" t="str">
            <v>Production</v>
          </cell>
          <cell r="O2449" t="str">
            <v>No</v>
          </cell>
          <cell r="Q2449" t="str">
            <v>Cancelled</v>
          </cell>
          <cell r="R2449">
            <v>45411.870798611111</v>
          </cell>
          <cell r="S2449" t="str">
            <v>Andrew Ramy</v>
          </cell>
          <cell r="T2449">
            <v>45435</v>
          </cell>
          <cell r="U2449" t="str">
            <v>Trish Kalinczok</v>
          </cell>
          <cell r="V2449">
            <v>45462</v>
          </cell>
          <cell r="W2449">
            <v>45474</v>
          </cell>
          <cell r="Y2449">
            <v>45434</v>
          </cell>
          <cell r="AC2449">
            <v>45470</v>
          </cell>
        </row>
        <row r="2450">
          <cell r="I2450" t="str">
            <v>EDI</v>
          </cell>
          <cell r="L2450">
            <v>3062</v>
          </cell>
          <cell r="N2450" t="str">
            <v>Production</v>
          </cell>
          <cell r="O2450" t="str">
            <v>No</v>
          </cell>
          <cell r="Q2450" t="str">
            <v>Cancelled</v>
          </cell>
          <cell r="R2450">
            <v>45411.797708333332</v>
          </cell>
          <cell r="S2450" t="str">
            <v>Mahmoud Ashraf</v>
          </cell>
          <cell r="T2450">
            <v>45424</v>
          </cell>
          <cell r="U2450" t="str">
            <v>Amy Bergstrom</v>
          </cell>
          <cell r="V2450">
            <v>45442</v>
          </cell>
          <cell r="W2450">
            <v>45478</v>
          </cell>
          <cell r="Y2450">
            <v>45423</v>
          </cell>
          <cell r="AC2450">
            <v>45476</v>
          </cell>
        </row>
        <row r="2451">
          <cell r="I2451" t="str">
            <v>EDI</v>
          </cell>
          <cell r="N2451" t="str">
            <v>Requirements Gathering</v>
          </cell>
          <cell r="O2451" t="str">
            <v>No</v>
          </cell>
          <cell r="Q2451" t="str">
            <v>Cancelled</v>
          </cell>
          <cell r="R2451">
            <v>45411.536215277767</v>
          </cell>
          <cell r="S2451" t="str">
            <v>Abdulrahman Tarek</v>
          </cell>
          <cell r="T2451">
            <v>45412</v>
          </cell>
          <cell r="U2451" t="str">
            <v>Trish Kalinczok</v>
          </cell>
        </row>
        <row r="2452">
          <cell r="I2452" t="str">
            <v>EDI</v>
          </cell>
          <cell r="N2452" t="str">
            <v>Requirements Gathering</v>
          </cell>
          <cell r="O2452" t="str">
            <v>No</v>
          </cell>
          <cell r="Q2452" t="str">
            <v>Cancelled</v>
          </cell>
          <cell r="R2452">
            <v>45407.88417824074</v>
          </cell>
          <cell r="S2452" t="str">
            <v>Abdulrahman Tarek</v>
          </cell>
          <cell r="T2452">
            <v>45411</v>
          </cell>
          <cell r="U2452" t="str">
            <v>Trish Kalinczok</v>
          </cell>
        </row>
        <row r="2453">
          <cell r="I2453" t="str">
            <v>EDI</v>
          </cell>
          <cell r="L2453">
            <v>3196</v>
          </cell>
          <cell r="N2453" t="str">
            <v>Production</v>
          </cell>
          <cell r="O2453" t="str">
            <v>No</v>
          </cell>
          <cell r="Q2453" t="str">
            <v>Live</v>
          </cell>
          <cell r="R2453">
            <v>45407.877453703702</v>
          </cell>
          <cell r="S2453" t="str">
            <v>Mina George</v>
          </cell>
          <cell r="T2453">
            <v>45494</v>
          </cell>
          <cell r="U2453" t="str">
            <v>Matt Howell</v>
          </cell>
          <cell r="V2453">
            <v>45529</v>
          </cell>
          <cell r="W2453">
            <v>45543</v>
          </cell>
          <cell r="Y2453">
            <v>45490</v>
          </cell>
          <cell r="AC2453">
            <v>45543</v>
          </cell>
        </row>
        <row r="2454">
          <cell r="I2454" t="str">
            <v>EDI</v>
          </cell>
          <cell r="N2454" t="str">
            <v>Requirements Gathering</v>
          </cell>
          <cell r="O2454" t="str">
            <v>No</v>
          </cell>
          <cell r="Q2454" t="str">
            <v>Cancelled</v>
          </cell>
          <cell r="R2454">
            <v>45407.877453703702</v>
          </cell>
          <cell r="S2454" t="str">
            <v>Lourina Edmon</v>
          </cell>
          <cell r="T2454">
            <v>45411</v>
          </cell>
          <cell r="U2454" t="str">
            <v>Matt Howell</v>
          </cell>
        </row>
        <row r="2455">
          <cell r="I2455" t="str">
            <v>EDI</v>
          </cell>
          <cell r="L2455">
            <v>3061</v>
          </cell>
          <cell r="N2455" t="str">
            <v>Production</v>
          </cell>
          <cell r="O2455" t="str">
            <v>No</v>
          </cell>
          <cell r="Q2455" t="str">
            <v>Live</v>
          </cell>
          <cell r="R2455">
            <v>45407.877442129633</v>
          </cell>
          <cell r="S2455" t="str">
            <v>Ahmed Ali</v>
          </cell>
          <cell r="T2455">
            <v>45424</v>
          </cell>
          <cell r="U2455" t="str">
            <v>Matt Howell</v>
          </cell>
          <cell r="V2455">
            <v>45455</v>
          </cell>
          <cell r="W2455">
            <v>45538</v>
          </cell>
          <cell r="Y2455">
            <v>45421</v>
          </cell>
          <cell r="AC2455">
            <v>45533</v>
          </cell>
        </row>
        <row r="2456">
          <cell r="I2456" t="str">
            <v>EDI</v>
          </cell>
          <cell r="L2456">
            <v>3053</v>
          </cell>
          <cell r="N2456" t="str">
            <v>Production</v>
          </cell>
          <cell r="O2456" t="str">
            <v>No</v>
          </cell>
          <cell r="Q2456" t="str">
            <v>Live</v>
          </cell>
          <cell r="R2456">
            <v>45407.877442129633</v>
          </cell>
          <cell r="S2456" t="str">
            <v>Reem Radwan</v>
          </cell>
          <cell r="T2456">
            <v>45420</v>
          </cell>
          <cell r="U2456" t="str">
            <v>Matt Howell</v>
          </cell>
          <cell r="V2456">
            <v>45475</v>
          </cell>
          <cell r="W2456">
            <v>45485</v>
          </cell>
          <cell r="Y2456">
            <v>45419</v>
          </cell>
          <cell r="AC2456">
            <v>45484</v>
          </cell>
        </row>
        <row r="2457">
          <cell r="I2457" t="str">
            <v>EDI</v>
          </cell>
          <cell r="L2457">
            <v>3167</v>
          </cell>
          <cell r="N2457" t="str">
            <v>Testing</v>
          </cell>
          <cell r="O2457" t="str">
            <v>No</v>
          </cell>
          <cell r="Q2457" t="str">
            <v>Cancelled</v>
          </cell>
          <cell r="R2457">
            <v>45407.858877314808</v>
          </cell>
          <cell r="S2457" t="str">
            <v>Mirna Azmy</v>
          </cell>
          <cell r="T2457">
            <v>45480</v>
          </cell>
          <cell r="U2457" t="str">
            <v>Trish Kalinczok</v>
          </cell>
          <cell r="V2457">
            <v>45481</v>
          </cell>
          <cell r="Y2457">
            <v>45477</v>
          </cell>
        </row>
        <row r="2458">
          <cell r="I2458" t="str">
            <v>EDI</v>
          </cell>
          <cell r="L2458">
            <v>3092</v>
          </cell>
          <cell r="N2458" t="str">
            <v>Production</v>
          </cell>
          <cell r="O2458" t="str">
            <v>No</v>
          </cell>
          <cell r="Q2458" t="str">
            <v>Cancelled</v>
          </cell>
          <cell r="R2458">
            <v>45406.518182870372</v>
          </cell>
          <cell r="S2458" t="str">
            <v>Amr Salah</v>
          </cell>
          <cell r="T2458">
            <v>45438</v>
          </cell>
          <cell r="U2458" t="str">
            <v>Matt Howell</v>
          </cell>
          <cell r="V2458">
            <v>45446</v>
          </cell>
          <cell r="W2458">
            <v>45470</v>
          </cell>
          <cell r="Y2458">
            <v>45436</v>
          </cell>
          <cell r="AC2458">
            <v>45468</v>
          </cell>
        </row>
        <row r="2459">
          <cell r="I2459" t="str">
            <v>EDI</v>
          </cell>
          <cell r="N2459" t="str">
            <v>Requirements Gathering</v>
          </cell>
          <cell r="O2459" t="str">
            <v>No</v>
          </cell>
          <cell r="Q2459" t="str">
            <v>Cancelled</v>
          </cell>
          <cell r="R2459">
            <v>45406.518171296288</v>
          </cell>
          <cell r="S2459" t="str">
            <v>Lourina Edmon</v>
          </cell>
          <cell r="T2459">
            <v>45406</v>
          </cell>
          <cell r="U2459" t="str">
            <v>Matt Howell</v>
          </cell>
        </row>
        <row r="2460">
          <cell r="I2460" t="str">
            <v>EDI</v>
          </cell>
          <cell r="L2460">
            <v>3041</v>
          </cell>
          <cell r="N2460" t="str">
            <v>Mapping</v>
          </cell>
          <cell r="O2460" t="str">
            <v>No</v>
          </cell>
          <cell r="Q2460" t="str">
            <v>Cancelled</v>
          </cell>
          <cell r="R2460">
            <v>45405.74422453704</v>
          </cell>
          <cell r="S2460" t="str">
            <v>Reem Radwan</v>
          </cell>
          <cell r="T2460">
            <v>45413</v>
          </cell>
          <cell r="U2460" t="str">
            <v>Robbie Schappell</v>
          </cell>
          <cell r="Y2460">
            <v>45407</v>
          </cell>
        </row>
        <row r="2461">
          <cell r="I2461" t="str">
            <v>EDI</v>
          </cell>
          <cell r="L2461">
            <v>3042</v>
          </cell>
          <cell r="N2461" t="str">
            <v>Production</v>
          </cell>
          <cell r="O2461" t="str">
            <v>No</v>
          </cell>
          <cell r="Q2461" t="str">
            <v>Live</v>
          </cell>
          <cell r="R2461">
            <v>45405.602858796286</v>
          </cell>
          <cell r="S2461" t="str">
            <v>Amr Salah</v>
          </cell>
          <cell r="T2461">
            <v>45413</v>
          </cell>
          <cell r="U2461" t="str">
            <v>Robbie Schappell</v>
          </cell>
          <cell r="V2461">
            <v>45490</v>
          </cell>
          <cell r="W2461">
            <v>45572</v>
          </cell>
          <cell r="Y2461">
            <v>45412</v>
          </cell>
          <cell r="AC2461">
            <v>45572</v>
          </cell>
        </row>
        <row r="2462">
          <cell r="I2462" t="str">
            <v>EDI</v>
          </cell>
          <cell r="L2462">
            <v>3103</v>
          </cell>
          <cell r="N2462" t="str">
            <v>Production</v>
          </cell>
          <cell r="O2462" t="str">
            <v>No</v>
          </cell>
          <cell r="Q2462" t="str">
            <v>Live</v>
          </cell>
          <cell r="R2462">
            <v>45404.714606481481</v>
          </cell>
          <cell r="S2462" t="str">
            <v>Aya Fathy</v>
          </cell>
          <cell r="T2462">
            <v>45446</v>
          </cell>
          <cell r="U2462" t="str">
            <v>Hans De Grouw</v>
          </cell>
          <cell r="V2462">
            <v>45450</v>
          </cell>
          <cell r="W2462">
            <v>45471</v>
          </cell>
          <cell r="Y2462">
            <v>45444</v>
          </cell>
          <cell r="AC2462">
            <v>45468</v>
          </cell>
        </row>
        <row r="2463">
          <cell r="I2463" t="str">
            <v>EDI</v>
          </cell>
          <cell r="L2463">
            <v>3035</v>
          </cell>
          <cell r="N2463" t="str">
            <v>Production</v>
          </cell>
          <cell r="O2463" t="str">
            <v>No</v>
          </cell>
          <cell r="Q2463" t="str">
            <v>Live</v>
          </cell>
          <cell r="R2463">
            <v>45404.714594907397</v>
          </cell>
          <cell r="S2463" t="str">
            <v>Amr Salah</v>
          </cell>
          <cell r="T2463">
            <v>45411</v>
          </cell>
          <cell r="U2463" t="str">
            <v>Hans De Grouw</v>
          </cell>
          <cell r="V2463">
            <v>45428</v>
          </cell>
          <cell r="W2463">
            <v>45471</v>
          </cell>
          <cell r="Y2463">
            <v>45410</v>
          </cell>
          <cell r="AC2463">
            <v>45463</v>
          </cell>
        </row>
        <row r="2464">
          <cell r="I2464" t="str">
            <v>EDI</v>
          </cell>
          <cell r="L2464">
            <v>3067</v>
          </cell>
          <cell r="N2464" t="str">
            <v>Production</v>
          </cell>
          <cell r="O2464" t="str">
            <v>No</v>
          </cell>
          <cell r="Q2464" t="str">
            <v>Live</v>
          </cell>
          <cell r="R2464">
            <v>45404.714594907397</v>
          </cell>
          <cell r="S2464" t="str">
            <v>Mahmoud Ashraf</v>
          </cell>
          <cell r="T2464">
            <v>45426</v>
          </cell>
          <cell r="U2464" t="str">
            <v>Hans De Grouw</v>
          </cell>
          <cell r="V2464">
            <v>45466</v>
          </cell>
          <cell r="W2464">
            <v>45596</v>
          </cell>
          <cell r="Y2464">
            <v>45425</v>
          </cell>
          <cell r="AC2464">
            <v>45593</v>
          </cell>
        </row>
        <row r="2465">
          <cell r="I2465" t="str">
            <v>EDI</v>
          </cell>
          <cell r="L2465">
            <v>3044</v>
          </cell>
          <cell r="N2465" t="str">
            <v>Testing</v>
          </cell>
          <cell r="O2465" t="str">
            <v>No</v>
          </cell>
          <cell r="Q2465" t="str">
            <v>Cancelled</v>
          </cell>
          <cell r="R2465">
            <v>45401.823414351849</v>
          </cell>
          <cell r="S2465" t="str">
            <v>Reem Radwan</v>
          </cell>
          <cell r="T2465">
            <v>45414</v>
          </cell>
          <cell r="U2465" t="str">
            <v>Tammy Davies</v>
          </cell>
          <cell r="V2465">
            <v>45448</v>
          </cell>
          <cell r="Y2465">
            <v>45411</v>
          </cell>
        </row>
        <row r="2466">
          <cell r="I2466" t="str">
            <v>EDI</v>
          </cell>
          <cell r="L2466">
            <v>3039</v>
          </cell>
          <cell r="N2466" t="str">
            <v>Production</v>
          </cell>
          <cell r="O2466" t="str">
            <v>No</v>
          </cell>
          <cell r="Q2466" t="str">
            <v>Cancelled</v>
          </cell>
          <cell r="R2466">
            <v>45401.700300925928</v>
          </cell>
          <cell r="S2466" t="str">
            <v>Reem Radwan</v>
          </cell>
          <cell r="T2466">
            <v>45412</v>
          </cell>
          <cell r="U2466" t="str">
            <v>Robbie Schappell</v>
          </cell>
          <cell r="W2466">
            <v>45425</v>
          </cell>
          <cell r="Y2466">
            <v>45411</v>
          </cell>
          <cell r="AC2466">
            <v>45419</v>
          </cell>
        </row>
        <row r="2467">
          <cell r="I2467" t="str">
            <v>EDI</v>
          </cell>
          <cell r="L2467">
            <v>3054</v>
          </cell>
          <cell r="N2467" t="str">
            <v>Production</v>
          </cell>
          <cell r="O2467" t="str">
            <v>No</v>
          </cell>
          <cell r="Q2467" t="str">
            <v>Cancelled</v>
          </cell>
          <cell r="R2467">
            <v>45401.637939814813</v>
          </cell>
          <cell r="S2467" t="str">
            <v>Mirna Azmy</v>
          </cell>
          <cell r="T2467">
            <v>45420</v>
          </cell>
          <cell r="U2467" t="str">
            <v>Matt Howell</v>
          </cell>
          <cell r="V2467">
            <v>45431</v>
          </cell>
          <cell r="W2467">
            <v>45588</v>
          </cell>
          <cell r="Y2467">
            <v>45419</v>
          </cell>
          <cell r="AC2467">
            <v>45593</v>
          </cell>
        </row>
        <row r="2468">
          <cell r="I2468" t="str">
            <v>EDI</v>
          </cell>
          <cell r="L2468">
            <v>3113</v>
          </cell>
          <cell r="N2468" t="str">
            <v>Production</v>
          </cell>
          <cell r="O2468" t="str">
            <v>No</v>
          </cell>
          <cell r="Q2468" t="str">
            <v>Live</v>
          </cell>
          <cell r="R2468">
            <v>45401.589062500003</v>
          </cell>
          <cell r="S2468" t="str">
            <v>Aya Fathy</v>
          </cell>
          <cell r="T2468">
            <v>45453</v>
          </cell>
          <cell r="U2468" t="str">
            <v>Trish Kalinczok</v>
          </cell>
          <cell r="V2468">
            <v>45453</v>
          </cell>
          <cell r="W2468">
            <v>45495</v>
          </cell>
          <cell r="Y2468">
            <v>45452</v>
          </cell>
          <cell r="AC2468">
            <v>45494</v>
          </cell>
        </row>
        <row r="2469">
          <cell r="I2469" t="str">
            <v>EDI</v>
          </cell>
          <cell r="N2469" t="str">
            <v>Requirements Gathering</v>
          </cell>
          <cell r="O2469" t="str">
            <v>No</v>
          </cell>
          <cell r="Q2469" t="str">
            <v>Cancelled</v>
          </cell>
          <cell r="R2469">
            <v>45401.589062500003</v>
          </cell>
          <cell r="S2469" t="str">
            <v>Sandra Adel</v>
          </cell>
          <cell r="T2469">
            <v>45403</v>
          </cell>
          <cell r="U2469" t="str">
            <v>Trish Kalinczok</v>
          </cell>
        </row>
        <row r="2470">
          <cell r="I2470" t="str">
            <v>EDI</v>
          </cell>
          <cell r="L2470">
            <v>3034</v>
          </cell>
          <cell r="N2470" t="str">
            <v>Production</v>
          </cell>
          <cell r="O2470" t="str">
            <v>No</v>
          </cell>
          <cell r="Q2470" t="str">
            <v>Cancelled</v>
          </cell>
          <cell r="R2470">
            <v>45398.84101851852</v>
          </cell>
          <cell r="S2470" t="str">
            <v>Ahmed Ali</v>
          </cell>
          <cell r="T2470">
            <v>45411</v>
          </cell>
          <cell r="U2470" t="str">
            <v>Robbie Schappell</v>
          </cell>
          <cell r="V2470">
            <v>45431</v>
          </cell>
          <cell r="W2470">
            <v>45460</v>
          </cell>
          <cell r="Y2470">
            <v>45407</v>
          </cell>
          <cell r="AC2470">
            <v>45455</v>
          </cell>
        </row>
        <row r="2471">
          <cell r="I2471" t="str">
            <v>EDI</v>
          </cell>
          <cell r="L2471">
            <v>3036</v>
          </cell>
          <cell r="N2471" t="str">
            <v>Production</v>
          </cell>
          <cell r="O2471" t="str">
            <v>No</v>
          </cell>
          <cell r="Q2471" t="str">
            <v>Live</v>
          </cell>
          <cell r="R2471">
            <v>45398.84101851852</v>
          </cell>
          <cell r="S2471" t="str">
            <v>Ahmed Ali</v>
          </cell>
          <cell r="T2471">
            <v>45411</v>
          </cell>
          <cell r="U2471" t="str">
            <v>Robbie Schappell</v>
          </cell>
          <cell r="V2471">
            <v>45434</v>
          </cell>
          <cell r="W2471">
            <v>45496</v>
          </cell>
          <cell r="Y2471">
            <v>45402</v>
          </cell>
          <cell r="AC2471">
            <v>45491</v>
          </cell>
        </row>
        <row r="2472">
          <cell r="I2472" t="str">
            <v>EDI</v>
          </cell>
          <cell r="L2472">
            <v>3051</v>
          </cell>
          <cell r="N2472" t="str">
            <v>Production</v>
          </cell>
          <cell r="O2472" t="str">
            <v>No</v>
          </cell>
          <cell r="Q2472" t="str">
            <v>Live</v>
          </cell>
          <cell r="R2472">
            <v>45398.841006944444</v>
          </cell>
          <cell r="S2472" t="str">
            <v>Ahmed Ali</v>
          </cell>
          <cell r="T2472">
            <v>45419</v>
          </cell>
          <cell r="U2472" t="str">
            <v>Robbie Schappell</v>
          </cell>
          <cell r="V2472">
            <v>45441</v>
          </cell>
          <cell r="W2472">
            <v>45488</v>
          </cell>
          <cell r="Y2472">
            <v>45402</v>
          </cell>
          <cell r="AC2472">
            <v>45484</v>
          </cell>
        </row>
        <row r="2473">
          <cell r="I2473" t="str">
            <v>EDI</v>
          </cell>
          <cell r="L2473">
            <v>3043</v>
          </cell>
          <cell r="N2473" t="str">
            <v>Production</v>
          </cell>
          <cell r="O2473" t="str">
            <v>No</v>
          </cell>
          <cell r="Q2473" t="str">
            <v>Cancelled</v>
          </cell>
          <cell r="R2473">
            <v>45392.784479166658</v>
          </cell>
          <cell r="S2473" t="str">
            <v>Zeyad Khaled</v>
          </cell>
          <cell r="T2473">
            <v>45406</v>
          </cell>
          <cell r="U2473" t="str">
            <v>Trish Kalinczok</v>
          </cell>
          <cell r="V2473">
            <v>45414</v>
          </cell>
          <cell r="W2473">
            <v>45561</v>
          </cell>
          <cell r="Y2473">
            <v>45397</v>
          </cell>
          <cell r="AC2473">
            <v>45558</v>
          </cell>
        </row>
        <row r="2474">
          <cell r="I2474" t="str">
            <v>EDI</v>
          </cell>
          <cell r="N2474" t="str">
            <v>Requirements Gathering</v>
          </cell>
          <cell r="O2474" t="str">
            <v>No</v>
          </cell>
          <cell r="Q2474" t="str">
            <v>Cancelled</v>
          </cell>
          <cell r="R2474">
            <v>45391.827060185176</v>
          </cell>
          <cell r="S2474" t="str">
            <v>Abdulrahman Tarek</v>
          </cell>
          <cell r="T2474">
            <v>45392</v>
          </cell>
          <cell r="U2474" t="str">
            <v>Trish Kalinczok</v>
          </cell>
        </row>
        <row r="2475">
          <cell r="I2475" t="str">
            <v>EDI</v>
          </cell>
          <cell r="L2475">
            <v>3057</v>
          </cell>
          <cell r="N2475" t="str">
            <v>Production</v>
          </cell>
          <cell r="O2475" t="str">
            <v>No</v>
          </cell>
          <cell r="Q2475" t="str">
            <v>Live</v>
          </cell>
          <cell r="R2475">
            <v>45391.745069444441</v>
          </cell>
          <cell r="S2475" t="str">
            <v>Mina Adel</v>
          </cell>
          <cell r="T2475">
            <v>45413</v>
          </cell>
          <cell r="U2475" t="str">
            <v>Trish Kalinczok</v>
          </cell>
          <cell r="V2475">
            <v>45524</v>
          </cell>
          <cell r="W2475">
            <v>46107</v>
          </cell>
          <cell r="Y2475">
            <v>45400</v>
          </cell>
          <cell r="AC2475">
            <v>46098</v>
          </cell>
        </row>
        <row r="2476">
          <cell r="I2476" t="str">
            <v>EDI</v>
          </cell>
          <cell r="L2476">
            <v>3046</v>
          </cell>
          <cell r="N2476" t="str">
            <v>Testing</v>
          </cell>
          <cell r="O2476" t="str">
            <v>No</v>
          </cell>
          <cell r="Q2476" t="str">
            <v>Cancelled</v>
          </cell>
          <cell r="R2476">
            <v>45391.74423611111</v>
          </cell>
          <cell r="S2476" t="str">
            <v>Aya Fathy</v>
          </cell>
          <cell r="T2476">
            <v>45413</v>
          </cell>
          <cell r="U2476" t="str">
            <v>Trish Kalinczok</v>
          </cell>
          <cell r="V2476">
            <v>45498</v>
          </cell>
          <cell r="Y2476">
            <v>45400</v>
          </cell>
        </row>
        <row r="2477">
          <cell r="I2477" t="str">
            <v>EDI</v>
          </cell>
          <cell r="L2477">
            <v>3008</v>
          </cell>
          <cell r="N2477" t="str">
            <v>Production</v>
          </cell>
          <cell r="O2477" t="str">
            <v>No</v>
          </cell>
          <cell r="Q2477" t="str">
            <v>Live</v>
          </cell>
          <cell r="R2477">
            <v>45391.722037037027</v>
          </cell>
          <cell r="S2477" t="str">
            <v>Zeyad Khaled</v>
          </cell>
          <cell r="T2477">
            <v>45399</v>
          </cell>
          <cell r="U2477" t="str">
            <v>Trish Kalinczok</v>
          </cell>
          <cell r="V2477">
            <v>45414</v>
          </cell>
          <cell r="W2477">
            <v>45540</v>
          </cell>
          <cell r="Y2477">
            <v>45397</v>
          </cell>
          <cell r="AC2477">
            <v>45540</v>
          </cell>
        </row>
        <row r="2478">
          <cell r="I2478" t="str">
            <v>EDI</v>
          </cell>
          <cell r="L2478">
            <v>3066</v>
          </cell>
          <cell r="N2478" t="str">
            <v>Production</v>
          </cell>
          <cell r="O2478" t="str">
            <v>Everything Benefits</v>
          </cell>
          <cell r="P2478" t="str">
            <v>Production</v>
          </cell>
          <cell r="Q2478" t="str">
            <v>Live</v>
          </cell>
          <cell r="R2478">
            <v>45389.835069444453</v>
          </cell>
          <cell r="S2478" t="str">
            <v>Ahmed Ali</v>
          </cell>
          <cell r="T2478">
            <v>45426</v>
          </cell>
          <cell r="U2478" t="str">
            <v>Trish Kalinczok</v>
          </cell>
          <cell r="V2478">
            <v>25569</v>
          </cell>
          <cell r="W2478">
            <v>45476</v>
          </cell>
          <cell r="Y2478">
            <v>45419</v>
          </cell>
          <cell r="AC2478">
            <v>45472</v>
          </cell>
        </row>
        <row r="2479">
          <cell r="I2479" t="str">
            <v>EDI</v>
          </cell>
          <cell r="L2479">
            <v>3047</v>
          </cell>
          <cell r="N2479" t="str">
            <v>Production</v>
          </cell>
          <cell r="O2479" t="str">
            <v>No</v>
          </cell>
          <cell r="Q2479" t="str">
            <v>Live</v>
          </cell>
          <cell r="R2479">
            <v>45388.816168981481</v>
          </cell>
          <cell r="S2479" t="str">
            <v>Mina Adel</v>
          </cell>
          <cell r="T2479">
            <v>45403</v>
          </cell>
          <cell r="U2479" t="str">
            <v>Trish Kalinczok</v>
          </cell>
          <cell r="V2479">
            <v>45447</v>
          </cell>
          <cell r="W2479">
            <v>45470</v>
          </cell>
          <cell r="Y2479">
            <v>45391</v>
          </cell>
          <cell r="AC2479">
            <v>45460</v>
          </cell>
        </row>
        <row r="2480">
          <cell r="I2480" t="str">
            <v>EDI</v>
          </cell>
          <cell r="L2480">
            <v>3087</v>
          </cell>
          <cell r="N2480" t="str">
            <v>Production</v>
          </cell>
          <cell r="O2480" t="str">
            <v>No</v>
          </cell>
          <cell r="Q2480" t="str">
            <v>Cancelled</v>
          </cell>
          <cell r="R2480">
            <v>45388.622824074067</v>
          </cell>
          <cell r="S2480" t="str">
            <v>Hazem Rostom</v>
          </cell>
          <cell r="T2480">
            <v>45434</v>
          </cell>
          <cell r="U2480" t="str">
            <v>Trish Kalinczok</v>
          </cell>
          <cell r="V2480">
            <v>45537</v>
          </cell>
          <cell r="W2480">
            <v>45588</v>
          </cell>
          <cell r="Y2480">
            <v>45434</v>
          </cell>
          <cell r="AC2480">
            <v>45588</v>
          </cell>
        </row>
        <row r="2481">
          <cell r="I2481" t="str">
            <v>EDI</v>
          </cell>
          <cell r="L2481">
            <v>3033</v>
          </cell>
          <cell r="N2481" t="str">
            <v>Production</v>
          </cell>
          <cell r="O2481" t="str">
            <v>No</v>
          </cell>
          <cell r="Q2481" t="str">
            <v>Live</v>
          </cell>
          <cell r="R2481">
            <v>45387.927256944437</v>
          </cell>
          <cell r="S2481" t="str">
            <v>Mahmoud Ashraf</v>
          </cell>
          <cell r="T2481">
            <v>45411</v>
          </cell>
          <cell r="U2481" t="str">
            <v>Trish Kalinczok</v>
          </cell>
          <cell r="V2481">
            <v>45413</v>
          </cell>
          <cell r="W2481">
            <v>45691</v>
          </cell>
          <cell r="Y2481">
            <v>45391</v>
          </cell>
          <cell r="AC2481">
            <v>45690</v>
          </cell>
        </row>
        <row r="2482">
          <cell r="I2482" t="str">
            <v>EDI</v>
          </cell>
          <cell r="L2482">
            <v>3055</v>
          </cell>
          <cell r="N2482" t="str">
            <v>Production</v>
          </cell>
          <cell r="O2482" t="str">
            <v>No</v>
          </cell>
          <cell r="Q2482" t="str">
            <v>Live</v>
          </cell>
          <cell r="R2482">
            <v>45387.888379629629</v>
          </cell>
          <cell r="S2482" t="str">
            <v>Mina George</v>
          </cell>
          <cell r="T2482">
            <v>45420</v>
          </cell>
          <cell r="U2482" t="str">
            <v>Trish Kalinczok</v>
          </cell>
          <cell r="V2482">
            <v>45503</v>
          </cell>
          <cell r="W2482">
            <v>45726</v>
          </cell>
          <cell r="Y2482">
            <v>45420</v>
          </cell>
          <cell r="AC2482">
            <v>45726</v>
          </cell>
        </row>
        <row r="2483">
          <cell r="I2483" t="str">
            <v>EDI</v>
          </cell>
          <cell r="L2483">
            <v>3048</v>
          </cell>
          <cell r="N2483" t="str">
            <v>Production</v>
          </cell>
          <cell r="O2483" t="str">
            <v>No</v>
          </cell>
          <cell r="Q2483" t="str">
            <v>Cancelled</v>
          </cell>
          <cell r="R2483">
            <v>45387.888379629629</v>
          </cell>
          <cell r="S2483" t="str">
            <v>Mahmoud Ashraf</v>
          </cell>
          <cell r="T2483">
            <v>45419</v>
          </cell>
          <cell r="U2483" t="str">
            <v>Maria Zea Rodriguez</v>
          </cell>
          <cell r="W2483">
            <v>45435</v>
          </cell>
          <cell r="Y2483">
            <v>45399</v>
          </cell>
          <cell r="AC2483">
            <v>45434</v>
          </cell>
        </row>
        <row r="2484">
          <cell r="I2484" t="str">
            <v>EDI</v>
          </cell>
          <cell r="L2484">
            <v>3071</v>
          </cell>
          <cell r="N2484" t="str">
            <v>Mapping</v>
          </cell>
          <cell r="O2484" t="str">
            <v>No</v>
          </cell>
          <cell r="Q2484" t="str">
            <v>Cancelled</v>
          </cell>
          <cell r="R2484">
            <v>45387.888379629629</v>
          </cell>
          <cell r="S2484" t="str">
            <v>Andrew Ramy</v>
          </cell>
          <cell r="T2484">
            <v>45425</v>
          </cell>
          <cell r="U2484" t="str">
            <v>Maria Zea Rodriguez</v>
          </cell>
          <cell r="Y2484">
            <v>45423</v>
          </cell>
        </row>
        <row r="2485">
          <cell r="I2485" t="str">
            <v>EDI</v>
          </cell>
          <cell r="L2485">
            <v>3032</v>
          </cell>
          <cell r="N2485" t="str">
            <v>Production</v>
          </cell>
          <cell r="O2485" t="str">
            <v>No</v>
          </cell>
          <cell r="Q2485" t="str">
            <v>Cancelled</v>
          </cell>
          <cell r="R2485">
            <v>45386.971261574072</v>
          </cell>
          <cell r="S2485" t="str">
            <v>Reem Radwan</v>
          </cell>
          <cell r="T2485">
            <v>45411</v>
          </cell>
          <cell r="U2485" t="str">
            <v>Trish Kalinczok</v>
          </cell>
          <cell r="V2485">
            <v>45412</v>
          </cell>
          <cell r="W2485">
            <v>45434</v>
          </cell>
          <cell r="Y2485">
            <v>45393</v>
          </cell>
          <cell r="AC2485">
            <v>45433</v>
          </cell>
        </row>
        <row r="2486">
          <cell r="I2486" t="str">
            <v>EDI</v>
          </cell>
          <cell r="L2486">
            <v>3037</v>
          </cell>
          <cell r="N2486" t="str">
            <v>Production</v>
          </cell>
          <cell r="O2486" t="str">
            <v>No</v>
          </cell>
          <cell r="Q2486" t="str">
            <v>Cancelled</v>
          </cell>
          <cell r="R2486">
            <v>45386.67863425926</v>
          </cell>
          <cell r="S2486" t="str">
            <v>Amr Salah</v>
          </cell>
          <cell r="T2486">
            <v>45411</v>
          </cell>
          <cell r="U2486" t="str">
            <v>Hans De Grouw</v>
          </cell>
          <cell r="V2486">
            <v>45576</v>
          </cell>
          <cell r="W2486">
            <v>45673</v>
          </cell>
          <cell r="Y2486">
            <v>45410</v>
          </cell>
          <cell r="AC2486">
            <v>45671</v>
          </cell>
        </row>
        <row r="2487">
          <cell r="I2487" t="str">
            <v>EDI</v>
          </cell>
          <cell r="L2487">
            <v>3024</v>
          </cell>
          <cell r="N2487" t="str">
            <v>Production</v>
          </cell>
          <cell r="O2487" t="str">
            <v>No</v>
          </cell>
          <cell r="Q2487" t="str">
            <v>Cancelled</v>
          </cell>
          <cell r="R2487">
            <v>45386.660092592603</v>
          </cell>
          <cell r="S2487" t="str">
            <v>Noha Moustafa</v>
          </cell>
          <cell r="T2487">
            <v>45406</v>
          </cell>
          <cell r="U2487" t="str">
            <v>Matt Howell</v>
          </cell>
          <cell r="V2487">
            <v>45435</v>
          </cell>
          <cell r="W2487">
            <v>45456</v>
          </cell>
          <cell r="Y2487">
            <v>45391</v>
          </cell>
          <cell r="AC2487">
            <v>45453</v>
          </cell>
        </row>
        <row r="2488">
          <cell r="I2488" t="str">
            <v>EDI</v>
          </cell>
          <cell r="L2488">
            <v>3030</v>
          </cell>
          <cell r="N2488" t="str">
            <v>Production</v>
          </cell>
          <cell r="O2488" t="str">
            <v>No</v>
          </cell>
          <cell r="Q2488" t="str">
            <v>Live</v>
          </cell>
          <cell r="R2488">
            <v>45385.548321759263</v>
          </cell>
          <cell r="S2488" t="str">
            <v>Mina George</v>
          </cell>
          <cell r="T2488">
            <v>45404</v>
          </cell>
          <cell r="U2488" t="str">
            <v>Robbie Schappell</v>
          </cell>
          <cell r="V2488">
            <v>45434</v>
          </cell>
          <cell r="W2488">
            <v>45467</v>
          </cell>
          <cell r="Y2488">
            <v>45389</v>
          </cell>
          <cell r="AC2488">
            <v>45460</v>
          </cell>
        </row>
        <row r="2489">
          <cell r="I2489" t="str">
            <v>EDI</v>
          </cell>
          <cell r="L2489">
            <v>3025</v>
          </cell>
          <cell r="N2489" t="str">
            <v>Production</v>
          </cell>
          <cell r="O2489" t="str">
            <v>No</v>
          </cell>
          <cell r="Q2489" t="str">
            <v>Live</v>
          </cell>
          <cell r="R2489">
            <v>45384.66033564815</v>
          </cell>
          <cell r="S2489" t="str">
            <v>Aya Fathy</v>
          </cell>
          <cell r="T2489">
            <v>45405</v>
          </cell>
          <cell r="U2489" t="str">
            <v>Trish Kalinczok</v>
          </cell>
          <cell r="V2489">
            <v>45408</v>
          </cell>
          <cell r="W2489">
            <v>45425</v>
          </cell>
          <cell r="Y2489">
            <v>45404</v>
          </cell>
          <cell r="AC2489">
            <v>45421</v>
          </cell>
        </row>
        <row r="2490">
          <cell r="I2490" t="str">
            <v>EDI</v>
          </cell>
          <cell r="N2490" t="str">
            <v>Requirements Gathering</v>
          </cell>
          <cell r="O2490" t="str">
            <v>No</v>
          </cell>
          <cell r="Q2490" t="str">
            <v>Cancelled</v>
          </cell>
          <cell r="R2490">
            <v>45384.66033564815</v>
          </cell>
          <cell r="S2490" t="str">
            <v>Abdulrahman Tarek</v>
          </cell>
          <cell r="T2490">
            <v>45385</v>
          </cell>
          <cell r="U2490" t="str">
            <v>Trish Kalinczok</v>
          </cell>
        </row>
        <row r="2491">
          <cell r="I2491" t="str">
            <v>EDI</v>
          </cell>
          <cell r="L2491">
            <v>3070</v>
          </cell>
          <cell r="N2491" t="str">
            <v>Production</v>
          </cell>
          <cell r="O2491" t="str">
            <v>Everything Benefits</v>
          </cell>
          <cell r="P2491" t="str">
            <v>Production</v>
          </cell>
          <cell r="Q2491" t="str">
            <v>Live</v>
          </cell>
          <cell r="R2491">
            <v>45382.640173611107</v>
          </cell>
          <cell r="S2491" t="str">
            <v>Ahmed Ali</v>
          </cell>
          <cell r="T2491">
            <v>45426</v>
          </cell>
          <cell r="U2491" t="str">
            <v>Sandra Valencia</v>
          </cell>
          <cell r="V2491">
            <v>45468</v>
          </cell>
          <cell r="W2491">
            <v>45476</v>
          </cell>
          <cell r="Y2491">
            <v>45419</v>
          </cell>
          <cell r="AC2491">
            <v>45472</v>
          </cell>
        </row>
        <row r="2492">
          <cell r="I2492" t="str">
            <v>EDI</v>
          </cell>
          <cell r="L2492">
            <v>3026</v>
          </cell>
          <cell r="N2492" t="str">
            <v>Production</v>
          </cell>
          <cell r="O2492" t="str">
            <v>No</v>
          </cell>
          <cell r="Q2492" t="str">
            <v>Cancelled</v>
          </cell>
          <cell r="R2492">
            <v>45380.56554398148</v>
          </cell>
          <cell r="S2492" t="str">
            <v>Mina Kamil</v>
          </cell>
          <cell r="T2492">
            <v>45405</v>
          </cell>
          <cell r="U2492" t="str">
            <v>Hans De Grouw</v>
          </cell>
          <cell r="W2492">
            <v>45449</v>
          </cell>
          <cell r="Y2492">
            <v>45389</v>
          </cell>
          <cell r="AC2492">
            <v>45449</v>
          </cell>
        </row>
        <row r="2493">
          <cell r="I2493" t="str">
            <v>EDI</v>
          </cell>
          <cell r="N2493" t="str">
            <v>Requirements Gathering</v>
          </cell>
          <cell r="O2493" t="str">
            <v>No</v>
          </cell>
          <cell r="Q2493" t="str">
            <v>Cancelled</v>
          </cell>
          <cell r="R2493">
            <v>45380.517789351848</v>
          </cell>
          <cell r="S2493" t="str">
            <v>Sandra Adel</v>
          </cell>
          <cell r="T2493">
            <v>45382</v>
          </cell>
          <cell r="U2493" t="str">
            <v>Matt Howell</v>
          </cell>
        </row>
        <row r="2494">
          <cell r="I2494" t="str">
            <v>EDI</v>
          </cell>
          <cell r="L2494">
            <v>3020</v>
          </cell>
          <cell r="N2494" t="str">
            <v>Testing</v>
          </cell>
          <cell r="O2494" t="str">
            <v>No</v>
          </cell>
          <cell r="Q2494" t="str">
            <v>Cancelled</v>
          </cell>
          <cell r="R2494">
            <v>45379.843587962961</v>
          </cell>
          <cell r="S2494" t="str">
            <v>Mirna Azmy</v>
          </cell>
          <cell r="T2494">
            <v>45403</v>
          </cell>
          <cell r="U2494" t="str">
            <v>Trish Kalinczok</v>
          </cell>
          <cell r="V2494">
            <v>45428</v>
          </cell>
          <cell r="Y2494">
            <v>45382</v>
          </cell>
        </row>
        <row r="2495">
          <cell r="I2495" t="str">
            <v>EDI</v>
          </cell>
          <cell r="L2495">
            <v>3005</v>
          </cell>
          <cell r="N2495" t="str">
            <v>Production</v>
          </cell>
          <cell r="O2495" t="str">
            <v>No</v>
          </cell>
          <cell r="Q2495" t="str">
            <v>Cancelled</v>
          </cell>
          <cell r="R2495">
            <v>45379.843576388892</v>
          </cell>
          <cell r="S2495" t="str">
            <v>Aya Fathy</v>
          </cell>
          <cell r="T2495">
            <v>45399</v>
          </cell>
          <cell r="U2495" t="str">
            <v>Trish Kalinczok</v>
          </cell>
          <cell r="V2495">
            <v>45412</v>
          </cell>
          <cell r="W2495">
            <v>45530</v>
          </cell>
          <cell r="Y2495">
            <v>45382</v>
          </cell>
          <cell r="AC2495">
            <v>45527</v>
          </cell>
        </row>
        <row r="2496">
          <cell r="I2496" t="str">
            <v>EDI</v>
          </cell>
          <cell r="L2496">
            <v>3074</v>
          </cell>
          <cell r="N2496" t="str">
            <v>Production</v>
          </cell>
          <cell r="O2496" t="str">
            <v>No</v>
          </cell>
          <cell r="Q2496" t="str">
            <v>Live</v>
          </cell>
          <cell r="R2496">
            <v>45379.839699074073</v>
          </cell>
          <cell r="S2496" t="str">
            <v>Zeyad Khaled</v>
          </cell>
          <cell r="T2496">
            <v>45424</v>
          </cell>
          <cell r="U2496" t="str">
            <v>Trish Kalinczok</v>
          </cell>
          <cell r="V2496">
            <v>45446</v>
          </cell>
          <cell r="W2496">
            <v>45474</v>
          </cell>
          <cell r="Y2496">
            <v>45423</v>
          </cell>
          <cell r="AC2496">
            <v>45476</v>
          </cell>
        </row>
        <row r="2497">
          <cell r="I2497" t="str">
            <v>EDI</v>
          </cell>
          <cell r="L2497">
            <v>3002</v>
          </cell>
          <cell r="N2497" t="str">
            <v>Production</v>
          </cell>
          <cell r="O2497" t="str">
            <v>No</v>
          </cell>
          <cell r="Q2497" t="str">
            <v>Cancelled</v>
          </cell>
          <cell r="R2497">
            <v>45379.786631944437</v>
          </cell>
          <cell r="S2497" t="str">
            <v>Zeyad Khaled</v>
          </cell>
          <cell r="T2497">
            <v>45397</v>
          </cell>
          <cell r="U2497" t="str">
            <v>Trish Kalinczok</v>
          </cell>
          <cell r="V2497">
            <v>45399</v>
          </cell>
          <cell r="W2497">
            <v>45407</v>
          </cell>
          <cell r="Y2497">
            <v>45384</v>
          </cell>
          <cell r="AC2497">
            <v>45406</v>
          </cell>
        </row>
        <row r="2498">
          <cell r="I2498" t="str">
            <v>EDI</v>
          </cell>
          <cell r="L2498">
            <v>2983</v>
          </cell>
          <cell r="N2498" t="str">
            <v>Production</v>
          </cell>
          <cell r="O2498" t="str">
            <v>Everything Benefits</v>
          </cell>
          <cell r="P2498" t="str">
            <v>Production</v>
          </cell>
          <cell r="Q2498" t="str">
            <v>Live</v>
          </cell>
          <cell r="R2498">
            <v>45379.77039351852</v>
          </cell>
          <cell r="S2498" t="str">
            <v>Mohamed Abdelhamed</v>
          </cell>
          <cell r="T2498">
            <v>45386</v>
          </cell>
          <cell r="U2498" t="str">
            <v>Ian Dodd</v>
          </cell>
          <cell r="V2498">
            <v>45433</v>
          </cell>
          <cell r="W2498">
            <v>45498</v>
          </cell>
          <cell r="Y2498">
            <v>45384</v>
          </cell>
          <cell r="AC2498">
            <v>45494</v>
          </cell>
        </row>
        <row r="2499">
          <cell r="I2499" t="str">
            <v>EDI</v>
          </cell>
          <cell r="L2499">
            <v>3078</v>
          </cell>
          <cell r="N2499" t="str">
            <v>Testing</v>
          </cell>
          <cell r="O2499" t="str">
            <v>Everything Benefits</v>
          </cell>
          <cell r="P2499" t="str">
            <v>Migration Testing</v>
          </cell>
          <cell r="Q2499" t="str">
            <v>Cancelled</v>
          </cell>
          <cell r="R2499">
            <v>45379.77039351852</v>
          </cell>
          <cell r="S2499" t="str">
            <v>Nada Ashraf</v>
          </cell>
          <cell r="T2499">
            <v>45423</v>
          </cell>
          <cell r="U2499" t="str">
            <v>Ian Dodd</v>
          </cell>
          <cell r="Y2499">
            <v>45423</v>
          </cell>
        </row>
        <row r="2500">
          <cell r="I2500" t="str">
            <v>EDI</v>
          </cell>
          <cell r="N2500" t="str">
            <v>Pending Start</v>
          </cell>
          <cell r="O2500" t="str">
            <v>Everything Benefits</v>
          </cell>
          <cell r="P2500" t="str">
            <v>Phase 1 - Map Built</v>
          </cell>
          <cell r="Q2500" t="str">
            <v>Cancelled</v>
          </cell>
          <cell r="R2500">
            <v>45378.901782407411</v>
          </cell>
          <cell r="U2500" t="str">
            <v>Juan ParraArismendy</v>
          </cell>
        </row>
        <row r="2501">
          <cell r="I2501" t="str">
            <v>EDI</v>
          </cell>
          <cell r="L2501">
            <v>2998</v>
          </cell>
          <cell r="N2501" t="str">
            <v>Production</v>
          </cell>
          <cell r="O2501" t="str">
            <v>Everything Benefits</v>
          </cell>
          <cell r="P2501" t="str">
            <v>Production</v>
          </cell>
          <cell r="Q2501" t="str">
            <v>Live</v>
          </cell>
          <cell r="R2501">
            <v>45378.887986111113</v>
          </cell>
          <cell r="S2501" t="str">
            <v>Noha Moustafa</v>
          </cell>
          <cell r="T2501">
            <v>45397</v>
          </cell>
          <cell r="U2501" t="str">
            <v>Scott Henrehan</v>
          </cell>
          <cell r="V2501">
            <v>45490</v>
          </cell>
          <cell r="W2501">
            <v>45537</v>
          </cell>
          <cell r="Y2501">
            <v>45386</v>
          </cell>
          <cell r="AC2501">
            <v>45536</v>
          </cell>
        </row>
        <row r="2502">
          <cell r="I2502" t="str">
            <v>EDI</v>
          </cell>
          <cell r="L2502">
            <v>2970</v>
          </cell>
          <cell r="N2502" t="str">
            <v>Production</v>
          </cell>
          <cell r="O2502" t="str">
            <v>Everything Benefits</v>
          </cell>
          <cell r="P2502" t="str">
            <v>Production</v>
          </cell>
          <cell r="Q2502" t="str">
            <v>Live</v>
          </cell>
          <cell r="R2502">
            <v>45378.882569444453</v>
          </cell>
          <cell r="S2502" t="str">
            <v>Noha Moustafa</v>
          </cell>
          <cell r="T2502">
            <v>45384</v>
          </cell>
          <cell r="U2502" t="str">
            <v>Scott Henrehan</v>
          </cell>
          <cell r="V2502">
            <v>45490</v>
          </cell>
          <cell r="W2502">
            <v>45516</v>
          </cell>
          <cell r="Y2502">
            <v>45383</v>
          </cell>
          <cell r="AC2502">
            <v>45515</v>
          </cell>
        </row>
        <row r="2503">
          <cell r="I2503" t="str">
            <v>EDI</v>
          </cell>
          <cell r="L2503">
            <v>2952</v>
          </cell>
          <cell r="N2503" t="str">
            <v>Production</v>
          </cell>
          <cell r="O2503" t="str">
            <v>No</v>
          </cell>
          <cell r="Q2503" t="str">
            <v>Cancelled</v>
          </cell>
          <cell r="R2503">
            <v>45378.878969907397</v>
          </cell>
          <cell r="S2503" t="str">
            <v>Zeyad Khaled</v>
          </cell>
          <cell r="T2503">
            <v>45403</v>
          </cell>
          <cell r="U2503" t="str">
            <v>Robbie Schappell</v>
          </cell>
          <cell r="V2503">
            <v>45434</v>
          </cell>
          <cell r="W2503">
            <v>45495</v>
          </cell>
          <cell r="Y2503">
            <v>45400</v>
          </cell>
          <cell r="AC2503">
            <v>45489</v>
          </cell>
        </row>
        <row r="2504">
          <cell r="I2504" t="str">
            <v>EDI</v>
          </cell>
          <cell r="L2504">
            <v>2995</v>
          </cell>
          <cell r="N2504" t="str">
            <v>Production</v>
          </cell>
          <cell r="O2504" t="str">
            <v>Everything Benefits</v>
          </cell>
          <cell r="P2504" t="str">
            <v>Production</v>
          </cell>
          <cell r="Q2504" t="str">
            <v>Live</v>
          </cell>
          <cell r="R2504">
            <v>45378.87232638889</v>
          </cell>
          <cell r="S2504" t="str">
            <v>Karen Ramy</v>
          </cell>
          <cell r="T2504">
            <v>45383</v>
          </cell>
          <cell r="U2504" t="str">
            <v>Scott Henrehan</v>
          </cell>
          <cell r="V2504">
            <v>45407</v>
          </cell>
          <cell r="W2504">
            <v>45509</v>
          </cell>
          <cell r="Y2504">
            <v>45382</v>
          </cell>
          <cell r="AC2504">
            <v>45507</v>
          </cell>
        </row>
        <row r="2505">
          <cell r="I2505" t="str">
            <v>EDI</v>
          </cell>
          <cell r="L2505">
            <v>2978</v>
          </cell>
          <cell r="N2505" t="str">
            <v>Production</v>
          </cell>
          <cell r="O2505" t="str">
            <v>Everything Benefits</v>
          </cell>
          <cell r="P2505" t="str">
            <v>Production</v>
          </cell>
          <cell r="Q2505" t="str">
            <v>Live</v>
          </cell>
          <cell r="R2505">
            <v>45378.859490740739</v>
          </cell>
          <cell r="S2505" t="str">
            <v>Nada Ashraf</v>
          </cell>
          <cell r="T2505">
            <v>45379</v>
          </cell>
          <cell r="U2505" t="str">
            <v>Trish Kalinczok</v>
          </cell>
          <cell r="V2505">
            <v>45390</v>
          </cell>
          <cell r="W2505">
            <v>45483</v>
          </cell>
          <cell r="Y2505">
            <v>45379</v>
          </cell>
          <cell r="AC2505">
            <v>45480</v>
          </cell>
        </row>
        <row r="2506">
          <cell r="I2506" t="str">
            <v>EDI</v>
          </cell>
          <cell r="L2506">
            <v>2972</v>
          </cell>
          <cell r="N2506" t="str">
            <v>Production</v>
          </cell>
          <cell r="O2506" t="str">
            <v>Everything Benefits</v>
          </cell>
          <cell r="P2506" t="str">
            <v>Production</v>
          </cell>
          <cell r="Q2506" t="str">
            <v>Live</v>
          </cell>
          <cell r="R2506">
            <v>45378.844965277778</v>
          </cell>
          <cell r="S2506" t="str">
            <v>Alaa Yehia</v>
          </cell>
          <cell r="T2506">
            <v>45383</v>
          </cell>
          <cell r="U2506" t="str">
            <v>Ian Dodd</v>
          </cell>
          <cell r="V2506">
            <v>45393</v>
          </cell>
          <cell r="W2506">
            <v>45485</v>
          </cell>
          <cell r="Y2506">
            <v>45380</v>
          </cell>
          <cell r="AC2506">
            <v>45480</v>
          </cell>
        </row>
        <row r="2507">
          <cell r="I2507" t="str">
            <v>EDI</v>
          </cell>
          <cell r="L2507">
            <v>3050</v>
          </cell>
          <cell r="N2507" t="str">
            <v>Production</v>
          </cell>
          <cell r="O2507" t="str">
            <v>Everything Benefits</v>
          </cell>
          <cell r="P2507" t="str">
            <v>Production</v>
          </cell>
          <cell r="Q2507" t="str">
            <v>Live</v>
          </cell>
          <cell r="R2507">
            <v>45378.837766203702</v>
          </cell>
          <cell r="S2507" t="str">
            <v>Hazem Rostom</v>
          </cell>
          <cell r="T2507">
            <v>45410</v>
          </cell>
          <cell r="U2507" t="str">
            <v>Ian Dodd</v>
          </cell>
          <cell r="V2507">
            <v>45484</v>
          </cell>
          <cell r="W2507">
            <v>45533</v>
          </cell>
          <cell r="Y2507">
            <v>45391</v>
          </cell>
          <cell r="AC2507">
            <v>45529</v>
          </cell>
        </row>
        <row r="2508">
          <cell r="I2508" t="str">
            <v>EDI</v>
          </cell>
          <cell r="L2508">
            <v>3007</v>
          </cell>
          <cell r="N2508" t="str">
            <v>Production</v>
          </cell>
          <cell r="O2508" t="str">
            <v>Everything Benefits</v>
          </cell>
          <cell r="P2508" t="str">
            <v>Production</v>
          </cell>
          <cell r="Q2508" t="str">
            <v>Live</v>
          </cell>
          <cell r="R2508">
            <v>45378.828553240739</v>
          </cell>
          <cell r="S2508" t="str">
            <v>Mirna Azmy</v>
          </cell>
          <cell r="T2508">
            <v>45400</v>
          </cell>
          <cell r="U2508" t="str">
            <v>Ian Dodd</v>
          </cell>
          <cell r="V2508">
            <v>45414</v>
          </cell>
          <cell r="W2508">
            <v>45470</v>
          </cell>
          <cell r="Y2508">
            <v>45383</v>
          </cell>
          <cell r="AC2508">
            <v>45469</v>
          </cell>
        </row>
        <row r="2509">
          <cell r="I2509" t="str">
            <v>EDI</v>
          </cell>
          <cell r="L2509">
            <v>2965</v>
          </cell>
          <cell r="N2509" t="str">
            <v>Testing</v>
          </cell>
          <cell r="O2509" t="str">
            <v>Everything Benefits</v>
          </cell>
          <cell r="P2509" t="str">
            <v>Migration Testing</v>
          </cell>
          <cell r="Q2509" t="str">
            <v>Cancelled</v>
          </cell>
          <cell r="R2509">
            <v>45378.818402777782</v>
          </cell>
          <cell r="S2509" t="str">
            <v>Nada Ashraf</v>
          </cell>
          <cell r="T2509">
            <v>45379</v>
          </cell>
          <cell r="U2509" t="str">
            <v>Trish Kalinczok</v>
          </cell>
          <cell r="V2509">
            <v>45385</v>
          </cell>
          <cell r="Y2509">
            <v>45379</v>
          </cell>
        </row>
        <row r="2510">
          <cell r="I2510" t="str">
            <v>EDI</v>
          </cell>
          <cell r="L2510">
            <v>2982</v>
          </cell>
          <cell r="N2510" t="str">
            <v>Production</v>
          </cell>
          <cell r="O2510" t="str">
            <v>Everything Benefits</v>
          </cell>
          <cell r="P2510" t="str">
            <v>Production</v>
          </cell>
          <cell r="Q2510" t="str">
            <v>Live</v>
          </cell>
          <cell r="R2510">
            <v>45378.817372685182</v>
          </cell>
          <cell r="S2510" t="str">
            <v>Alaa Yehia</v>
          </cell>
          <cell r="T2510">
            <v>45386</v>
          </cell>
          <cell r="U2510" t="str">
            <v>Ian Dodd</v>
          </cell>
          <cell r="V2510">
            <v>45398</v>
          </cell>
          <cell r="W2510">
            <v>45461</v>
          </cell>
          <cell r="Y2510">
            <v>45383</v>
          </cell>
          <cell r="AC2510">
            <v>45456</v>
          </cell>
        </row>
        <row r="2511">
          <cell r="I2511" t="str">
            <v>EDI</v>
          </cell>
          <cell r="L2511">
            <v>3031</v>
          </cell>
          <cell r="N2511" t="str">
            <v>Production</v>
          </cell>
          <cell r="O2511" t="str">
            <v>Everything Benefits</v>
          </cell>
          <cell r="P2511" t="str">
            <v>Production</v>
          </cell>
          <cell r="Q2511" t="str">
            <v>Live</v>
          </cell>
          <cell r="R2511">
            <v>45378.767881944441</v>
          </cell>
          <cell r="S2511" t="str">
            <v>Nada Ashraf</v>
          </cell>
          <cell r="T2511">
            <v>45404</v>
          </cell>
          <cell r="U2511" t="str">
            <v>Scott Henrehan</v>
          </cell>
          <cell r="V2511">
            <v>45411</v>
          </cell>
          <cell r="W2511">
            <v>45462</v>
          </cell>
          <cell r="Y2511">
            <v>45386</v>
          </cell>
          <cell r="AC2511">
            <v>45456</v>
          </cell>
        </row>
        <row r="2512">
          <cell r="I2512" t="str">
            <v>EDI</v>
          </cell>
          <cell r="L2512">
            <v>3027</v>
          </cell>
          <cell r="N2512" t="str">
            <v>Production</v>
          </cell>
          <cell r="O2512" t="str">
            <v>Everything Benefits</v>
          </cell>
          <cell r="P2512" t="str">
            <v>Production</v>
          </cell>
          <cell r="Q2512" t="str">
            <v>Live</v>
          </cell>
          <cell r="R2512">
            <v>45378.694687499999</v>
          </cell>
          <cell r="S2512" t="str">
            <v>Mirna Azmy</v>
          </cell>
          <cell r="T2512">
            <v>45405</v>
          </cell>
          <cell r="U2512" t="str">
            <v>Ian Dodd</v>
          </cell>
          <cell r="W2512">
            <v>45470</v>
          </cell>
          <cell r="Y2512">
            <v>45386</v>
          </cell>
          <cell r="AC2512">
            <v>45469</v>
          </cell>
        </row>
        <row r="2513">
          <cell r="I2513" t="str">
            <v>EDI</v>
          </cell>
          <cell r="L2513">
            <v>3028</v>
          </cell>
          <cell r="N2513" t="str">
            <v>Production</v>
          </cell>
          <cell r="O2513" t="str">
            <v>Everything Benefits</v>
          </cell>
          <cell r="P2513" t="str">
            <v>Production</v>
          </cell>
          <cell r="Q2513" t="str">
            <v>Live</v>
          </cell>
          <cell r="R2513">
            <v>45378.683391203696</v>
          </cell>
          <cell r="S2513" t="str">
            <v>Karen Ramy</v>
          </cell>
          <cell r="T2513">
            <v>45404</v>
          </cell>
          <cell r="U2513" t="str">
            <v>Nicole Stevens</v>
          </cell>
          <cell r="V2513">
            <v>45447</v>
          </cell>
          <cell r="W2513">
            <v>25569</v>
          </cell>
          <cell r="Y2513">
            <v>45384</v>
          </cell>
          <cell r="AC2513">
            <v>45494</v>
          </cell>
        </row>
        <row r="2514">
          <cell r="I2514" t="str">
            <v>EDI</v>
          </cell>
          <cell r="L2514">
            <v>3077</v>
          </cell>
          <cell r="N2514" t="str">
            <v>Production</v>
          </cell>
          <cell r="O2514" t="str">
            <v>Everything Benefits</v>
          </cell>
          <cell r="P2514" t="str">
            <v>Production</v>
          </cell>
          <cell r="Q2514" t="str">
            <v>Cancelled</v>
          </cell>
          <cell r="R2514">
            <v>45378.672511574077</v>
          </cell>
          <cell r="S2514" t="str">
            <v>Alaa Yehia</v>
          </cell>
          <cell r="T2514">
            <v>45428</v>
          </cell>
          <cell r="U2514" t="str">
            <v>Ian Dodd</v>
          </cell>
          <cell r="V2514">
            <v>45436</v>
          </cell>
          <cell r="W2514">
            <v>45526</v>
          </cell>
          <cell r="Y2514">
            <v>45419</v>
          </cell>
          <cell r="AC2514">
            <v>45522</v>
          </cell>
        </row>
        <row r="2515">
          <cell r="I2515" t="str">
            <v>EDI</v>
          </cell>
          <cell r="L2515">
            <v>2984</v>
          </cell>
          <cell r="N2515" t="str">
            <v>Testing</v>
          </cell>
          <cell r="O2515" t="str">
            <v>Everything Benefits</v>
          </cell>
          <cell r="P2515" t="str">
            <v>Migration Testing</v>
          </cell>
          <cell r="Q2515" t="str">
            <v>Cancelled</v>
          </cell>
          <cell r="R2515">
            <v>45378.656921296293</v>
          </cell>
          <cell r="S2515" t="str">
            <v>Mohamed Abdelhamed</v>
          </cell>
          <cell r="T2515">
            <v>45386</v>
          </cell>
          <cell r="U2515" t="str">
            <v>Scott Henrehan</v>
          </cell>
          <cell r="V2515">
            <v>45432</v>
          </cell>
          <cell r="Y2515">
            <v>45383</v>
          </cell>
        </row>
        <row r="2516">
          <cell r="I2516" t="str">
            <v>EDI</v>
          </cell>
          <cell r="L2516">
            <v>3063</v>
          </cell>
          <cell r="N2516" t="str">
            <v>Testing</v>
          </cell>
          <cell r="O2516" t="str">
            <v>Everything Benefits</v>
          </cell>
          <cell r="P2516" t="str">
            <v>Migration Testing</v>
          </cell>
          <cell r="Q2516" t="str">
            <v>Cancelled</v>
          </cell>
          <cell r="R2516">
            <v>45378.605011574073</v>
          </cell>
          <cell r="S2516" t="str">
            <v>Mirna Azmy</v>
          </cell>
          <cell r="T2516">
            <v>45420</v>
          </cell>
          <cell r="U2516" t="str">
            <v>Scott Henrehan</v>
          </cell>
          <cell r="V2516">
            <v>45544</v>
          </cell>
          <cell r="Y2516">
            <v>45379</v>
          </cell>
        </row>
        <row r="2517">
          <cell r="I2517" t="str">
            <v>EDI</v>
          </cell>
          <cell r="L2517">
            <v>3058</v>
          </cell>
          <cell r="N2517" t="str">
            <v>Testing</v>
          </cell>
          <cell r="O2517" t="str">
            <v>Everything Benefits</v>
          </cell>
          <cell r="P2517" t="str">
            <v>Migration Testing</v>
          </cell>
          <cell r="Q2517" t="str">
            <v>Cancelled</v>
          </cell>
          <cell r="R2517">
            <v>45378.594861111109</v>
          </cell>
          <cell r="S2517" t="str">
            <v>Mohamed Abdelhamed</v>
          </cell>
          <cell r="T2517">
            <v>45423</v>
          </cell>
          <cell r="U2517" t="str">
            <v>Scott Henrehan</v>
          </cell>
          <cell r="V2517">
            <v>45467</v>
          </cell>
          <cell r="Y2517">
            <v>45419</v>
          </cell>
        </row>
        <row r="2518">
          <cell r="I2518" t="str">
            <v>EDI</v>
          </cell>
          <cell r="L2518">
            <v>3000</v>
          </cell>
          <cell r="N2518" t="str">
            <v>Production</v>
          </cell>
          <cell r="O2518" t="str">
            <v>No</v>
          </cell>
          <cell r="Q2518" t="str">
            <v>Live</v>
          </cell>
          <cell r="R2518">
            <v>45378.593912037039</v>
          </cell>
          <cell r="S2518" t="str">
            <v>Mina George</v>
          </cell>
          <cell r="T2518">
            <v>45397</v>
          </cell>
          <cell r="U2518" t="str">
            <v>Jene Hamm</v>
          </cell>
          <cell r="V2518">
            <v>45460</v>
          </cell>
          <cell r="W2518">
            <v>45586</v>
          </cell>
          <cell r="Y2518">
            <v>45382</v>
          </cell>
          <cell r="AC2518">
            <v>45586</v>
          </cell>
        </row>
        <row r="2519">
          <cell r="I2519" t="str">
            <v>EDI</v>
          </cell>
          <cell r="L2519">
            <v>3072</v>
          </cell>
          <cell r="N2519" t="str">
            <v>Production</v>
          </cell>
          <cell r="O2519" t="str">
            <v>No</v>
          </cell>
          <cell r="Q2519" t="str">
            <v>Live</v>
          </cell>
          <cell r="R2519">
            <v>45377.875115740739</v>
          </cell>
          <cell r="S2519" t="str">
            <v>Alaa Yehia</v>
          </cell>
          <cell r="T2519">
            <v>45423</v>
          </cell>
          <cell r="U2519" t="str">
            <v>Ian Dodd</v>
          </cell>
          <cell r="V2519">
            <v>45481</v>
          </cell>
          <cell r="W2519">
            <v>45611</v>
          </cell>
          <cell r="Y2519">
            <v>45419</v>
          </cell>
          <cell r="AC2519">
            <v>45608</v>
          </cell>
        </row>
        <row r="2520">
          <cell r="I2520" t="str">
            <v>EDI</v>
          </cell>
          <cell r="L2520">
            <v>3022</v>
          </cell>
          <cell r="N2520" t="str">
            <v>Production</v>
          </cell>
          <cell r="O2520" t="str">
            <v>Everything Benefits</v>
          </cell>
          <cell r="P2520" t="str">
            <v>Production</v>
          </cell>
          <cell r="Q2520" t="str">
            <v>Live</v>
          </cell>
          <cell r="R2520">
            <v>45377.817662037043</v>
          </cell>
          <cell r="S2520" t="str">
            <v>Alaa Yehia</v>
          </cell>
          <cell r="T2520">
            <v>45403</v>
          </cell>
          <cell r="U2520" t="str">
            <v>Ian Dodd</v>
          </cell>
          <cell r="V2520">
            <v>45428</v>
          </cell>
          <cell r="W2520">
            <v>45470</v>
          </cell>
          <cell r="Y2520">
            <v>45397</v>
          </cell>
          <cell r="AC2520">
            <v>45465</v>
          </cell>
        </row>
        <row r="2521">
          <cell r="I2521" t="str">
            <v>EDI</v>
          </cell>
          <cell r="L2521">
            <v>2996</v>
          </cell>
          <cell r="N2521" t="str">
            <v>Production</v>
          </cell>
          <cell r="O2521" t="str">
            <v>Everything Benefits</v>
          </cell>
          <cell r="P2521" t="str">
            <v>Production</v>
          </cell>
          <cell r="Q2521" t="str">
            <v>Live</v>
          </cell>
          <cell r="R2521">
            <v>45377.807673611111</v>
          </cell>
          <cell r="S2521" t="str">
            <v>Karen Ramy</v>
          </cell>
          <cell r="T2521">
            <v>45384</v>
          </cell>
          <cell r="U2521" t="str">
            <v>Ian Dodd</v>
          </cell>
          <cell r="V2521">
            <v>45403</v>
          </cell>
          <cell r="W2521">
            <v>45495</v>
          </cell>
          <cell r="Y2521">
            <v>45379</v>
          </cell>
          <cell r="AC2521">
            <v>45494</v>
          </cell>
        </row>
        <row r="2522">
          <cell r="I2522" t="str">
            <v>EDI</v>
          </cell>
          <cell r="L2522">
            <v>2964</v>
          </cell>
          <cell r="N2522" t="str">
            <v>Production</v>
          </cell>
          <cell r="O2522" t="str">
            <v>Everything Benefits</v>
          </cell>
          <cell r="P2522" t="str">
            <v>Production</v>
          </cell>
          <cell r="Q2522" t="str">
            <v>Live</v>
          </cell>
          <cell r="R2522">
            <v>45377.801689814813</v>
          </cell>
          <cell r="S2522" t="str">
            <v>Nada Ashraf</v>
          </cell>
          <cell r="T2522">
            <v>45379</v>
          </cell>
          <cell r="U2522" t="str">
            <v>Trish Kalinczok</v>
          </cell>
          <cell r="V2522">
            <v>45398</v>
          </cell>
          <cell r="W2522">
            <v>45593</v>
          </cell>
          <cell r="Y2522">
            <v>45379</v>
          </cell>
          <cell r="AC2522">
            <v>45592</v>
          </cell>
        </row>
        <row r="2523">
          <cell r="I2523" t="str">
            <v>EDI</v>
          </cell>
          <cell r="L2523">
            <v>3010</v>
          </cell>
          <cell r="N2523" t="str">
            <v>Production</v>
          </cell>
          <cell r="O2523" t="str">
            <v>Everything Benefits</v>
          </cell>
          <cell r="P2523" t="str">
            <v>Production</v>
          </cell>
          <cell r="Q2523" t="str">
            <v>Cancelled</v>
          </cell>
          <cell r="R2523">
            <v>45377.801689814813</v>
          </cell>
          <cell r="S2523" t="str">
            <v>Hazem Rostom</v>
          </cell>
          <cell r="T2523">
            <v>45399</v>
          </cell>
          <cell r="U2523" t="str">
            <v>Trish Kalinczok</v>
          </cell>
          <cell r="V2523">
            <v>45495</v>
          </cell>
          <cell r="W2523">
            <v>45572</v>
          </cell>
          <cell r="Y2523">
            <v>45398</v>
          </cell>
          <cell r="AC2523">
            <v>45571</v>
          </cell>
        </row>
        <row r="2524">
          <cell r="I2524" t="str">
            <v>EDI</v>
          </cell>
          <cell r="L2524">
            <v>3049</v>
          </cell>
          <cell r="N2524" t="str">
            <v>Testing</v>
          </cell>
          <cell r="O2524" t="str">
            <v>Everything Benefits</v>
          </cell>
          <cell r="P2524" t="str">
            <v>Migration Testing</v>
          </cell>
          <cell r="Q2524" t="str">
            <v>Cancelled</v>
          </cell>
          <cell r="R2524">
            <v>45377.791909722233</v>
          </cell>
          <cell r="S2524" t="str">
            <v>Karen Ramy</v>
          </cell>
          <cell r="T2524">
            <v>45410</v>
          </cell>
          <cell r="U2524" t="str">
            <v>Ian Dodd</v>
          </cell>
          <cell r="V2524">
            <v>25569</v>
          </cell>
          <cell r="Y2524">
            <v>45384</v>
          </cell>
        </row>
        <row r="2525">
          <cell r="I2525" t="str">
            <v>EDI</v>
          </cell>
          <cell r="L2525">
            <v>3012</v>
          </cell>
          <cell r="N2525" t="str">
            <v>Production</v>
          </cell>
          <cell r="O2525" t="str">
            <v>Everything Benefits</v>
          </cell>
          <cell r="P2525" t="str">
            <v>Production</v>
          </cell>
          <cell r="Q2525" t="str">
            <v>Live</v>
          </cell>
          <cell r="R2525">
            <v>45377.782268518517</v>
          </cell>
          <cell r="S2525" t="str">
            <v>Hazem Rostom</v>
          </cell>
          <cell r="T2525">
            <v>45398</v>
          </cell>
          <cell r="U2525" t="str">
            <v>Benjamin Labowitz</v>
          </cell>
          <cell r="V2525">
            <v>25569</v>
          </cell>
          <cell r="W2525">
            <v>45530</v>
          </cell>
          <cell r="Y2525">
            <v>45384</v>
          </cell>
          <cell r="AC2525">
            <v>45529</v>
          </cell>
        </row>
        <row r="2526">
          <cell r="I2526" t="str">
            <v>EDI</v>
          </cell>
          <cell r="L2526">
            <v>3056</v>
          </cell>
          <cell r="N2526" t="str">
            <v>Production</v>
          </cell>
          <cell r="O2526" t="str">
            <v>Everything Benefits</v>
          </cell>
          <cell r="P2526" t="str">
            <v>Production</v>
          </cell>
          <cell r="Q2526" t="str">
            <v>Live</v>
          </cell>
          <cell r="R2526">
            <v>45377.685011574067</v>
          </cell>
          <cell r="S2526" t="str">
            <v>Nada Ashraf</v>
          </cell>
          <cell r="T2526">
            <v>45410</v>
          </cell>
          <cell r="U2526" t="str">
            <v>Scott Henrehan</v>
          </cell>
          <cell r="V2526">
            <v>25569</v>
          </cell>
          <cell r="W2526">
            <v>25569</v>
          </cell>
          <cell r="Y2526">
            <v>45399</v>
          </cell>
          <cell r="AC2526">
            <v>45542</v>
          </cell>
        </row>
        <row r="2527">
          <cell r="I2527" t="str">
            <v>EDI</v>
          </cell>
          <cell r="L2527">
            <v>3015</v>
          </cell>
          <cell r="N2527" t="str">
            <v>Testing</v>
          </cell>
          <cell r="O2527" t="str">
            <v>Everything Benefits</v>
          </cell>
          <cell r="P2527" t="str">
            <v>Migration Testing</v>
          </cell>
          <cell r="Q2527" t="str">
            <v>Cancelled</v>
          </cell>
          <cell r="R2527">
            <v>45377.666828703703</v>
          </cell>
          <cell r="S2527" t="str">
            <v>Karen Ramy</v>
          </cell>
          <cell r="T2527">
            <v>45398</v>
          </cell>
          <cell r="U2527" t="str">
            <v>Scott Henrehan</v>
          </cell>
          <cell r="V2527">
            <v>45454</v>
          </cell>
          <cell r="Y2527">
            <v>45395</v>
          </cell>
        </row>
        <row r="2528">
          <cell r="I2528" t="str">
            <v>EDI</v>
          </cell>
          <cell r="L2528">
            <v>2967</v>
          </cell>
          <cell r="N2528" t="str">
            <v>Production</v>
          </cell>
          <cell r="O2528" t="str">
            <v>Everything Benefits</v>
          </cell>
          <cell r="P2528" t="str">
            <v>Production</v>
          </cell>
          <cell r="Q2528" t="str">
            <v>Live</v>
          </cell>
          <cell r="R2528">
            <v>45377.634918981479</v>
          </cell>
          <cell r="S2528" t="str">
            <v>Mohamed Abdelhamed</v>
          </cell>
          <cell r="T2528">
            <v>45383</v>
          </cell>
          <cell r="U2528" t="str">
            <v>Scott Henrehan</v>
          </cell>
          <cell r="V2528">
            <v>45457</v>
          </cell>
          <cell r="W2528">
            <v>45510</v>
          </cell>
          <cell r="Y2528">
            <v>45380</v>
          </cell>
          <cell r="AC2528">
            <v>45507</v>
          </cell>
        </row>
        <row r="2529">
          <cell r="I2529" t="str">
            <v>EDI</v>
          </cell>
          <cell r="N2529" t="str">
            <v>Requirements Gathering</v>
          </cell>
          <cell r="O2529" t="str">
            <v>Everything Benefits</v>
          </cell>
          <cell r="P2529" t="str">
            <v>Phase 1 - Map Built</v>
          </cell>
          <cell r="Q2529" t="str">
            <v>Cancelled</v>
          </cell>
          <cell r="R2529">
            <v>45377.629131944443</v>
          </cell>
          <cell r="S2529" t="str">
            <v>Sandra Adel</v>
          </cell>
          <cell r="T2529">
            <v>45378</v>
          </cell>
          <cell r="U2529" t="str">
            <v>Sandra Valencia</v>
          </cell>
        </row>
        <row r="2530">
          <cell r="I2530" t="str">
            <v>EDI</v>
          </cell>
          <cell r="L2530">
            <v>3001</v>
          </cell>
          <cell r="N2530" t="str">
            <v>Production</v>
          </cell>
          <cell r="O2530" t="str">
            <v>Everything Benefits</v>
          </cell>
          <cell r="P2530" t="str">
            <v>Production</v>
          </cell>
          <cell r="Q2530" t="str">
            <v>Cancelled</v>
          </cell>
          <cell r="R2530">
            <v>45377.629120370373</v>
          </cell>
          <cell r="S2530" t="str">
            <v>Nada Ashraf</v>
          </cell>
          <cell r="T2530">
            <v>45386</v>
          </cell>
          <cell r="U2530" t="str">
            <v>Trish Kalinczok</v>
          </cell>
          <cell r="V2530">
            <v>45398</v>
          </cell>
          <cell r="W2530">
            <v>45509</v>
          </cell>
          <cell r="Y2530">
            <v>45384</v>
          </cell>
          <cell r="AC2530">
            <v>45507</v>
          </cell>
        </row>
        <row r="2531">
          <cell r="I2531" t="str">
            <v>EDI</v>
          </cell>
          <cell r="L2531">
            <v>2986</v>
          </cell>
          <cell r="N2531" t="str">
            <v>Production</v>
          </cell>
          <cell r="O2531" t="str">
            <v>Everything Benefits</v>
          </cell>
          <cell r="P2531" t="str">
            <v>Production</v>
          </cell>
          <cell r="Q2531" t="str">
            <v>Cancelled</v>
          </cell>
          <cell r="R2531">
            <v>45377.629120370373</v>
          </cell>
          <cell r="S2531" t="str">
            <v>Karen Ramy</v>
          </cell>
          <cell r="T2531">
            <v>45383</v>
          </cell>
          <cell r="U2531" t="str">
            <v>Sandra Valencia</v>
          </cell>
          <cell r="V2531">
            <v>45390</v>
          </cell>
          <cell r="W2531">
            <v>45425</v>
          </cell>
          <cell r="Y2531">
            <v>45379</v>
          </cell>
          <cell r="AC2531">
            <v>45424</v>
          </cell>
        </row>
        <row r="2532">
          <cell r="I2532" t="str">
            <v>EDI</v>
          </cell>
          <cell r="L2532">
            <v>2994</v>
          </cell>
          <cell r="N2532" t="str">
            <v>Production</v>
          </cell>
          <cell r="O2532" t="str">
            <v>Everything Benefits</v>
          </cell>
          <cell r="P2532" t="str">
            <v>Production</v>
          </cell>
          <cell r="Q2532" t="str">
            <v>Live</v>
          </cell>
          <cell r="R2532">
            <v>45377.629120370373</v>
          </cell>
          <cell r="S2532" t="str">
            <v>Karen Ramy</v>
          </cell>
          <cell r="T2532">
            <v>45383</v>
          </cell>
          <cell r="U2532" t="str">
            <v>Trish Kalinczok</v>
          </cell>
          <cell r="V2532">
            <v>45417</v>
          </cell>
          <cell r="W2532">
            <v>45509</v>
          </cell>
          <cell r="Y2532">
            <v>45379</v>
          </cell>
          <cell r="AC2532">
            <v>45507</v>
          </cell>
        </row>
        <row r="2533">
          <cell r="I2533" t="str">
            <v>EDI</v>
          </cell>
          <cell r="L2533">
            <v>3045</v>
          </cell>
          <cell r="N2533" t="str">
            <v>Production</v>
          </cell>
          <cell r="O2533" t="str">
            <v>Everything Benefits</v>
          </cell>
          <cell r="P2533" t="str">
            <v>Production</v>
          </cell>
          <cell r="Q2533" t="str">
            <v>Cancelled</v>
          </cell>
          <cell r="R2533">
            <v>45377.617291666669</v>
          </cell>
          <cell r="S2533" t="str">
            <v>Alaa Yehia</v>
          </cell>
          <cell r="T2533">
            <v>45410</v>
          </cell>
          <cell r="U2533" t="str">
            <v>Ian Dodd</v>
          </cell>
          <cell r="V2533">
            <v>45439</v>
          </cell>
          <cell r="W2533">
            <v>45474</v>
          </cell>
          <cell r="Y2533">
            <v>45404</v>
          </cell>
          <cell r="AC2533">
            <v>45471</v>
          </cell>
        </row>
        <row r="2534">
          <cell r="I2534" t="str">
            <v>EDI</v>
          </cell>
          <cell r="L2534">
            <v>3016</v>
          </cell>
          <cell r="N2534" t="str">
            <v>Production</v>
          </cell>
          <cell r="O2534" t="str">
            <v>Everything Benefits</v>
          </cell>
          <cell r="P2534" t="str">
            <v>Production</v>
          </cell>
          <cell r="Q2534" t="str">
            <v>Live</v>
          </cell>
          <cell r="R2534">
            <v>45377.586458333331</v>
          </cell>
          <cell r="S2534" t="str">
            <v>Salma Yamani</v>
          </cell>
          <cell r="T2534">
            <v>45397</v>
          </cell>
          <cell r="U2534" t="str">
            <v>Ian Dodd</v>
          </cell>
          <cell r="W2534">
            <v>45470</v>
          </cell>
          <cell r="Y2534">
            <v>45388</v>
          </cell>
          <cell r="AC2534">
            <v>45470</v>
          </cell>
        </row>
        <row r="2535">
          <cell r="I2535" t="str">
            <v>EDI</v>
          </cell>
          <cell r="L2535">
            <v>2997</v>
          </cell>
          <cell r="N2535" t="str">
            <v>Testing</v>
          </cell>
          <cell r="O2535" t="str">
            <v>No</v>
          </cell>
          <cell r="Q2535" t="str">
            <v>Cancelled</v>
          </cell>
          <cell r="R2535">
            <v>45376.874444444453</v>
          </cell>
          <cell r="S2535" t="str">
            <v>Mirna Azmy</v>
          </cell>
          <cell r="T2535">
            <v>45397</v>
          </cell>
          <cell r="U2535" t="str">
            <v>Matt Howell</v>
          </cell>
          <cell r="V2535">
            <v>45512</v>
          </cell>
          <cell r="Y2535">
            <v>45378</v>
          </cell>
        </row>
        <row r="2536">
          <cell r="I2536" t="str">
            <v>EDI</v>
          </cell>
          <cell r="L2536">
            <v>3003</v>
          </cell>
          <cell r="N2536" t="str">
            <v>Production</v>
          </cell>
          <cell r="O2536" t="str">
            <v>Everything Benefits</v>
          </cell>
          <cell r="P2536" t="str">
            <v>Production</v>
          </cell>
          <cell r="Q2536" t="str">
            <v>Live</v>
          </cell>
          <cell r="R2536">
            <v>45376.818043981482</v>
          </cell>
          <cell r="S2536" t="str">
            <v>Alaa Yehia</v>
          </cell>
          <cell r="T2536">
            <v>45398</v>
          </cell>
          <cell r="U2536" t="str">
            <v>Ian Dodd</v>
          </cell>
          <cell r="V2536">
            <v>45411</v>
          </cell>
          <cell r="W2536">
            <v>45460</v>
          </cell>
          <cell r="Y2536">
            <v>45397</v>
          </cell>
          <cell r="AC2536">
            <v>45456</v>
          </cell>
        </row>
        <row r="2537">
          <cell r="I2537" t="str">
            <v>EDI</v>
          </cell>
          <cell r="L2537">
            <v>3023</v>
          </cell>
          <cell r="N2537" t="str">
            <v>Production</v>
          </cell>
          <cell r="O2537" t="str">
            <v>Everything Benefits</v>
          </cell>
          <cell r="P2537" t="str">
            <v>Production</v>
          </cell>
          <cell r="Q2537" t="str">
            <v>Live</v>
          </cell>
          <cell r="R2537">
            <v>45376.788587962961</v>
          </cell>
          <cell r="S2537" t="str">
            <v>Nada Ashraf</v>
          </cell>
          <cell r="T2537">
            <v>45398</v>
          </cell>
          <cell r="U2537" t="str">
            <v>Ian Dodd</v>
          </cell>
          <cell r="V2537">
            <v>45405</v>
          </cell>
          <cell r="W2537">
            <v>45509</v>
          </cell>
          <cell r="Y2537">
            <v>45386</v>
          </cell>
          <cell r="AC2537">
            <v>45507</v>
          </cell>
        </row>
        <row r="2538">
          <cell r="I2538" t="str">
            <v>EDI</v>
          </cell>
          <cell r="L2538">
            <v>2971</v>
          </cell>
          <cell r="N2538" t="str">
            <v>Testing</v>
          </cell>
          <cell r="O2538" t="str">
            <v>Everything Benefits</v>
          </cell>
          <cell r="P2538" t="str">
            <v>Migration Testing</v>
          </cell>
          <cell r="Q2538" t="str">
            <v>Cancelled</v>
          </cell>
          <cell r="R2538">
            <v>45376.417442129627</v>
          </cell>
          <cell r="S2538" t="str">
            <v>Karim Tarek</v>
          </cell>
          <cell r="T2538">
            <v>45708</v>
          </cell>
          <cell r="U2538" t="str">
            <v>Destinee Duncan</v>
          </cell>
          <cell r="V2538">
            <v>45420</v>
          </cell>
          <cell r="Y2538">
            <v>45378</v>
          </cell>
        </row>
        <row r="2539">
          <cell r="I2539" t="str">
            <v>EDI</v>
          </cell>
          <cell r="L2539">
            <v>2951</v>
          </cell>
          <cell r="N2539" t="str">
            <v>Production</v>
          </cell>
          <cell r="O2539" t="str">
            <v>Everything Benefits</v>
          </cell>
          <cell r="P2539" t="str">
            <v>Production</v>
          </cell>
          <cell r="Q2539" t="str">
            <v>Live</v>
          </cell>
          <cell r="R2539">
            <v>45373.901273148149</v>
          </cell>
          <cell r="S2539" t="str">
            <v>Mohamed Abdelhamed</v>
          </cell>
          <cell r="T2539">
            <v>45377</v>
          </cell>
          <cell r="U2539" t="str">
            <v>Juan ParraArismendy</v>
          </cell>
          <cell r="V2539">
            <v>45379</v>
          </cell>
          <cell r="W2539">
            <v>45421</v>
          </cell>
          <cell r="Y2539">
            <v>45376</v>
          </cell>
          <cell r="AC2539">
            <v>45417</v>
          </cell>
        </row>
        <row r="2540">
          <cell r="I2540" t="str">
            <v>EDI</v>
          </cell>
          <cell r="L2540">
            <v>3004</v>
          </cell>
          <cell r="N2540" t="str">
            <v>Production</v>
          </cell>
          <cell r="O2540" t="str">
            <v>No</v>
          </cell>
          <cell r="Q2540" t="str">
            <v>Live</v>
          </cell>
          <cell r="R2540">
            <v>45373.828657407408</v>
          </cell>
          <cell r="S2540" t="str">
            <v>Aya Fathy</v>
          </cell>
          <cell r="T2540">
            <v>45397</v>
          </cell>
          <cell r="U2540" t="str">
            <v>Trish Kalinczok</v>
          </cell>
          <cell r="V2540">
            <v>45405</v>
          </cell>
          <cell r="W2540">
            <v>45481</v>
          </cell>
          <cell r="Y2540">
            <v>45380</v>
          </cell>
          <cell r="AC2540">
            <v>45476</v>
          </cell>
        </row>
        <row r="2541">
          <cell r="I2541" t="str">
            <v>EDI</v>
          </cell>
          <cell r="L2541">
            <v>2946</v>
          </cell>
          <cell r="N2541" t="str">
            <v>Production</v>
          </cell>
          <cell r="O2541" t="str">
            <v>No</v>
          </cell>
          <cell r="Q2541" t="str">
            <v>Cancelled</v>
          </cell>
          <cell r="R2541">
            <v>45373.722291666672</v>
          </cell>
          <cell r="S2541" t="str">
            <v>Mina Kamil</v>
          </cell>
          <cell r="T2541">
            <v>45378</v>
          </cell>
          <cell r="U2541" t="str">
            <v>Robbie Schappell</v>
          </cell>
          <cell r="V2541">
            <v>45393</v>
          </cell>
          <cell r="W2541">
            <v>45446</v>
          </cell>
          <cell r="Y2541">
            <v>45378</v>
          </cell>
          <cell r="AC2541">
            <v>45442</v>
          </cell>
        </row>
        <row r="2542">
          <cell r="I2542" t="str">
            <v>EDI</v>
          </cell>
          <cell r="L2542">
            <v>3052</v>
          </cell>
          <cell r="N2542" t="str">
            <v>Production</v>
          </cell>
          <cell r="O2542" t="str">
            <v>No</v>
          </cell>
          <cell r="Q2542" t="str">
            <v>Live</v>
          </cell>
          <cell r="R2542">
            <v>45372.843182870369</v>
          </cell>
          <cell r="S2542" t="str">
            <v>Amr Salah</v>
          </cell>
          <cell r="T2542">
            <v>45419</v>
          </cell>
          <cell r="U2542" t="str">
            <v>Hans De Grouw</v>
          </cell>
          <cell r="V2542">
            <v>45468</v>
          </cell>
          <cell r="W2542">
            <v>45483</v>
          </cell>
          <cell r="Y2542">
            <v>45411</v>
          </cell>
          <cell r="AC2542">
            <v>45480</v>
          </cell>
        </row>
        <row r="2543">
          <cell r="I2543" t="str">
            <v>EDI</v>
          </cell>
          <cell r="L2543">
            <v>2987</v>
          </cell>
          <cell r="N2543" t="str">
            <v>Production</v>
          </cell>
          <cell r="O2543" t="str">
            <v>Everything Benefits</v>
          </cell>
          <cell r="P2543" t="str">
            <v>Production</v>
          </cell>
          <cell r="Q2543" t="str">
            <v>Live</v>
          </cell>
          <cell r="R2543">
            <v>45372.820983796293</v>
          </cell>
          <cell r="S2543" t="str">
            <v>Alaa Yehia</v>
          </cell>
          <cell r="T2543">
            <v>45383</v>
          </cell>
          <cell r="U2543" t="str">
            <v>Ian Dodd</v>
          </cell>
          <cell r="V2543">
            <v>45406</v>
          </cell>
          <cell r="W2543">
            <v>25569</v>
          </cell>
          <cell r="Y2543">
            <v>45382</v>
          </cell>
          <cell r="AC2543">
            <v>45522</v>
          </cell>
        </row>
        <row r="2544">
          <cell r="I2544" t="str">
            <v>EDI</v>
          </cell>
          <cell r="L2544">
            <v>3011</v>
          </cell>
          <cell r="N2544" t="str">
            <v>Production</v>
          </cell>
          <cell r="O2544" t="str">
            <v>No</v>
          </cell>
          <cell r="Q2544" t="str">
            <v>Cancelled</v>
          </cell>
          <cell r="R2544">
            <v>45371.849050925928</v>
          </cell>
          <cell r="S2544" t="str">
            <v>Mina Adel</v>
          </cell>
          <cell r="T2544">
            <v>45397</v>
          </cell>
          <cell r="U2544" t="str">
            <v>Trish Kalinczok</v>
          </cell>
          <cell r="V2544">
            <v>45424</v>
          </cell>
          <cell r="W2544">
            <v>45447</v>
          </cell>
          <cell r="Y2544">
            <v>45372</v>
          </cell>
          <cell r="AC2544">
            <v>45446</v>
          </cell>
        </row>
        <row r="2545">
          <cell r="I2545" t="str">
            <v>EDI</v>
          </cell>
          <cell r="L2545">
            <v>2974</v>
          </cell>
          <cell r="N2545" t="str">
            <v>Testing</v>
          </cell>
          <cell r="O2545" t="str">
            <v>Everything Benefits</v>
          </cell>
          <cell r="P2545" t="str">
            <v>Migration Testing</v>
          </cell>
          <cell r="Q2545" t="str">
            <v>Cancelled</v>
          </cell>
          <cell r="R2545">
            <v>45371.798958333333</v>
          </cell>
          <cell r="S2545" t="str">
            <v>Karen Ramy</v>
          </cell>
          <cell r="T2545">
            <v>45379</v>
          </cell>
          <cell r="U2545" t="str">
            <v>Ian Dodd</v>
          </cell>
          <cell r="V2545">
            <v>45389</v>
          </cell>
          <cell r="Y2545">
            <v>45378</v>
          </cell>
        </row>
        <row r="2546">
          <cell r="I2546" t="str">
            <v>EDI</v>
          </cell>
          <cell r="L2546">
            <v>2949</v>
          </cell>
          <cell r="N2546" t="str">
            <v>Production</v>
          </cell>
          <cell r="O2546" t="str">
            <v>Everything Benefits</v>
          </cell>
          <cell r="P2546" t="str">
            <v>Production</v>
          </cell>
          <cell r="Q2546" t="str">
            <v>Live</v>
          </cell>
          <cell r="R2546">
            <v>45371.775659722232</v>
          </cell>
          <cell r="S2546" t="str">
            <v>Karen Ramy</v>
          </cell>
          <cell r="T2546">
            <v>45377</v>
          </cell>
          <cell r="U2546" t="str">
            <v>Ian Dodd</v>
          </cell>
          <cell r="V2546">
            <v>45383</v>
          </cell>
          <cell r="W2546">
            <v>25569</v>
          </cell>
          <cell r="Y2546">
            <v>45377</v>
          </cell>
          <cell r="AC2546">
            <v>45472</v>
          </cell>
        </row>
        <row r="2547">
          <cell r="I2547" t="str">
            <v>EDI</v>
          </cell>
          <cell r="L2547">
            <v>3021</v>
          </cell>
          <cell r="N2547" t="str">
            <v>Production</v>
          </cell>
          <cell r="O2547" t="str">
            <v>No</v>
          </cell>
          <cell r="Q2547" t="str">
            <v>Live</v>
          </cell>
          <cell r="R2547">
            <v>45371.7187962963</v>
          </cell>
          <cell r="S2547" t="str">
            <v>Omnia Abdelaziz</v>
          </cell>
          <cell r="T2547">
            <v>45403</v>
          </cell>
          <cell r="U2547" t="str">
            <v>Tammy Davies</v>
          </cell>
          <cell r="V2547">
            <v>45445</v>
          </cell>
          <cell r="W2547">
            <v>45455</v>
          </cell>
          <cell r="Y2547">
            <v>45399</v>
          </cell>
          <cell r="AC2547">
            <v>45453</v>
          </cell>
        </row>
        <row r="2548">
          <cell r="I2548" t="str">
            <v>EDI</v>
          </cell>
          <cell r="L2548">
            <v>2963</v>
          </cell>
          <cell r="N2548" t="str">
            <v>Production</v>
          </cell>
          <cell r="O2548" t="str">
            <v>Everything Benefits</v>
          </cell>
          <cell r="P2548" t="str">
            <v>Production</v>
          </cell>
          <cell r="Q2548" t="str">
            <v>Live</v>
          </cell>
          <cell r="R2548">
            <v>45370.814618055563</v>
          </cell>
          <cell r="S2548" t="str">
            <v>Nada Ashraf</v>
          </cell>
          <cell r="T2548">
            <v>45377</v>
          </cell>
          <cell r="U2548" t="str">
            <v>Ian Dodd</v>
          </cell>
          <cell r="V2548">
            <v>45399</v>
          </cell>
          <cell r="W2548">
            <v>45516</v>
          </cell>
          <cell r="Y2548">
            <v>45376</v>
          </cell>
          <cell r="AC2548">
            <v>45515</v>
          </cell>
        </row>
        <row r="2549">
          <cell r="I2549" t="str">
            <v>EDI</v>
          </cell>
          <cell r="L2549">
            <v>3009</v>
          </cell>
          <cell r="N2549" t="str">
            <v>Production</v>
          </cell>
          <cell r="O2549" t="str">
            <v>No</v>
          </cell>
          <cell r="Q2549" t="str">
            <v>Cancelled</v>
          </cell>
          <cell r="R2549">
            <v>45369.880046296297</v>
          </cell>
          <cell r="S2549" t="str">
            <v>Omnia Abdelaziz</v>
          </cell>
          <cell r="T2549">
            <v>45397</v>
          </cell>
          <cell r="U2549" t="str">
            <v>Ian Dodd</v>
          </cell>
          <cell r="V2549">
            <v>45406</v>
          </cell>
          <cell r="W2549">
            <v>45441</v>
          </cell>
          <cell r="Y2549">
            <v>45372</v>
          </cell>
          <cell r="AC2549">
            <v>45431</v>
          </cell>
        </row>
        <row r="2550">
          <cell r="I2550" t="str">
            <v>EDI</v>
          </cell>
          <cell r="N2550" t="str">
            <v>Requirements Gathering</v>
          </cell>
          <cell r="O2550" t="str">
            <v>No</v>
          </cell>
          <cell r="Q2550" t="str">
            <v>Cancelled</v>
          </cell>
          <cell r="R2550">
            <v>45369.873449074083</v>
          </cell>
          <cell r="S2550" t="str">
            <v>Lourina Edmon</v>
          </cell>
          <cell r="T2550">
            <v>45370</v>
          </cell>
          <cell r="U2550" t="str">
            <v>Hans De Grouw</v>
          </cell>
        </row>
        <row r="2551">
          <cell r="I2551" t="str">
            <v>EDI</v>
          </cell>
          <cell r="L2551">
            <v>3017</v>
          </cell>
          <cell r="N2551" t="str">
            <v>Production</v>
          </cell>
          <cell r="O2551" t="str">
            <v>No</v>
          </cell>
          <cell r="Q2551" t="str">
            <v>Cancelled</v>
          </cell>
          <cell r="R2551">
            <v>45369.814166666663</v>
          </cell>
          <cell r="S2551" t="str">
            <v>Joseph Atef</v>
          </cell>
          <cell r="T2551">
            <v>45397</v>
          </cell>
          <cell r="U2551" t="str">
            <v>Trish Kalinczok</v>
          </cell>
          <cell r="V2551">
            <v>45453</v>
          </cell>
          <cell r="W2551">
            <v>45561</v>
          </cell>
          <cell r="Y2551">
            <v>45387</v>
          </cell>
          <cell r="AC2551">
            <v>45560</v>
          </cell>
        </row>
        <row r="2552">
          <cell r="I2552" t="str">
            <v>EDI</v>
          </cell>
          <cell r="L2552">
            <v>3019</v>
          </cell>
          <cell r="N2552" t="str">
            <v>Production</v>
          </cell>
          <cell r="O2552" t="str">
            <v>Everything Benefits</v>
          </cell>
          <cell r="P2552" t="str">
            <v>Production</v>
          </cell>
          <cell r="Q2552" t="str">
            <v>Cancelled</v>
          </cell>
          <cell r="R2552">
            <v>45369.718182870369</v>
          </cell>
          <cell r="S2552" t="str">
            <v>Nada Ashraf</v>
          </cell>
          <cell r="T2552">
            <v>45372</v>
          </cell>
          <cell r="U2552" t="str">
            <v>Ian Dodd</v>
          </cell>
          <cell r="V2552">
            <v>25569</v>
          </cell>
          <cell r="W2552">
            <v>45533</v>
          </cell>
          <cell r="Y2552">
            <v>45371</v>
          </cell>
          <cell r="AC2552">
            <v>45533</v>
          </cell>
        </row>
        <row r="2553">
          <cell r="I2553" t="str">
            <v>EDI</v>
          </cell>
          <cell r="L2553">
            <v>2947</v>
          </cell>
          <cell r="N2553" t="str">
            <v>Production</v>
          </cell>
          <cell r="O2553" t="str">
            <v>Everything Benefits</v>
          </cell>
          <cell r="P2553" t="str">
            <v>Production</v>
          </cell>
          <cell r="Q2553" t="str">
            <v>Cancelled</v>
          </cell>
          <cell r="R2553">
            <v>45369.718171296299</v>
          </cell>
          <cell r="S2553" t="str">
            <v>Nada Ashraf</v>
          </cell>
          <cell r="T2553">
            <v>45375</v>
          </cell>
          <cell r="U2553" t="str">
            <v>Ian Dodd</v>
          </cell>
          <cell r="V2553">
            <v>45413</v>
          </cell>
          <cell r="W2553">
            <v>45512</v>
          </cell>
          <cell r="Y2553">
            <v>45373</v>
          </cell>
          <cell r="AC2553">
            <v>45507</v>
          </cell>
        </row>
        <row r="2554">
          <cell r="I2554" t="str">
            <v>EDI</v>
          </cell>
          <cell r="L2554">
            <v>3073</v>
          </cell>
          <cell r="N2554" t="str">
            <v>Production</v>
          </cell>
          <cell r="O2554" t="str">
            <v>Everything Benefits</v>
          </cell>
          <cell r="P2554" t="str">
            <v>Production</v>
          </cell>
          <cell r="Q2554" t="str">
            <v>Live</v>
          </cell>
          <cell r="R2554">
            <v>45369.709039351852</v>
          </cell>
          <cell r="S2554" t="str">
            <v>Salma Yamani</v>
          </cell>
          <cell r="T2554">
            <v>45423</v>
          </cell>
          <cell r="U2554" t="str">
            <v>Amy Bergstrom</v>
          </cell>
          <cell r="V2554">
            <v>45470</v>
          </cell>
          <cell r="W2554">
            <v>45575</v>
          </cell>
          <cell r="Y2554">
            <v>45423</v>
          </cell>
          <cell r="AC2554">
            <v>45564</v>
          </cell>
        </row>
        <row r="2555">
          <cell r="I2555" t="str">
            <v>EDI</v>
          </cell>
          <cell r="L2555">
            <v>2710</v>
          </cell>
          <cell r="N2555" t="str">
            <v>Production</v>
          </cell>
          <cell r="O2555" t="str">
            <v>No</v>
          </cell>
          <cell r="Q2555" t="str">
            <v>Cancelled</v>
          </cell>
          <cell r="R2555">
            <v>45369.708969907413</v>
          </cell>
          <cell r="S2555" t="str">
            <v>Dina Medhat</v>
          </cell>
          <cell r="T2555">
            <v>45370</v>
          </cell>
          <cell r="U2555" t="str">
            <v>Hans De Grouw</v>
          </cell>
          <cell r="V2555">
            <v>45342</v>
          </cell>
          <cell r="W2555">
            <v>45412</v>
          </cell>
          <cell r="AC2555">
            <v>45412</v>
          </cell>
        </row>
        <row r="2556">
          <cell r="I2556" t="str">
            <v>EDI</v>
          </cell>
          <cell r="L2556">
            <v>2677</v>
          </cell>
          <cell r="N2556" t="str">
            <v>Production</v>
          </cell>
          <cell r="O2556" t="str">
            <v>No</v>
          </cell>
          <cell r="Q2556" t="str">
            <v>Live</v>
          </cell>
          <cell r="R2556">
            <v>45369.708969907413</v>
          </cell>
          <cell r="S2556" t="str">
            <v>Dina Medhat</v>
          </cell>
          <cell r="T2556">
            <v>45370</v>
          </cell>
          <cell r="U2556" t="str">
            <v>Hans De Grouw</v>
          </cell>
          <cell r="V2556">
            <v>25569</v>
          </cell>
          <cell r="W2556">
            <v>45631</v>
          </cell>
          <cell r="AC2556">
            <v>45641</v>
          </cell>
        </row>
        <row r="2557">
          <cell r="I2557" t="str">
            <v>EDI</v>
          </cell>
          <cell r="L2557">
            <v>3018</v>
          </cell>
          <cell r="N2557" t="str">
            <v>Production</v>
          </cell>
          <cell r="O2557" t="str">
            <v>Everything Benefits</v>
          </cell>
          <cell r="P2557" t="str">
            <v>Production</v>
          </cell>
          <cell r="Q2557" t="str">
            <v>Cancelled</v>
          </cell>
          <cell r="R2557">
            <v>45369.708124999997</v>
          </cell>
          <cell r="S2557" t="str">
            <v>Nada Ashraf</v>
          </cell>
          <cell r="T2557">
            <v>45397</v>
          </cell>
          <cell r="U2557" t="str">
            <v>Ian Dodd</v>
          </cell>
          <cell r="V2557">
            <v>45424</v>
          </cell>
          <cell r="W2557">
            <v>45552</v>
          </cell>
          <cell r="Y2557">
            <v>45391</v>
          </cell>
          <cell r="AC2557">
            <v>45542</v>
          </cell>
        </row>
        <row r="2558">
          <cell r="I2558" t="str">
            <v>EDI</v>
          </cell>
          <cell r="L2558">
            <v>3064</v>
          </cell>
          <cell r="N2558" t="str">
            <v>Production</v>
          </cell>
          <cell r="O2558" t="str">
            <v>Everything Benefits</v>
          </cell>
          <cell r="P2558" t="str">
            <v>Production</v>
          </cell>
          <cell r="Q2558" t="str">
            <v>Live</v>
          </cell>
          <cell r="R2558">
            <v>45369.706805555557</v>
          </cell>
          <cell r="S2558" t="str">
            <v>Hazem Rostom</v>
          </cell>
          <cell r="T2558">
            <v>45423</v>
          </cell>
          <cell r="U2558" t="str">
            <v>Amy Bergstrom</v>
          </cell>
          <cell r="V2558">
            <v>45524</v>
          </cell>
          <cell r="W2558">
            <v>25569</v>
          </cell>
          <cell r="Y2558">
            <v>45423</v>
          </cell>
          <cell r="AC2558">
            <v>45564</v>
          </cell>
        </row>
        <row r="2559">
          <cell r="I2559" t="str">
            <v>EDI</v>
          </cell>
          <cell r="L2559">
            <v>2968</v>
          </cell>
          <cell r="N2559" t="str">
            <v>Production</v>
          </cell>
          <cell r="O2559" t="str">
            <v>Everything Benefits</v>
          </cell>
          <cell r="P2559" t="str">
            <v>Production</v>
          </cell>
          <cell r="Q2559" t="str">
            <v>Live</v>
          </cell>
          <cell r="R2559">
            <v>45366.961493055547</v>
          </cell>
          <cell r="S2559" t="str">
            <v>Mohamed Abdelhamed</v>
          </cell>
          <cell r="T2559">
            <v>45383</v>
          </cell>
          <cell r="U2559" t="str">
            <v>Amy Bergstrom</v>
          </cell>
          <cell r="V2559">
            <v>45411</v>
          </cell>
          <cell r="W2559">
            <v>45477</v>
          </cell>
          <cell r="Y2559">
            <v>45379</v>
          </cell>
          <cell r="AC2559">
            <v>45471</v>
          </cell>
        </row>
        <row r="2560">
          <cell r="I2560" t="str">
            <v>EDI</v>
          </cell>
          <cell r="L2560">
            <v>3069</v>
          </cell>
          <cell r="N2560" t="str">
            <v>Production</v>
          </cell>
          <cell r="O2560" t="str">
            <v>Everything Benefits</v>
          </cell>
          <cell r="P2560" t="str">
            <v>Production</v>
          </cell>
          <cell r="Q2560" t="str">
            <v>Live</v>
          </cell>
          <cell r="R2560">
            <v>45366.961493055547</v>
          </cell>
          <cell r="S2560" t="str">
            <v>Hazem Rostom</v>
          </cell>
          <cell r="T2560">
            <v>45423</v>
          </cell>
          <cell r="U2560" t="str">
            <v>Amy Bergstrom</v>
          </cell>
          <cell r="V2560">
            <v>45524</v>
          </cell>
          <cell r="W2560">
            <v>25569</v>
          </cell>
          <cell r="Y2560">
            <v>45423</v>
          </cell>
          <cell r="AC2560">
            <v>45564</v>
          </cell>
        </row>
        <row r="2561">
          <cell r="I2561" t="str">
            <v>EDI</v>
          </cell>
          <cell r="L2561">
            <v>2950</v>
          </cell>
          <cell r="N2561" t="str">
            <v>Production</v>
          </cell>
          <cell r="O2561" t="str">
            <v>Everything Benefits</v>
          </cell>
          <cell r="P2561" t="str">
            <v>Production</v>
          </cell>
          <cell r="Q2561" t="str">
            <v>Live</v>
          </cell>
          <cell r="R2561">
            <v>45366.961481481478</v>
          </cell>
          <cell r="S2561" t="str">
            <v>Mohamed Abdelhamed</v>
          </cell>
          <cell r="T2561">
            <v>45379</v>
          </cell>
          <cell r="U2561" t="str">
            <v>Amy Bergstrom</v>
          </cell>
          <cell r="V2561">
            <v>45463</v>
          </cell>
          <cell r="W2561">
            <v>45488</v>
          </cell>
          <cell r="Y2561">
            <v>45377</v>
          </cell>
          <cell r="AC2561">
            <v>45480</v>
          </cell>
        </row>
        <row r="2562">
          <cell r="I2562" t="str">
            <v>EDI</v>
          </cell>
          <cell r="L2562">
            <v>2981</v>
          </cell>
          <cell r="N2562" t="str">
            <v>Production</v>
          </cell>
          <cell r="O2562" t="str">
            <v>No</v>
          </cell>
          <cell r="Q2562" t="str">
            <v>Live</v>
          </cell>
          <cell r="R2562">
            <v>45366.925578703696</v>
          </cell>
          <cell r="S2562" t="str">
            <v>Mirna Azmy</v>
          </cell>
          <cell r="T2562">
            <v>45386</v>
          </cell>
          <cell r="U2562" t="str">
            <v>Trish Kalinczok</v>
          </cell>
          <cell r="V2562">
            <v>45399</v>
          </cell>
          <cell r="W2562">
            <v>45460</v>
          </cell>
          <cell r="Y2562">
            <v>45376</v>
          </cell>
          <cell r="AC2562">
            <v>45454</v>
          </cell>
        </row>
        <row r="2563">
          <cell r="I2563" t="str">
            <v>EDI</v>
          </cell>
          <cell r="L2563">
            <v>2993</v>
          </cell>
          <cell r="N2563" t="str">
            <v>Production</v>
          </cell>
          <cell r="O2563" t="str">
            <v>No</v>
          </cell>
          <cell r="Q2563" t="str">
            <v>Live</v>
          </cell>
          <cell r="R2563">
            <v>45366.925578703696</v>
          </cell>
          <cell r="S2563" t="str">
            <v>Andrew Ramy</v>
          </cell>
          <cell r="T2563">
            <v>45390</v>
          </cell>
          <cell r="U2563" t="str">
            <v>Trish Kalinczok</v>
          </cell>
          <cell r="V2563">
            <v>45391</v>
          </cell>
          <cell r="W2563">
            <v>45635</v>
          </cell>
          <cell r="Y2563">
            <v>45369</v>
          </cell>
          <cell r="AC2563">
            <v>45635</v>
          </cell>
        </row>
        <row r="2564">
          <cell r="I2564" t="str">
            <v>EDI</v>
          </cell>
          <cell r="L2564">
            <v>2989</v>
          </cell>
          <cell r="N2564" t="str">
            <v>Production</v>
          </cell>
          <cell r="O2564" t="str">
            <v>No</v>
          </cell>
          <cell r="Q2564" t="str">
            <v>Live</v>
          </cell>
          <cell r="R2564">
            <v>45366.809942129628</v>
          </cell>
          <cell r="S2564" t="str">
            <v>Omnia Abdelaziz</v>
          </cell>
          <cell r="T2564">
            <v>45385</v>
          </cell>
          <cell r="U2564" t="str">
            <v>Trish Kalinczok</v>
          </cell>
          <cell r="V2564">
            <v>45397</v>
          </cell>
          <cell r="W2564">
            <v>45471</v>
          </cell>
          <cell r="Y2564">
            <v>45383</v>
          </cell>
          <cell r="AC2564">
            <v>45470</v>
          </cell>
        </row>
        <row r="2565">
          <cell r="I2565" t="str">
            <v>EDI</v>
          </cell>
          <cell r="L2565">
            <v>2953</v>
          </cell>
          <cell r="N2565" t="str">
            <v>Production</v>
          </cell>
          <cell r="O2565" t="str">
            <v>No</v>
          </cell>
          <cell r="Q2565" t="str">
            <v>Live</v>
          </cell>
          <cell r="R2565">
            <v>45366.803020833337</v>
          </cell>
          <cell r="S2565" t="str">
            <v>Noha Moustafa</v>
          </cell>
          <cell r="T2565">
            <v>45379</v>
          </cell>
          <cell r="U2565" t="str">
            <v>Trish Kalinczok</v>
          </cell>
          <cell r="V2565">
            <v>45385</v>
          </cell>
          <cell r="W2565">
            <v>45408</v>
          </cell>
          <cell r="Y2565">
            <v>45370</v>
          </cell>
          <cell r="AC2565">
            <v>45405</v>
          </cell>
        </row>
        <row r="2566">
          <cell r="I2566" t="str">
            <v>EDI</v>
          </cell>
          <cell r="L2566">
            <v>2992</v>
          </cell>
          <cell r="N2566" t="str">
            <v>Production</v>
          </cell>
          <cell r="O2566" t="str">
            <v>No</v>
          </cell>
          <cell r="Q2566" t="str">
            <v>Live</v>
          </cell>
          <cell r="R2566">
            <v>45366.788437499999</v>
          </cell>
          <cell r="S2566" t="str">
            <v>Zeyad Khaled</v>
          </cell>
          <cell r="T2566">
            <v>45385</v>
          </cell>
          <cell r="U2566" t="str">
            <v>Trish Kalinczok</v>
          </cell>
          <cell r="V2566">
            <v>45426</v>
          </cell>
          <cell r="W2566">
            <v>45492</v>
          </cell>
          <cell r="Y2566">
            <v>45385</v>
          </cell>
          <cell r="AC2566">
            <v>45739</v>
          </cell>
        </row>
        <row r="2567">
          <cell r="I2567" t="str">
            <v>EDI</v>
          </cell>
          <cell r="L2567">
            <v>2943</v>
          </cell>
          <cell r="N2567" t="str">
            <v>Testing</v>
          </cell>
          <cell r="O2567" t="str">
            <v>Everything Benefits</v>
          </cell>
          <cell r="P2567" t="str">
            <v>Migration Testing</v>
          </cell>
          <cell r="Q2567" t="str">
            <v>Cancelled</v>
          </cell>
          <cell r="R2567">
            <v>45365.783009259263</v>
          </cell>
          <cell r="S2567" t="str">
            <v>Karim Tarek</v>
          </cell>
          <cell r="T2567">
            <v>45708</v>
          </cell>
          <cell r="U2567" t="str">
            <v>Destinee Duncan</v>
          </cell>
          <cell r="V2567">
            <v>45421</v>
          </cell>
          <cell r="Y2567">
            <v>45370</v>
          </cell>
        </row>
        <row r="2568">
          <cell r="I2568" t="str">
            <v>EDI</v>
          </cell>
          <cell r="L2568">
            <v>2979</v>
          </cell>
          <cell r="N2568" t="str">
            <v>Production</v>
          </cell>
          <cell r="O2568" t="str">
            <v>No</v>
          </cell>
          <cell r="Q2568" t="str">
            <v>Cancelled</v>
          </cell>
          <cell r="R2568">
            <v>45365.731342592589</v>
          </cell>
          <cell r="S2568" t="str">
            <v>Aya Fathy</v>
          </cell>
          <cell r="T2568">
            <v>45385</v>
          </cell>
          <cell r="U2568" t="str">
            <v>Jene Hamm</v>
          </cell>
          <cell r="V2568">
            <v>45386</v>
          </cell>
          <cell r="W2568">
            <v>45404</v>
          </cell>
          <cell r="Y2568">
            <v>45370</v>
          </cell>
          <cell r="AC2568">
            <v>45400</v>
          </cell>
        </row>
        <row r="2569">
          <cell r="I2569" t="str">
            <v>EDI</v>
          </cell>
          <cell r="L2569">
            <v>2990</v>
          </cell>
          <cell r="N2569" t="str">
            <v>Production</v>
          </cell>
          <cell r="O2569" t="str">
            <v>No</v>
          </cell>
          <cell r="Q2569" t="str">
            <v>Cancelled</v>
          </cell>
          <cell r="R2569">
            <v>45365.731342592589</v>
          </cell>
          <cell r="S2569" t="str">
            <v>Mina George</v>
          </cell>
          <cell r="T2569">
            <v>45385</v>
          </cell>
          <cell r="U2569" t="str">
            <v>Trish Kalinczok</v>
          </cell>
          <cell r="V2569">
            <v>45441</v>
          </cell>
          <cell r="W2569">
            <v>45509</v>
          </cell>
          <cell r="Y2569">
            <v>45377</v>
          </cell>
          <cell r="AC2569">
            <v>45504</v>
          </cell>
        </row>
        <row r="2570">
          <cell r="I2570" t="str">
            <v>EDI</v>
          </cell>
          <cell r="L2570">
            <v>3006</v>
          </cell>
          <cell r="N2570" t="str">
            <v>Production</v>
          </cell>
          <cell r="O2570" t="str">
            <v>No</v>
          </cell>
          <cell r="Q2570" t="str">
            <v>Cancelled</v>
          </cell>
          <cell r="R2570">
            <v>45365.667187500003</v>
          </cell>
          <cell r="S2570" t="str">
            <v>Mina Kamil</v>
          </cell>
          <cell r="T2570">
            <v>45399</v>
          </cell>
          <cell r="U2570" t="str">
            <v>Trish Kalinczok</v>
          </cell>
          <cell r="W2570">
            <v>25569</v>
          </cell>
          <cell r="Y2570">
            <v>45397</v>
          </cell>
          <cell r="AC2570">
            <v>45483</v>
          </cell>
        </row>
        <row r="2571">
          <cell r="I2571" t="str">
            <v>EDI</v>
          </cell>
          <cell r="L2571">
            <v>2935</v>
          </cell>
          <cell r="N2571" t="str">
            <v>Production</v>
          </cell>
          <cell r="O2571" t="str">
            <v>No</v>
          </cell>
          <cell r="Q2571" t="str">
            <v>Live</v>
          </cell>
          <cell r="R2571">
            <v>45365.542592592603</v>
          </cell>
          <cell r="S2571" t="str">
            <v>Mina George</v>
          </cell>
          <cell r="T2571">
            <v>45369</v>
          </cell>
          <cell r="U2571" t="str">
            <v>Jene Hamm</v>
          </cell>
          <cell r="V2571">
            <v>45400</v>
          </cell>
          <cell r="W2571">
            <v>45460</v>
          </cell>
          <cell r="AC2571">
            <v>45460</v>
          </cell>
        </row>
        <row r="2572">
          <cell r="I2572" t="str">
            <v>EDI</v>
          </cell>
          <cell r="L2572">
            <v>2957</v>
          </cell>
          <cell r="N2572" t="str">
            <v>Production</v>
          </cell>
          <cell r="O2572" t="str">
            <v>No</v>
          </cell>
          <cell r="Q2572" t="str">
            <v>Live</v>
          </cell>
          <cell r="R2572">
            <v>45362.895289351851</v>
          </cell>
          <cell r="S2572" t="str">
            <v>Noha Moustafa</v>
          </cell>
          <cell r="T2572">
            <v>45382</v>
          </cell>
          <cell r="U2572" t="str">
            <v>Trish Kalinczok</v>
          </cell>
          <cell r="V2572">
            <v>45440</v>
          </cell>
          <cell r="W2572">
            <v>25569</v>
          </cell>
          <cell r="Y2572">
            <v>45364</v>
          </cell>
          <cell r="AC2572">
            <v>45466</v>
          </cell>
        </row>
        <row r="2573">
          <cell r="I2573" t="str">
            <v>EDI</v>
          </cell>
          <cell r="L2573">
            <v>2980</v>
          </cell>
          <cell r="N2573" t="str">
            <v>Production</v>
          </cell>
          <cell r="O2573" t="str">
            <v>No</v>
          </cell>
          <cell r="Q2573" t="str">
            <v>Live</v>
          </cell>
          <cell r="R2573">
            <v>45358.823750000003</v>
          </cell>
          <cell r="S2573" t="str">
            <v>Mirna Azmy</v>
          </cell>
          <cell r="T2573">
            <v>45385</v>
          </cell>
          <cell r="U2573" t="str">
            <v>Trish Kalinczok</v>
          </cell>
          <cell r="V2573">
            <v>45386</v>
          </cell>
          <cell r="W2573">
            <v>45447</v>
          </cell>
          <cell r="Y2573">
            <v>45363</v>
          </cell>
          <cell r="AC2573">
            <v>45446</v>
          </cell>
        </row>
        <row r="2574">
          <cell r="I2574" t="str">
            <v>EDI</v>
          </cell>
          <cell r="L2574">
            <v>2973</v>
          </cell>
          <cell r="N2574" t="str">
            <v>Production</v>
          </cell>
          <cell r="O2574" t="str">
            <v>No</v>
          </cell>
          <cell r="Q2574" t="str">
            <v>Live</v>
          </cell>
          <cell r="R2574">
            <v>45358.823750000003</v>
          </cell>
          <cell r="S2574" t="str">
            <v>Mirna Azmy</v>
          </cell>
          <cell r="T2574">
            <v>45384</v>
          </cell>
          <cell r="U2574" t="str">
            <v>Trish Kalinczok</v>
          </cell>
          <cell r="V2574">
            <v>45385</v>
          </cell>
          <cell r="W2574">
            <v>25569</v>
          </cell>
          <cell r="Y2574">
            <v>45373</v>
          </cell>
          <cell r="AC2574">
            <v>45448</v>
          </cell>
        </row>
        <row r="2575">
          <cell r="I2575" t="str">
            <v>EDI</v>
          </cell>
          <cell r="L2575">
            <v>2969</v>
          </cell>
          <cell r="N2575" t="str">
            <v>Production</v>
          </cell>
          <cell r="O2575" t="str">
            <v>No</v>
          </cell>
          <cell r="Q2575" t="str">
            <v>Live</v>
          </cell>
          <cell r="R2575">
            <v>45358.803668981483</v>
          </cell>
          <cell r="S2575" t="str">
            <v>Mina Kamil</v>
          </cell>
          <cell r="T2575">
            <v>45383</v>
          </cell>
          <cell r="U2575" t="str">
            <v>Hans De Grouw</v>
          </cell>
          <cell r="W2575">
            <v>45610</v>
          </cell>
          <cell r="Y2575">
            <v>45369</v>
          </cell>
          <cell r="AC2575">
            <v>45606</v>
          </cell>
        </row>
        <row r="2576">
          <cell r="I2576" t="str">
            <v>EDI</v>
          </cell>
          <cell r="L2576">
            <v>2975</v>
          </cell>
          <cell r="N2576" t="str">
            <v>Production</v>
          </cell>
          <cell r="O2576" t="str">
            <v>No</v>
          </cell>
          <cell r="Q2576" t="str">
            <v>Cancelled</v>
          </cell>
          <cell r="R2576">
            <v>45358.803668981483</v>
          </cell>
          <cell r="S2576" t="str">
            <v>Mina Kamil</v>
          </cell>
          <cell r="T2576">
            <v>45383</v>
          </cell>
          <cell r="U2576" t="str">
            <v>Hans De Grouw</v>
          </cell>
          <cell r="W2576">
            <v>45505</v>
          </cell>
          <cell r="Y2576">
            <v>45367</v>
          </cell>
          <cell r="AC2576">
            <v>45503</v>
          </cell>
        </row>
        <row r="2577">
          <cell r="I2577" t="str">
            <v>EDI</v>
          </cell>
          <cell r="L2577">
            <v>2944</v>
          </cell>
          <cell r="N2577" t="str">
            <v>Production</v>
          </cell>
          <cell r="O2577" t="str">
            <v>No</v>
          </cell>
          <cell r="Q2577" t="str">
            <v>Cancelled</v>
          </cell>
          <cell r="R2577">
            <v>45358.591238425928</v>
          </cell>
          <cell r="S2577" t="str">
            <v>Noha Moustafa</v>
          </cell>
          <cell r="T2577">
            <v>45376</v>
          </cell>
          <cell r="U2577" t="str">
            <v>Miranda Naeem</v>
          </cell>
          <cell r="V2577">
            <v>45382</v>
          </cell>
          <cell r="W2577">
            <v>45463</v>
          </cell>
          <cell r="Y2577">
            <v>45362</v>
          </cell>
          <cell r="AC2577">
            <v>45456</v>
          </cell>
        </row>
        <row r="2578">
          <cell r="I2578" t="str">
            <v>EDI</v>
          </cell>
          <cell r="L2578">
            <v>2899</v>
          </cell>
          <cell r="N2578" t="str">
            <v>Production</v>
          </cell>
          <cell r="O2578" t="str">
            <v>No</v>
          </cell>
          <cell r="Q2578" t="str">
            <v>Cancelled</v>
          </cell>
          <cell r="R2578">
            <v>45357.760717592602</v>
          </cell>
          <cell r="S2578" t="str">
            <v>Peter Fayez</v>
          </cell>
          <cell r="T2578">
            <v>45357</v>
          </cell>
          <cell r="U2578" t="str">
            <v>Amy Bergstrom</v>
          </cell>
          <cell r="V2578">
            <v>45359</v>
          </cell>
          <cell r="W2578">
            <v>45413</v>
          </cell>
          <cell r="AC2578">
            <v>45408</v>
          </cell>
        </row>
        <row r="2579">
          <cell r="I2579" t="str">
            <v>EDI</v>
          </cell>
          <cell r="L2579">
            <v>2898</v>
          </cell>
          <cell r="N2579" t="str">
            <v>Production</v>
          </cell>
          <cell r="O2579" t="str">
            <v>No</v>
          </cell>
          <cell r="Q2579" t="str">
            <v>Cancelled</v>
          </cell>
          <cell r="R2579">
            <v>45357.759930555563</v>
          </cell>
          <cell r="S2579" t="str">
            <v>Peter Fayez</v>
          </cell>
          <cell r="T2579">
            <v>45357</v>
          </cell>
          <cell r="U2579" t="str">
            <v>Amy Bergstrom</v>
          </cell>
          <cell r="V2579">
            <v>45359</v>
          </cell>
          <cell r="W2579">
            <v>45413</v>
          </cell>
          <cell r="AC2579">
            <v>45408</v>
          </cell>
        </row>
        <row r="2580">
          <cell r="I2580" t="str">
            <v>EDI</v>
          </cell>
          <cell r="L2580">
            <v>2962</v>
          </cell>
          <cell r="N2580" t="str">
            <v>Production</v>
          </cell>
          <cell r="O2580" t="str">
            <v>No</v>
          </cell>
          <cell r="Q2580" t="str">
            <v>Live</v>
          </cell>
          <cell r="R2580">
            <v>45356.873888888891</v>
          </cell>
          <cell r="S2580" t="str">
            <v>Noha Moustafa</v>
          </cell>
          <cell r="T2580">
            <v>45382</v>
          </cell>
          <cell r="U2580" t="str">
            <v>Tammy Davies</v>
          </cell>
          <cell r="V2580">
            <v>45489</v>
          </cell>
          <cell r="W2580">
            <v>45719</v>
          </cell>
          <cell r="Y2580">
            <v>45358</v>
          </cell>
          <cell r="AC2580">
            <v>45718</v>
          </cell>
        </row>
        <row r="2581">
          <cell r="I2581" t="str">
            <v>EDI</v>
          </cell>
          <cell r="L2581">
            <v>2988</v>
          </cell>
          <cell r="N2581" t="str">
            <v>Production</v>
          </cell>
          <cell r="O2581" t="str">
            <v>No</v>
          </cell>
          <cell r="Q2581" t="str">
            <v>Cancelled</v>
          </cell>
          <cell r="R2581">
            <v>45356.623078703713</v>
          </cell>
          <cell r="S2581" t="str">
            <v>Zeyad Khaled</v>
          </cell>
          <cell r="T2581">
            <v>45382</v>
          </cell>
          <cell r="U2581" t="str">
            <v>Tammy Davies</v>
          </cell>
          <cell r="V2581">
            <v>45403</v>
          </cell>
          <cell r="W2581">
            <v>45415</v>
          </cell>
          <cell r="Y2581">
            <v>45363</v>
          </cell>
          <cell r="AC2581">
            <v>45410</v>
          </cell>
        </row>
        <row r="2582">
          <cell r="I2582" t="str">
            <v>EDI</v>
          </cell>
          <cell r="L2582">
            <v>2988</v>
          </cell>
          <cell r="N2582" t="str">
            <v>Production</v>
          </cell>
          <cell r="O2582" t="str">
            <v>No</v>
          </cell>
          <cell r="Q2582" t="str">
            <v>Cancelled</v>
          </cell>
          <cell r="R2582">
            <v>45355.769837962973</v>
          </cell>
          <cell r="S2582" t="str">
            <v>Dina Medhat</v>
          </cell>
          <cell r="T2582">
            <v>45419</v>
          </cell>
          <cell r="U2582" t="str">
            <v>Tammy Davies</v>
          </cell>
          <cell r="V2582">
            <v>45403</v>
          </cell>
          <cell r="W2582">
            <v>45415</v>
          </cell>
          <cell r="AC2582">
            <v>45419</v>
          </cell>
        </row>
        <row r="2583">
          <cell r="I2583" t="str">
            <v>EDI</v>
          </cell>
          <cell r="L2583">
            <v>3038</v>
          </cell>
          <cell r="N2583" t="str">
            <v>Production</v>
          </cell>
          <cell r="O2583" t="str">
            <v>No</v>
          </cell>
          <cell r="Q2583" t="str">
            <v>Live</v>
          </cell>
          <cell r="R2583">
            <v>45355.71025462963</v>
          </cell>
          <cell r="S2583" t="str">
            <v>Mahmoud Ashraf</v>
          </cell>
          <cell r="T2583">
            <v>45412</v>
          </cell>
          <cell r="U2583" t="str">
            <v>Maria Zea Rodriguez</v>
          </cell>
          <cell r="V2583">
            <v>45434</v>
          </cell>
          <cell r="W2583">
            <v>45447</v>
          </cell>
          <cell r="Y2583">
            <v>45411</v>
          </cell>
          <cell r="AC2583">
            <v>45442</v>
          </cell>
        </row>
        <row r="2584">
          <cell r="I2584" t="str">
            <v>EDI</v>
          </cell>
          <cell r="L2584">
            <v>2961</v>
          </cell>
          <cell r="N2584" t="str">
            <v>Production</v>
          </cell>
          <cell r="O2584" t="str">
            <v>No</v>
          </cell>
          <cell r="Q2584" t="str">
            <v>Live</v>
          </cell>
          <cell r="R2584">
            <v>45355.708391203712</v>
          </cell>
          <cell r="S2584" t="str">
            <v>Hazem Rostom</v>
          </cell>
          <cell r="T2584">
            <v>45377</v>
          </cell>
          <cell r="U2584" t="str">
            <v>Maria Zea Rodriguez</v>
          </cell>
          <cell r="W2584">
            <v>25569</v>
          </cell>
          <cell r="Y2584">
            <v>45356</v>
          </cell>
          <cell r="AC2584">
            <v>45495</v>
          </cell>
        </row>
        <row r="2585">
          <cell r="I2585" t="str">
            <v>EDI</v>
          </cell>
          <cell r="L2585">
            <v>2922</v>
          </cell>
          <cell r="N2585" t="str">
            <v>Production</v>
          </cell>
          <cell r="O2585" t="str">
            <v>No</v>
          </cell>
          <cell r="Q2585" t="str">
            <v>Live</v>
          </cell>
          <cell r="R2585">
            <v>45355.660439814812</v>
          </cell>
          <cell r="S2585" t="str">
            <v>Mirna Azmy</v>
          </cell>
          <cell r="T2585">
            <v>45370</v>
          </cell>
          <cell r="U2585" t="str">
            <v>Jene Hamm</v>
          </cell>
          <cell r="V2585">
            <v>45385</v>
          </cell>
          <cell r="W2585">
            <v>45404</v>
          </cell>
          <cell r="Y2585">
            <v>45356</v>
          </cell>
          <cell r="AC2585">
            <v>45403</v>
          </cell>
        </row>
        <row r="2586">
          <cell r="I2586" t="str">
            <v>EDI</v>
          </cell>
          <cell r="L2586">
            <v>2930</v>
          </cell>
          <cell r="N2586" t="str">
            <v>Production</v>
          </cell>
          <cell r="O2586" t="str">
            <v>No</v>
          </cell>
          <cell r="Q2586" t="str">
            <v>Cancelled</v>
          </cell>
          <cell r="R2586">
            <v>45355.660219907397</v>
          </cell>
          <cell r="S2586" t="str">
            <v>Noha Moustafa</v>
          </cell>
          <cell r="T2586">
            <v>45371</v>
          </cell>
          <cell r="U2586" t="str">
            <v>Maria Zea Rodriguez</v>
          </cell>
          <cell r="V2586">
            <v>45389</v>
          </cell>
          <cell r="W2586">
            <v>45391</v>
          </cell>
          <cell r="Y2586">
            <v>45368</v>
          </cell>
          <cell r="AC2586">
            <v>45391</v>
          </cell>
        </row>
        <row r="2587">
          <cell r="I2587" t="str">
            <v>EDI</v>
          </cell>
          <cell r="L2587">
            <v>3065</v>
          </cell>
          <cell r="N2587" t="str">
            <v>Production</v>
          </cell>
          <cell r="O2587" t="str">
            <v>No</v>
          </cell>
          <cell r="Q2587" t="str">
            <v>Live</v>
          </cell>
          <cell r="R2587">
            <v>45352.782210648147</v>
          </cell>
          <cell r="S2587" t="str">
            <v>Omnia Abdelaziz</v>
          </cell>
          <cell r="T2587">
            <v>45420</v>
          </cell>
          <cell r="U2587" t="str">
            <v>Trish Kalinczok</v>
          </cell>
          <cell r="V2587">
            <v>45455</v>
          </cell>
          <cell r="W2587">
            <v>25569</v>
          </cell>
          <cell r="Y2587">
            <v>45420</v>
          </cell>
          <cell r="AC2587">
            <v>45505</v>
          </cell>
        </row>
        <row r="2588">
          <cell r="I2588" t="str">
            <v>EDI</v>
          </cell>
          <cell r="L2588">
            <v>3013</v>
          </cell>
          <cell r="N2588" t="str">
            <v>Production</v>
          </cell>
          <cell r="O2588" t="str">
            <v>No</v>
          </cell>
          <cell r="Q2588" t="str">
            <v>Live</v>
          </cell>
          <cell r="R2588">
            <v>45352.782210648147</v>
          </cell>
          <cell r="S2588" t="str">
            <v>Aya Fathy</v>
          </cell>
          <cell r="T2588">
            <v>45403</v>
          </cell>
          <cell r="U2588" t="str">
            <v>Trish Kalinczok</v>
          </cell>
          <cell r="V2588">
            <v>45408</v>
          </cell>
          <cell r="W2588">
            <v>45537</v>
          </cell>
          <cell r="Y2588">
            <v>45399</v>
          </cell>
          <cell r="AC2588">
            <v>45530</v>
          </cell>
        </row>
        <row r="2589">
          <cell r="I2589" t="str">
            <v>EDI</v>
          </cell>
          <cell r="L2589">
            <v>2991</v>
          </cell>
          <cell r="N2589" t="str">
            <v>Production</v>
          </cell>
          <cell r="O2589" t="str">
            <v>No</v>
          </cell>
          <cell r="Q2589" t="str">
            <v>Live</v>
          </cell>
          <cell r="R2589">
            <v>45352.782210648147</v>
          </cell>
          <cell r="S2589" t="str">
            <v>Joseph Atef</v>
          </cell>
          <cell r="T2589">
            <v>45382</v>
          </cell>
          <cell r="U2589" t="str">
            <v>Trish Kalinczok</v>
          </cell>
          <cell r="V2589">
            <v>45421</v>
          </cell>
          <cell r="W2589">
            <v>45628</v>
          </cell>
          <cell r="Y2589">
            <v>45358</v>
          </cell>
          <cell r="AC2589">
            <v>45624</v>
          </cell>
        </row>
        <row r="2590">
          <cell r="I2590" t="str">
            <v>EDI</v>
          </cell>
          <cell r="L2590">
            <v>2955</v>
          </cell>
          <cell r="N2590" t="str">
            <v>Production</v>
          </cell>
          <cell r="O2590" t="str">
            <v>No</v>
          </cell>
          <cell r="Q2590" t="str">
            <v>Live</v>
          </cell>
          <cell r="R2590">
            <v>45352.764363425929</v>
          </cell>
          <cell r="S2590" t="str">
            <v>Zeyad Khaled</v>
          </cell>
          <cell r="T2590">
            <v>45377</v>
          </cell>
          <cell r="U2590" t="str">
            <v>Sandra Valencia</v>
          </cell>
          <cell r="V2590">
            <v>45389</v>
          </cell>
          <cell r="W2590">
            <v>45446</v>
          </cell>
          <cell r="Y2590">
            <v>45357</v>
          </cell>
          <cell r="AC2590">
            <v>45445</v>
          </cell>
        </row>
        <row r="2591">
          <cell r="I2591" t="str">
            <v>EDI</v>
          </cell>
          <cell r="N2591" t="str">
            <v>Pending Start</v>
          </cell>
          <cell r="O2591" t="str">
            <v>No</v>
          </cell>
          <cell r="Q2591" t="str">
            <v>Cancelled</v>
          </cell>
          <cell r="R2591">
            <v>45352.650381944448</v>
          </cell>
          <cell r="U2591" t="str">
            <v>MiguelAngel  RamirezSuescan</v>
          </cell>
        </row>
        <row r="2592">
          <cell r="I2592" t="str">
            <v>EDI</v>
          </cell>
          <cell r="L2592">
            <v>2942</v>
          </cell>
          <cell r="N2592" t="str">
            <v>Production</v>
          </cell>
          <cell r="O2592" t="str">
            <v>No</v>
          </cell>
          <cell r="Q2592" t="str">
            <v>Cancelled</v>
          </cell>
          <cell r="R2592">
            <v>45352.64565972222</v>
          </cell>
          <cell r="S2592" t="str">
            <v>Noha Moustafa</v>
          </cell>
          <cell r="T2592">
            <v>45376</v>
          </cell>
          <cell r="U2592" t="str">
            <v>Trish Kalinczok</v>
          </cell>
          <cell r="V2592">
            <v>45379</v>
          </cell>
          <cell r="W2592">
            <v>45399</v>
          </cell>
          <cell r="Y2592">
            <v>45365</v>
          </cell>
          <cell r="AC2592">
            <v>45397</v>
          </cell>
        </row>
        <row r="2593">
          <cell r="I2593" t="str">
            <v>EDI</v>
          </cell>
          <cell r="L2593">
            <v>2960</v>
          </cell>
          <cell r="N2593" t="str">
            <v>Production</v>
          </cell>
          <cell r="O2593" t="str">
            <v>No</v>
          </cell>
          <cell r="Q2593" t="str">
            <v>Live</v>
          </cell>
          <cell r="R2593">
            <v>45352.543368055558</v>
          </cell>
          <cell r="S2593" t="str">
            <v>Peter Fayez</v>
          </cell>
          <cell r="T2593">
            <v>45377</v>
          </cell>
          <cell r="U2593" t="str">
            <v>Hans De Grouw</v>
          </cell>
          <cell r="V2593">
            <v>45386</v>
          </cell>
          <cell r="W2593">
            <v>45407</v>
          </cell>
          <cell r="Y2593">
            <v>45358</v>
          </cell>
          <cell r="AC2593">
            <v>45401</v>
          </cell>
        </row>
        <row r="2594">
          <cell r="I2594" t="str">
            <v>EDI</v>
          </cell>
          <cell r="L2594">
            <v>2977</v>
          </cell>
          <cell r="N2594" t="str">
            <v>Production</v>
          </cell>
          <cell r="O2594" t="str">
            <v>No</v>
          </cell>
          <cell r="Q2594" t="str">
            <v>Cancelled</v>
          </cell>
          <cell r="R2594">
            <v>45351.872708333343</v>
          </cell>
          <cell r="S2594" t="str">
            <v>Andrew Ramy</v>
          </cell>
          <cell r="T2594">
            <v>45376</v>
          </cell>
          <cell r="U2594" t="str">
            <v>Robbie Schappell</v>
          </cell>
          <cell r="V2594">
            <v>45385</v>
          </cell>
          <cell r="W2594">
            <v>45428</v>
          </cell>
          <cell r="Y2594">
            <v>45357</v>
          </cell>
          <cell r="AC2594">
            <v>45425</v>
          </cell>
        </row>
        <row r="2595">
          <cell r="I2595" t="str">
            <v>EDI</v>
          </cell>
          <cell r="N2595" t="str">
            <v>Dataset Validation</v>
          </cell>
          <cell r="O2595" t="str">
            <v>No</v>
          </cell>
          <cell r="Q2595" t="str">
            <v>Cancelled</v>
          </cell>
          <cell r="R2595">
            <v>45351.778819444437</v>
          </cell>
          <cell r="S2595" t="str">
            <v>Peter Fayez</v>
          </cell>
          <cell r="T2595">
            <v>45352</v>
          </cell>
          <cell r="U2595" t="str">
            <v>Amy Bergstrom</v>
          </cell>
        </row>
        <row r="2596">
          <cell r="I2596" t="str">
            <v>EDI</v>
          </cell>
          <cell r="N2596" t="str">
            <v>Dataset Validation</v>
          </cell>
          <cell r="O2596" t="str">
            <v>No</v>
          </cell>
          <cell r="Q2596" t="str">
            <v>Cancelled</v>
          </cell>
          <cell r="R2596">
            <v>45351.777708333328</v>
          </cell>
          <cell r="S2596" t="str">
            <v>Peter Fayez</v>
          </cell>
          <cell r="T2596">
            <v>45352</v>
          </cell>
          <cell r="U2596" t="str">
            <v>Amy Bergstrom</v>
          </cell>
        </row>
        <row r="2597">
          <cell r="I2597" t="str">
            <v>EDI</v>
          </cell>
          <cell r="L2597">
            <v>2884</v>
          </cell>
          <cell r="N2597" t="str">
            <v>Production</v>
          </cell>
          <cell r="O2597" t="str">
            <v>No</v>
          </cell>
          <cell r="Q2597" t="str">
            <v>Live</v>
          </cell>
          <cell r="R2597">
            <v>45351.635266203702</v>
          </cell>
          <cell r="S2597" t="str">
            <v>Dina Medhat</v>
          </cell>
          <cell r="T2597">
            <v>45354</v>
          </cell>
          <cell r="U2597" t="str">
            <v>Tammy Davies</v>
          </cell>
          <cell r="V2597">
            <v>45370</v>
          </cell>
          <cell r="W2597">
            <v>45376</v>
          </cell>
          <cell r="AC2597">
            <v>45406</v>
          </cell>
        </row>
        <row r="2598">
          <cell r="I2598" t="str">
            <v>EDI</v>
          </cell>
          <cell r="L2598">
            <v>2959</v>
          </cell>
          <cell r="N2598" t="str">
            <v>Production</v>
          </cell>
          <cell r="O2598" t="str">
            <v>No</v>
          </cell>
          <cell r="Q2598" t="str">
            <v>Cancelled</v>
          </cell>
          <cell r="R2598">
            <v>45350.87945601852</v>
          </cell>
          <cell r="S2598" t="str">
            <v>Zeyad Khaled</v>
          </cell>
          <cell r="T2598">
            <v>45375</v>
          </cell>
          <cell r="U2598" t="str">
            <v>Sandra Valencia</v>
          </cell>
          <cell r="V2598">
            <v>45390</v>
          </cell>
          <cell r="W2598">
            <v>45443</v>
          </cell>
          <cell r="Y2598">
            <v>45362</v>
          </cell>
          <cell r="AC2598">
            <v>45426</v>
          </cell>
        </row>
        <row r="2599">
          <cell r="I2599" t="str">
            <v>EDI</v>
          </cell>
          <cell r="L2599">
            <v>2985</v>
          </cell>
          <cell r="N2599" t="str">
            <v>Production</v>
          </cell>
          <cell r="O2599" t="str">
            <v>No</v>
          </cell>
          <cell r="Q2599" t="str">
            <v>Cancelled</v>
          </cell>
          <cell r="R2599">
            <v>45350.87945601852</v>
          </cell>
          <cell r="S2599" t="str">
            <v>Mina Adel</v>
          </cell>
          <cell r="T2599">
            <v>45377</v>
          </cell>
          <cell r="U2599" t="str">
            <v>Sandra Valencia</v>
          </cell>
          <cell r="V2599">
            <v>45404</v>
          </cell>
          <cell r="W2599">
            <v>45448</v>
          </cell>
          <cell r="Y2599">
            <v>45357</v>
          </cell>
          <cell r="AC2599">
            <v>45427</v>
          </cell>
        </row>
        <row r="2600">
          <cell r="I2600" t="str">
            <v>EDI</v>
          </cell>
          <cell r="L2600">
            <v>2954</v>
          </cell>
          <cell r="N2600" t="str">
            <v>Production</v>
          </cell>
          <cell r="O2600" t="str">
            <v>No</v>
          </cell>
          <cell r="Q2600" t="str">
            <v>Live</v>
          </cell>
          <cell r="R2600">
            <v>45350.873078703713</v>
          </cell>
          <cell r="S2600" t="str">
            <v>Hazem Rostom</v>
          </cell>
          <cell r="T2600">
            <v>45375</v>
          </cell>
          <cell r="U2600" t="str">
            <v>Sandra Valencia</v>
          </cell>
          <cell r="W2600">
            <v>45443</v>
          </cell>
          <cell r="Y2600">
            <v>45369</v>
          </cell>
          <cell r="AC2600">
            <v>45432</v>
          </cell>
        </row>
        <row r="2601">
          <cell r="I2601" t="str">
            <v>EDI</v>
          </cell>
          <cell r="L2601">
            <v>2945</v>
          </cell>
          <cell r="N2601" t="str">
            <v>Production</v>
          </cell>
          <cell r="O2601" t="str">
            <v>No</v>
          </cell>
          <cell r="Q2601" t="str">
            <v>Live</v>
          </cell>
          <cell r="R2601">
            <v>45350.838368055563</v>
          </cell>
          <cell r="S2601" t="str">
            <v>Mina Kamil</v>
          </cell>
          <cell r="T2601">
            <v>45377</v>
          </cell>
          <cell r="U2601" t="str">
            <v>Tammy Davies</v>
          </cell>
          <cell r="W2601">
            <v>45448</v>
          </cell>
          <cell r="Y2601">
            <v>45376</v>
          </cell>
          <cell r="AC2601">
            <v>45445</v>
          </cell>
        </row>
        <row r="2602">
          <cell r="I2602" t="str">
            <v>EDI</v>
          </cell>
          <cell r="L2602">
            <v>2941</v>
          </cell>
          <cell r="N2602" t="str">
            <v>Production</v>
          </cell>
          <cell r="O2602" t="str">
            <v>No</v>
          </cell>
          <cell r="Q2602" t="str">
            <v>Live</v>
          </cell>
          <cell r="R2602">
            <v>45349.896122685182</v>
          </cell>
          <cell r="S2602" t="str">
            <v>Alaa Yehia</v>
          </cell>
          <cell r="T2602">
            <v>45375</v>
          </cell>
          <cell r="U2602" t="str">
            <v>Trish Kalinczok</v>
          </cell>
          <cell r="V2602">
            <v>45393</v>
          </cell>
          <cell r="W2602">
            <v>25569</v>
          </cell>
          <cell r="Y2602">
            <v>45355</v>
          </cell>
          <cell r="AC2602">
            <v>45451</v>
          </cell>
        </row>
        <row r="2603">
          <cell r="I2603" t="str">
            <v>EDI</v>
          </cell>
          <cell r="L2603">
            <v>2937</v>
          </cell>
          <cell r="N2603" t="str">
            <v>Production</v>
          </cell>
          <cell r="O2603" t="str">
            <v>No</v>
          </cell>
          <cell r="Q2603" t="str">
            <v>Cancelled</v>
          </cell>
          <cell r="R2603">
            <v>45349.834143518521</v>
          </cell>
          <cell r="S2603" t="str">
            <v>Andrew Ramy</v>
          </cell>
          <cell r="T2603">
            <v>45371</v>
          </cell>
          <cell r="U2603" t="str">
            <v>Tammy Davies</v>
          </cell>
          <cell r="V2603">
            <v>45383</v>
          </cell>
          <cell r="W2603">
            <v>45391</v>
          </cell>
          <cell r="Y2603">
            <v>45358</v>
          </cell>
          <cell r="AC2603">
            <v>45389</v>
          </cell>
        </row>
        <row r="2604">
          <cell r="I2604" t="str">
            <v>EDI</v>
          </cell>
          <cell r="L2604">
            <v>2938</v>
          </cell>
          <cell r="N2604" t="str">
            <v>Production</v>
          </cell>
          <cell r="O2604" t="str">
            <v>No</v>
          </cell>
          <cell r="Q2604" t="str">
            <v>Live</v>
          </cell>
          <cell r="R2604">
            <v>45347.032349537039</v>
          </cell>
          <cell r="S2604" t="str">
            <v>Andrew Ramy</v>
          </cell>
          <cell r="T2604">
            <v>45371</v>
          </cell>
          <cell r="U2604" t="str">
            <v>Trish Kalinczok</v>
          </cell>
          <cell r="V2604">
            <v>45376</v>
          </cell>
          <cell r="W2604">
            <v>45448</v>
          </cell>
          <cell r="Y2604">
            <v>45348</v>
          </cell>
          <cell r="AC2604">
            <v>45448</v>
          </cell>
        </row>
        <row r="2605">
          <cell r="I2605" t="str">
            <v>EDI</v>
          </cell>
          <cell r="L2605">
            <v>2915</v>
          </cell>
          <cell r="N2605" t="str">
            <v>Production</v>
          </cell>
          <cell r="O2605" t="str">
            <v>No</v>
          </cell>
          <cell r="Q2605" t="str">
            <v>Live</v>
          </cell>
          <cell r="R2605">
            <v>45347.018182870372</v>
          </cell>
          <cell r="S2605" t="str">
            <v>Omnia Abdelaziz</v>
          </cell>
          <cell r="T2605">
            <v>45368</v>
          </cell>
          <cell r="U2605" t="str">
            <v>Trish Kalinczok</v>
          </cell>
          <cell r="V2605">
            <v>45420</v>
          </cell>
          <cell r="W2605">
            <v>45446</v>
          </cell>
          <cell r="Y2605">
            <v>45348</v>
          </cell>
          <cell r="AC2605">
            <v>45441</v>
          </cell>
        </row>
        <row r="2606">
          <cell r="I2606" t="str">
            <v>EDI</v>
          </cell>
          <cell r="L2606">
            <v>2906</v>
          </cell>
          <cell r="N2606" t="str">
            <v>Production</v>
          </cell>
          <cell r="O2606" t="str">
            <v>No</v>
          </cell>
          <cell r="Q2606" t="str">
            <v>Live</v>
          </cell>
          <cell r="R2606">
            <v>45347.018171296288</v>
          </cell>
          <cell r="S2606" t="str">
            <v>Omnia Abdelaziz</v>
          </cell>
          <cell r="T2606">
            <v>45361</v>
          </cell>
          <cell r="U2606" t="str">
            <v>Trish Kalinczok</v>
          </cell>
          <cell r="V2606">
            <v>45404</v>
          </cell>
          <cell r="W2606">
            <v>25569</v>
          </cell>
          <cell r="Y2606">
            <v>45348</v>
          </cell>
          <cell r="AC2606">
            <v>45483</v>
          </cell>
        </row>
        <row r="2607">
          <cell r="I2607" t="str">
            <v>EDI</v>
          </cell>
          <cell r="L2607">
            <v>2919</v>
          </cell>
          <cell r="N2607" t="str">
            <v>Production</v>
          </cell>
          <cell r="O2607" t="str">
            <v>No</v>
          </cell>
          <cell r="Q2607" t="str">
            <v>Live</v>
          </cell>
          <cell r="R2607">
            <v>45345.874594907407</v>
          </cell>
          <cell r="S2607" t="str">
            <v>Mina Adel</v>
          </cell>
          <cell r="T2607">
            <v>45361</v>
          </cell>
          <cell r="U2607" t="str">
            <v>Juan Gil Valencia</v>
          </cell>
          <cell r="V2607">
            <v>45369</v>
          </cell>
          <cell r="W2607">
            <v>45397</v>
          </cell>
          <cell r="Y2607">
            <v>45347</v>
          </cell>
          <cell r="AC2607">
            <v>45393</v>
          </cell>
        </row>
        <row r="2608">
          <cell r="I2608" t="str">
            <v>EDI</v>
          </cell>
          <cell r="L2608">
            <v>2931</v>
          </cell>
          <cell r="N2608" t="str">
            <v>Production</v>
          </cell>
          <cell r="O2608" t="str">
            <v>No</v>
          </cell>
          <cell r="Q2608" t="str">
            <v>Cancelled</v>
          </cell>
          <cell r="R2608">
            <v>45344.959062499998</v>
          </cell>
          <cell r="S2608" t="str">
            <v>Hazem Rostom</v>
          </cell>
          <cell r="T2608">
            <v>45371</v>
          </cell>
          <cell r="U2608" t="str">
            <v>Amy Bergstrom</v>
          </cell>
          <cell r="V2608">
            <v>45404</v>
          </cell>
          <cell r="W2608">
            <v>45755</v>
          </cell>
          <cell r="Y2608">
            <v>45355</v>
          </cell>
          <cell r="AC2608">
            <v>45754</v>
          </cell>
        </row>
        <row r="2609">
          <cell r="I2609" t="str">
            <v>EDI</v>
          </cell>
          <cell r="L2609">
            <v>2932</v>
          </cell>
          <cell r="N2609" t="str">
            <v>Production</v>
          </cell>
          <cell r="O2609" t="str">
            <v>No</v>
          </cell>
          <cell r="Q2609" t="str">
            <v>Cancelled</v>
          </cell>
          <cell r="R2609">
            <v>45344.849386574067</v>
          </cell>
          <cell r="S2609" t="str">
            <v>Omnia Abdelaziz</v>
          </cell>
          <cell r="T2609">
            <v>45371</v>
          </cell>
          <cell r="U2609" t="str">
            <v>Juan Gil Valencia</v>
          </cell>
          <cell r="V2609">
            <v>45378</v>
          </cell>
          <cell r="W2609">
            <v>45391</v>
          </cell>
          <cell r="Y2609">
            <v>45348</v>
          </cell>
          <cell r="AC2609">
            <v>45385</v>
          </cell>
        </row>
        <row r="2610">
          <cell r="I2610" t="str">
            <v>EDI</v>
          </cell>
          <cell r="L2610">
            <v>2927</v>
          </cell>
          <cell r="N2610" t="str">
            <v>Production</v>
          </cell>
          <cell r="O2610" t="str">
            <v>No</v>
          </cell>
          <cell r="Q2610" t="str">
            <v>Live</v>
          </cell>
          <cell r="R2610">
            <v>45343.897789351853</v>
          </cell>
          <cell r="S2610" t="str">
            <v>Mirna Azmy</v>
          </cell>
          <cell r="T2610">
            <v>45371</v>
          </cell>
          <cell r="U2610" t="str">
            <v>Maria Zea Rodriguez</v>
          </cell>
          <cell r="V2610">
            <v>45383</v>
          </cell>
          <cell r="W2610">
            <v>45392</v>
          </cell>
          <cell r="Y2610">
            <v>45345</v>
          </cell>
          <cell r="AC2610">
            <v>45390</v>
          </cell>
        </row>
        <row r="2611">
          <cell r="I2611" t="str">
            <v>EDI</v>
          </cell>
          <cell r="L2611">
            <v>2896</v>
          </cell>
          <cell r="N2611" t="str">
            <v>Production</v>
          </cell>
          <cell r="O2611" t="str">
            <v>No</v>
          </cell>
          <cell r="Q2611" t="str">
            <v>Live</v>
          </cell>
          <cell r="R2611">
            <v>45342.948113425933</v>
          </cell>
          <cell r="S2611" t="str">
            <v>Andrew Ramy</v>
          </cell>
          <cell r="T2611">
            <v>45357</v>
          </cell>
          <cell r="U2611" t="str">
            <v>Tammy Davies</v>
          </cell>
          <cell r="V2611">
            <v>45358</v>
          </cell>
          <cell r="W2611">
            <v>45391</v>
          </cell>
          <cell r="Y2611">
            <v>45343</v>
          </cell>
          <cell r="AC2611">
            <v>45390</v>
          </cell>
        </row>
        <row r="2612">
          <cell r="I2612" t="str">
            <v>EDI</v>
          </cell>
          <cell r="L2612">
            <v>2869</v>
          </cell>
          <cell r="N2612" t="str">
            <v>Production</v>
          </cell>
          <cell r="O2612" t="str">
            <v>No</v>
          </cell>
          <cell r="Q2612" t="str">
            <v>Live</v>
          </cell>
          <cell r="R2612">
            <v>45342.871053240742</v>
          </cell>
          <cell r="S2612" t="str">
            <v>Mina George</v>
          </cell>
          <cell r="T2612">
            <v>45343</v>
          </cell>
          <cell r="U2612" t="str">
            <v>Hans De Grouw</v>
          </cell>
          <cell r="V2612">
            <v>45370</v>
          </cell>
          <cell r="W2612">
            <v>25569</v>
          </cell>
          <cell r="AC2612">
            <v>45582</v>
          </cell>
        </row>
        <row r="2613">
          <cell r="I2613" t="str">
            <v>EDI</v>
          </cell>
          <cell r="L2613">
            <v>2862</v>
          </cell>
          <cell r="N2613" t="str">
            <v>Production</v>
          </cell>
          <cell r="O2613" t="str">
            <v>No</v>
          </cell>
          <cell r="Q2613" t="str">
            <v>Live</v>
          </cell>
          <cell r="R2613">
            <v>45342.867731481478</v>
          </cell>
          <cell r="S2613" t="str">
            <v>Aya Fathy</v>
          </cell>
          <cell r="T2613">
            <v>45343</v>
          </cell>
          <cell r="U2613" t="str">
            <v>Hans De Grouw</v>
          </cell>
          <cell r="V2613">
            <v>25569</v>
          </cell>
          <cell r="W2613">
            <v>45428</v>
          </cell>
          <cell r="AC2613">
            <v>45425</v>
          </cell>
        </row>
        <row r="2614">
          <cell r="I2614" t="str">
            <v>EDI</v>
          </cell>
          <cell r="N2614" t="str">
            <v>Requirements Gathering</v>
          </cell>
          <cell r="O2614" t="str">
            <v>No</v>
          </cell>
          <cell r="Q2614" t="str">
            <v>Cancelled</v>
          </cell>
          <cell r="R2614">
            <v>45338.915763888886</v>
          </cell>
          <cell r="S2614" t="str">
            <v>Dina Medhat</v>
          </cell>
          <cell r="T2614">
            <v>45344</v>
          </cell>
          <cell r="U2614" t="str">
            <v>Kristin Zambrano</v>
          </cell>
        </row>
        <row r="2615">
          <cell r="I2615" t="str">
            <v>EDI</v>
          </cell>
          <cell r="L2615">
            <v>2976</v>
          </cell>
          <cell r="N2615" t="str">
            <v>Production</v>
          </cell>
          <cell r="O2615" t="str">
            <v>No</v>
          </cell>
          <cell r="Q2615" t="str">
            <v>Cancelled</v>
          </cell>
          <cell r="R2615">
            <v>45338.893993055557</v>
          </cell>
          <cell r="S2615" t="str">
            <v>Mina George</v>
          </cell>
          <cell r="T2615">
            <v>45376</v>
          </cell>
          <cell r="U2615" t="str">
            <v>Sandra Valencia</v>
          </cell>
          <cell r="V2615">
            <v>45391</v>
          </cell>
          <cell r="W2615">
            <v>45413</v>
          </cell>
          <cell r="Y2615">
            <v>45343</v>
          </cell>
          <cell r="AC2615">
            <v>45413</v>
          </cell>
        </row>
        <row r="2616">
          <cell r="I2616" t="str">
            <v>EDI</v>
          </cell>
          <cell r="L2616">
            <v>2912</v>
          </cell>
          <cell r="N2616" t="str">
            <v>Production</v>
          </cell>
          <cell r="O2616" t="str">
            <v>No</v>
          </cell>
          <cell r="Q2616" t="str">
            <v>Live</v>
          </cell>
          <cell r="R2616">
            <v>45337.941747685189</v>
          </cell>
          <cell r="S2616" t="str">
            <v>Mirna Azmy</v>
          </cell>
          <cell r="T2616">
            <v>45365</v>
          </cell>
          <cell r="U2616" t="str">
            <v>Tammy Davies</v>
          </cell>
          <cell r="V2616">
            <v>45525</v>
          </cell>
          <cell r="W2616">
            <v>45573</v>
          </cell>
          <cell r="Y2616">
            <v>45354</v>
          </cell>
          <cell r="AC2616">
            <v>45564</v>
          </cell>
        </row>
        <row r="2617">
          <cell r="I2617" t="str">
            <v>EDI</v>
          </cell>
          <cell r="L2617">
            <v>2966</v>
          </cell>
          <cell r="N2617" t="str">
            <v>Production</v>
          </cell>
          <cell r="O2617" t="str">
            <v>No</v>
          </cell>
          <cell r="Q2617" t="str">
            <v>Live</v>
          </cell>
          <cell r="R2617">
            <v>45337.574780092589</v>
          </cell>
          <cell r="S2617" t="str">
            <v>Joseph Atef</v>
          </cell>
          <cell r="T2617">
            <v>45371</v>
          </cell>
          <cell r="U2617" t="str">
            <v>Sandra Valencia</v>
          </cell>
          <cell r="V2617">
            <v>45419</v>
          </cell>
          <cell r="W2617">
            <v>45426</v>
          </cell>
          <cell r="Y2617">
            <v>45342</v>
          </cell>
          <cell r="AC2617">
            <v>45420</v>
          </cell>
        </row>
        <row r="2618">
          <cell r="I2618" t="str">
            <v>EDI</v>
          </cell>
          <cell r="L2618">
            <v>2905</v>
          </cell>
          <cell r="N2618" t="str">
            <v>Production</v>
          </cell>
          <cell r="O2618" t="str">
            <v>No</v>
          </cell>
          <cell r="Q2618" t="str">
            <v>Live</v>
          </cell>
          <cell r="R2618">
            <v>45336.621087962973</v>
          </cell>
          <cell r="S2618" t="str">
            <v>Aya Fathy</v>
          </cell>
          <cell r="T2618">
            <v>45361</v>
          </cell>
          <cell r="U2618" t="str">
            <v>Trish Kalinczok</v>
          </cell>
          <cell r="V2618">
            <v>45368</v>
          </cell>
          <cell r="W2618">
            <v>45477</v>
          </cell>
          <cell r="Y2618">
            <v>45343</v>
          </cell>
          <cell r="AC2618">
            <v>45475</v>
          </cell>
        </row>
        <row r="2619">
          <cell r="I2619" t="str">
            <v>EDI</v>
          </cell>
          <cell r="L2619">
            <v>2939</v>
          </cell>
          <cell r="N2619" t="str">
            <v>Production</v>
          </cell>
          <cell r="O2619" t="str">
            <v>No</v>
          </cell>
          <cell r="Q2619" t="str">
            <v>Cancelled</v>
          </cell>
          <cell r="R2619">
            <v>45335.78869212963</v>
          </cell>
          <cell r="S2619" t="str">
            <v>Mina Adel</v>
          </cell>
          <cell r="T2619">
            <v>45371</v>
          </cell>
          <cell r="U2619" t="str">
            <v>Hans De Grouw</v>
          </cell>
          <cell r="W2619">
            <v>45426</v>
          </cell>
          <cell r="Y2619">
            <v>45342</v>
          </cell>
          <cell r="AC2619">
            <v>45422</v>
          </cell>
        </row>
        <row r="2620">
          <cell r="I2620" t="str">
            <v>EDI</v>
          </cell>
          <cell r="L2620">
            <v>2928</v>
          </cell>
          <cell r="N2620" t="str">
            <v>Production</v>
          </cell>
          <cell r="O2620" t="str">
            <v>No</v>
          </cell>
          <cell r="Q2620" t="str">
            <v>Live</v>
          </cell>
          <cell r="R2620">
            <v>45335.629675925928</v>
          </cell>
          <cell r="S2620" t="str">
            <v>Andrew Ramy</v>
          </cell>
          <cell r="T2620">
            <v>45370</v>
          </cell>
          <cell r="U2620" t="str">
            <v>Trish Kalinczok</v>
          </cell>
          <cell r="V2620">
            <v>45422</v>
          </cell>
          <cell r="W2620">
            <v>45505</v>
          </cell>
          <cell r="Y2620">
            <v>45347</v>
          </cell>
          <cell r="AC2620">
            <v>45505</v>
          </cell>
        </row>
        <row r="2621">
          <cell r="I2621" t="str">
            <v>EDI</v>
          </cell>
          <cell r="L2621">
            <v>2926</v>
          </cell>
          <cell r="N2621" t="str">
            <v>Production</v>
          </cell>
          <cell r="O2621" t="str">
            <v>No</v>
          </cell>
          <cell r="Q2621" t="str">
            <v>Live</v>
          </cell>
          <cell r="R2621">
            <v>45334.592418981483</v>
          </cell>
          <cell r="S2621" t="str">
            <v>Aya Fathy</v>
          </cell>
          <cell r="T2621">
            <v>45371</v>
          </cell>
          <cell r="U2621" t="str">
            <v>Jene Hamm</v>
          </cell>
          <cell r="V2621">
            <v>45379</v>
          </cell>
          <cell r="W2621">
            <v>45392</v>
          </cell>
          <cell r="Y2621">
            <v>45343</v>
          </cell>
          <cell r="AC2621">
            <v>45390</v>
          </cell>
        </row>
        <row r="2622">
          <cell r="I2622" t="str">
            <v>EDI</v>
          </cell>
          <cell r="L2622">
            <v>2925</v>
          </cell>
          <cell r="N2622" t="str">
            <v>Production</v>
          </cell>
          <cell r="O2622" t="str">
            <v>No</v>
          </cell>
          <cell r="Q2622" t="str">
            <v>Cancelled</v>
          </cell>
          <cell r="R2622">
            <v>45331.977905092594</v>
          </cell>
          <cell r="S2622" t="str">
            <v>Omnia Abdelaziz</v>
          </cell>
          <cell r="T2622">
            <v>45419</v>
          </cell>
          <cell r="U2622" t="str">
            <v>Trish Kalinczok</v>
          </cell>
          <cell r="V2622">
            <v>45390</v>
          </cell>
          <cell r="W2622">
            <v>45553</v>
          </cell>
          <cell r="Y2622">
            <v>45368</v>
          </cell>
          <cell r="AC2622">
            <v>45546</v>
          </cell>
        </row>
        <row r="2623">
          <cell r="I2623" t="str">
            <v>EDI</v>
          </cell>
          <cell r="L2623">
            <v>2615</v>
          </cell>
          <cell r="N2623" t="str">
            <v>Production</v>
          </cell>
          <cell r="O2623" t="str">
            <v>Everything Benefits</v>
          </cell>
          <cell r="P2623" t="str">
            <v>Production</v>
          </cell>
          <cell r="Q2623" t="str">
            <v>Live</v>
          </cell>
          <cell r="R2623">
            <v>45331.941134259258</v>
          </cell>
          <cell r="S2623" t="str">
            <v>Mohamed Abdelhamed</v>
          </cell>
          <cell r="T2623">
            <v>45334</v>
          </cell>
          <cell r="U2623" t="str">
            <v>Trish Kalinczok</v>
          </cell>
          <cell r="V2623">
            <v>45278</v>
          </cell>
          <cell r="W2623">
            <v>25569</v>
          </cell>
          <cell r="AC2623">
            <v>45389</v>
          </cell>
        </row>
        <row r="2624">
          <cell r="I2624" t="str">
            <v>EDI</v>
          </cell>
          <cell r="L2624">
            <v>2518</v>
          </cell>
          <cell r="N2624" t="str">
            <v>Production</v>
          </cell>
          <cell r="O2624" t="str">
            <v>Everything Benefits</v>
          </cell>
          <cell r="P2624" t="str">
            <v>Production</v>
          </cell>
          <cell r="Q2624" t="str">
            <v>Live</v>
          </cell>
          <cell r="R2624">
            <v>45331.941134259258</v>
          </cell>
          <cell r="S2624" t="str">
            <v>Mina Kamil</v>
          </cell>
          <cell r="T2624">
            <v>45334</v>
          </cell>
          <cell r="U2624" t="str">
            <v>Trish Kalinczok</v>
          </cell>
          <cell r="V2624">
            <v>45376</v>
          </cell>
          <cell r="W2624">
            <v>45572</v>
          </cell>
          <cell r="AC2624">
            <v>45571</v>
          </cell>
        </row>
        <row r="2625">
          <cell r="I2625" t="str">
            <v>EDI</v>
          </cell>
          <cell r="L2625">
            <v>2933</v>
          </cell>
          <cell r="N2625" t="str">
            <v>Production</v>
          </cell>
          <cell r="O2625" t="str">
            <v>No</v>
          </cell>
          <cell r="Q2625" t="str">
            <v>Cancelled</v>
          </cell>
          <cell r="R2625">
            <v>45331.915509259263</v>
          </cell>
          <cell r="S2625" t="str">
            <v>Zeyad Khaled</v>
          </cell>
          <cell r="T2625">
            <v>45368</v>
          </cell>
          <cell r="U2625" t="str">
            <v>Ian Dodd</v>
          </cell>
          <cell r="V2625">
            <v>45380</v>
          </cell>
          <cell r="W2625">
            <v>45518</v>
          </cell>
          <cell r="Y2625">
            <v>45350</v>
          </cell>
          <cell r="AC2625">
            <v>45515</v>
          </cell>
        </row>
        <row r="2626">
          <cell r="I2626" t="str">
            <v>EDI</v>
          </cell>
          <cell r="L2626">
            <v>2920</v>
          </cell>
          <cell r="N2626" t="str">
            <v>Production</v>
          </cell>
          <cell r="O2626" t="str">
            <v>No</v>
          </cell>
          <cell r="Q2626" t="str">
            <v>Live</v>
          </cell>
          <cell r="R2626">
            <v>45331.91097222222</v>
          </cell>
          <cell r="S2626" t="str">
            <v>Aya Fathy</v>
          </cell>
          <cell r="T2626">
            <v>45368</v>
          </cell>
          <cell r="U2626" t="str">
            <v>Trish Kalinczok</v>
          </cell>
          <cell r="V2626">
            <v>45370</v>
          </cell>
          <cell r="W2626">
            <v>45453</v>
          </cell>
          <cell r="Y2626">
            <v>45348</v>
          </cell>
          <cell r="AC2626">
            <v>45452</v>
          </cell>
        </row>
        <row r="2627">
          <cell r="I2627" t="str">
            <v>EDI</v>
          </cell>
          <cell r="L2627">
            <v>2936</v>
          </cell>
          <cell r="N2627" t="str">
            <v>Production</v>
          </cell>
          <cell r="O2627" t="str">
            <v>No</v>
          </cell>
          <cell r="Q2627" t="str">
            <v>Cancelled</v>
          </cell>
          <cell r="R2627">
            <v>45331.665844907409</v>
          </cell>
          <cell r="S2627" t="str">
            <v>Mina Adel</v>
          </cell>
          <cell r="T2627">
            <v>45368</v>
          </cell>
          <cell r="U2627" t="str">
            <v>Jene Hamm</v>
          </cell>
          <cell r="V2627">
            <v>25569</v>
          </cell>
          <cell r="W2627">
            <v>25569</v>
          </cell>
          <cell r="Y2627">
            <v>45334</v>
          </cell>
          <cell r="AC2627">
            <v>45525</v>
          </cell>
        </row>
        <row r="2628">
          <cell r="I2628" t="str">
            <v>EDI</v>
          </cell>
          <cell r="L2628">
            <v>2917</v>
          </cell>
          <cell r="N2628" t="str">
            <v>Production</v>
          </cell>
          <cell r="O2628" t="str">
            <v>No</v>
          </cell>
          <cell r="Q2628" t="str">
            <v>Live</v>
          </cell>
          <cell r="R2628">
            <v>45331.594317129631</v>
          </cell>
          <cell r="S2628" t="str">
            <v>Hazem Rostom</v>
          </cell>
          <cell r="T2628">
            <v>45368</v>
          </cell>
          <cell r="U2628" t="str">
            <v>Jene Hamm</v>
          </cell>
          <cell r="V2628">
            <v>45756</v>
          </cell>
          <cell r="W2628">
            <v>45446</v>
          </cell>
          <cell r="Y2628">
            <v>45335</v>
          </cell>
          <cell r="AC2628">
            <v>45440</v>
          </cell>
        </row>
        <row r="2629">
          <cell r="I2629" t="str">
            <v>EDI</v>
          </cell>
          <cell r="N2629" t="str">
            <v>Requirements Gathering</v>
          </cell>
          <cell r="O2629" t="str">
            <v>No</v>
          </cell>
          <cell r="Q2629" t="str">
            <v>Cancelled</v>
          </cell>
          <cell r="R2629">
            <v>45331.548692129632</v>
          </cell>
          <cell r="S2629" t="str">
            <v>Abdulrahman Tarek</v>
          </cell>
          <cell r="T2629">
            <v>45333</v>
          </cell>
          <cell r="U2629" t="str">
            <v>Tammy Davies</v>
          </cell>
        </row>
        <row r="2630">
          <cell r="I2630" t="str">
            <v>EDI</v>
          </cell>
          <cell r="N2630" t="str">
            <v>Resource Assignment</v>
          </cell>
          <cell r="O2630" t="str">
            <v>No</v>
          </cell>
          <cell r="Q2630" t="str">
            <v>Cancelled</v>
          </cell>
          <cell r="R2630">
            <v>45330.957650462973</v>
          </cell>
          <cell r="S2630" t="str">
            <v>Dina Medhat</v>
          </cell>
          <cell r="T2630">
            <v>45351</v>
          </cell>
          <cell r="U2630" t="str">
            <v>Trish Kalinczok</v>
          </cell>
          <cell r="Y2630">
            <v>45351</v>
          </cell>
        </row>
        <row r="2631">
          <cell r="I2631" t="str">
            <v>EDI</v>
          </cell>
          <cell r="N2631" t="str">
            <v>Resource Assignment</v>
          </cell>
          <cell r="O2631" t="str">
            <v>No</v>
          </cell>
          <cell r="Q2631" t="str">
            <v>Cancelled</v>
          </cell>
          <cell r="R2631">
            <v>45330.955949074072</v>
          </cell>
          <cell r="S2631" t="str">
            <v>Dina Medhat</v>
          </cell>
          <cell r="T2631">
            <v>45351</v>
          </cell>
          <cell r="U2631" t="str">
            <v>Trish Kalinczok</v>
          </cell>
          <cell r="Y2631">
            <v>45351</v>
          </cell>
        </row>
        <row r="2632">
          <cell r="I2632" t="str">
            <v>EDI</v>
          </cell>
          <cell r="L2632">
            <v>2956</v>
          </cell>
          <cell r="N2632" t="str">
            <v>Production</v>
          </cell>
          <cell r="O2632" t="str">
            <v>No</v>
          </cell>
          <cell r="Q2632" t="str">
            <v>Live</v>
          </cell>
          <cell r="R2632">
            <v>45330.955937500003</v>
          </cell>
          <cell r="S2632" t="str">
            <v>Mina George</v>
          </cell>
          <cell r="T2632">
            <v>45368</v>
          </cell>
          <cell r="U2632" t="str">
            <v>Trish Kalinczok</v>
          </cell>
          <cell r="V2632">
            <v>45407</v>
          </cell>
          <cell r="W2632">
            <v>45468</v>
          </cell>
          <cell r="Y2632">
            <v>45351</v>
          </cell>
          <cell r="AC2632">
            <v>45468</v>
          </cell>
        </row>
        <row r="2633">
          <cell r="I2633" t="str">
            <v>EDI</v>
          </cell>
          <cell r="L2633">
            <v>2918</v>
          </cell>
          <cell r="N2633" t="str">
            <v>Production</v>
          </cell>
          <cell r="O2633" t="str">
            <v>No</v>
          </cell>
          <cell r="Q2633" t="str">
            <v>Live</v>
          </cell>
          <cell r="R2633">
            <v>45330.945335648154</v>
          </cell>
          <cell r="S2633" t="str">
            <v>Mirna Azmy</v>
          </cell>
          <cell r="T2633">
            <v>45368</v>
          </cell>
          <cell r="U2633" t="str">
            <v>Trish Kalinczok</v>
          </cell>
          <cell r="V2633">
            <v>45369</v>
          </cell>
          <cell r="W2633">
            <v>45446</v>
          </cell>
          <cell r="Y2633">
            <v>45348</v>
          </cell>
          <cell r="AC2633">
            <v>45446</v>
          </cell>
        </row>
        <row r="2634">
          <cell r="I2634" t="str">
            <v>EDI</v>
          </cell>
          <cell r="L2634">
            <v>2958</v>
          </cell>
          <cell r="N2634" t="str">
            <v>Production</v>
          </cell>
          <cell r="O2634" t="str">
            <v>No</v>
          </cell>
          <cell r="Q2634" t="str">
            <v>Live</v>
          </cell>
          <cell r="R2634">
            <v>45330.940960648149</v>
          </cell>
          <cell r="S2634" t="str">
            <v>Aya Fathy</v>
          </cell>
          <cell r="T2634">
            <v>45382</v>
          </cell>
          <cell r="U2634" t="str">
            <v>Trish Kalinczok</v>
          </cell>
          <cell r="V2634">
            <v>45412</v>
          </cell>
          <cell r="W2634">
            <v>45460</v>
          </cell>
          <cell r="Y2634">
            <v>45382</v>
          </cell>
          <cell r="AC2634">
            <v>45455</v>
          </cell>
        </row>
        <row r="2635">
          <cell r="I2635" t="str">
            <v>EDI</v>
          </cell>
          <cell r="L2635">
            <v>2923</v>
          </cell>
          <cell r="N2635" t="str">
            <v>Production</v>
          </cell>
          <cell r="O2635" t="str">
            <v>No</v>
          </cell>
          <cell r="Q2635" t="str">
            <v>Live</v>
          </cell>
          <cell r="R2635">
            <v>45330.908414351848</v>
          </cell>
          <cell r="S2635" t="str">
            <v>Andrew Ramy</v>
          </cell>
          <cell r="T2635">
            <v>45368</v>
          </cell>
          <cell r="U2635" t="str">
            <v>Maria Zea Rodriguez</v>
          </cell>
          <cell r="V2635">
            <v>45399</v>
          </cell>
          <cell r="W2635">
            <v>45443</v>
          </cell>
          <cell r="Y2635">
            <v>45335</v>
          </cell>
          <cell r="AC2635">
            <v>45439</v>
          </cell>
        </row>
        <row r="2636">
          <cell r="I2636" t="str">
            <v>EDI</v>
          </cell>
          <cell r="L2636">
            <v>2903</v>
          </cell>
          <cell r="N2636" t="str">
            <v>Production</v>
          </cell>
          <cell r="O2636" t="str">
            <v>No</v>
          </cell>
          <cell r="Q2636" t="str">
            <v>Live</v>
          </cell>
          <cell r="R2636">
            <v>45330.893240740741</v>
          </cell>
          <cell r="S2636" t="str">
            <v>Mirna Azmy</v>
          </cell>
          <cell r="T2636">
            <v>45361</v>
          </cell>
          <cell r="U2636" t="str">
            <v>Juan Gil Valencia</v>
          </cell>
          <cell r="V2636">
            <v>45364</v>
          </cell>
          <cell r="W2636">
            <v>45390</v>
          </cell>
          <cell r="Y2636">
            <v>45335</v>
          </cell>
          <cell r="AC2636">
            <v>45390</v>
          </cell>
        </row>
        <row r="2637">
          <cell r="I2637" t="str">
            <v>EDI</v>
          </cell>
          <cell r="L2637">
            <v>2948</v>
          </cell>
          <cell r="N2637" t="str">
            <v>Testing</v>
          </cell>
          <cell r="O2637" t="str">
            <v>No</v>
          </cell>
          <cell r="Q2637" t="str">
            <v>Cancelled</v>
          </cell>
          <cell r="R2637">
            <v>45329.898784722223</v>
          </cell>
          <cell r="S2637" t="str">
            <v>Joseph Atef</v>
          </cell>
          <cell r="T2637">
            <v>45364</v>
          </cell>
          <cell r="U2637" t="str">
            <v>Tammy Davies</v>
          </cell>
          <cell r="V2637">
            <v>45408</v>
          </cell>
          <cell r="Y2637">
            <v>45347</v>
          </cell>
        </row>
        <row r="2638">
          <cell r="I2638" t="str">
            <v>EDI</v>
          </cell>
          <cell r="L2638">
            <v>2911</v>
          </cell>
          <cell r="N2638" t="str">
            <v>Production</v>
          </cell>
          <cell r="O2638" t="str">
            <v>No</v>
          </cell>
          <cell r="Q2638" t="str">
            <v>Live</v>
          </cell>
          <cell r="R2638">
            <v>45329.857812499999</v>
          </cell>
          <cell r="S2638" t="str">
            <v>Mirna Azmy</v>
          </cell>
          <cell r="T2638">
            <v>45364</v>
          </cell>
          <cell r="U2638" t="str">
            <v>Destinee Duncan</v>
          </cell>
          <cell r="V2638">
            <v>45369</v>
          </cell>
          <cell r="W2638">
            <v>25569</v>
          </cell>
          <cell r="Y2638">
            <v>45335</v>
          </cell>
          <cell r="AC2638">
            <v>45385</v>
          </cell>
        </row>
        <row r="2639">
          <cell r="I2639" t="str">
            <v>EDI</v>
          </cell>
          <cell r="L2639">
            <v>2900</v>
          </cell>
          <cell r="N2639" t="str">
            <v>Production</v>
          </cell>
          <cell r="O2639" t="str">
            <v>No</v>
          </cell>
          <cell r="Q2639" t="str">
            <v>Live</v>
          </cell>
          <cell r="R2639">
            <v>45329.857800925929</v>
          </cell>
          <cell r="S2639" t="str">
            <v>Peter Fayez</v>
          </cell>
          <cell r="T2639">
            <v>45358</v>
          </cell>
          <cell r="U2639" t="str">
            <v>Destinee Duncan</v>
          </cell>
          <cell r="V2639">
            <v>45365</v>
          </cell>
          <cell r="W2639">
            <v>45394</v>
          </cell>
          <cell r="Y2639">
            <v>45337</v>
          </cell>
          <cell r="AC2639">
            <v>45391</v>
          </cell>
        </row>
        <row r="2640">
          <cell r="I2640" t="str">
            <v>EDI</v>
          </cell>
          <cell r="L2640">
            <v>2836</v>
          </cell>
          <cell r="N2640" t="str">
            <v>Production</v>
          </cell>
          <cell r="O2640" t="str">
            <v>No</v>
          </cell>
          <cell r="Q2640" t="str">
            <v>Cancelled</v>
          </cell>
          <cell r="R2640">
            <v>45329.573310185187</v>
          </cell>
          <cell r="S2640" t="str">
            <v>Mina Adel</v>
          </cell>
          <cell r="T2640">
            <v>45330</v>
          </cell>
          <cell r="U2640" t="str">
            <v>Jene Hamm</v>
          </cell>
          <cell r="V2640">
            <v>45393</v>
          </cell>
          <cell r="W2640">
            <v>45411</v>
          </cell>
          <cell r="AC2640">
            <v>45405</v>
          </cell>
        </row>
        <row r="2641">
          <cell r="I2641" t="str">
            <v>EDI</v>
          </cell>
          <cell r="L2641">
            <v>2883</v>
          </cell>
          <cell r="N2641" t="str">
            <v>Production</v>
          </cell>
          <cell r="O2641" t="str">
            <v>No</v>
          </cell>
          <cell r="Q2641" t="str">
            <v>Live</v>
          </cell>
          <cell r="R2641">
            <v>45329.529293981483</v>
          </cell>
          <cell r="S2641" t="str">
            <v>Dina Medhat</v>
          </cell>
          <cell r="T2641">
            <v>45329</v>
          </cell>
          <cell r="U2641" t="str">
            <v>Matt Howell</v>
          </cell>
          <cell r="V2641">
            <v>45428</v>
          </cell>
          <cell r="W2641">
            <v>45650</v>
          </cell>
          <cell r="AC2641">
            <v>45683</v>
          </cell>
        </row>
        <row r="2642">
          <cell r="I2642" t="str">
            <v>EDI</v>
          </cell>
          <cell r="L2642">
            <v>2884</v>
          </cell>
          <cell r="N2642" t="str">
            <v>Production</v>
          </cell>
          <cell r="O2642" t="str">
            <v>No</v>
          </cell>
          <cell r="Q2642" t="str">
            <v>Live</v>
          </cell>
          <cell r="R2642">
            <v>45329.515972222223</v>
          </cell>
          <cell r="S2642" t="str">
            <v>Omnia Abdelaziz</v>
          </cell>
          <cell r="T2642">
            <v>45358</v>
          </cell>
          <cell r="U2642" t="str">
            <v>Tammy Davies</v>
          </cell>
          <cell r="V2642">
            <v>45370</v>
          </cell>
          <cell r="W2642">
            <v>45376</v>
          </cell>
          <cell r="Y2642">
            <v>45329</v>
          </cell>
          <cell r="AC2642">
            <v>45371</v>
          </cell>
        </row>
        <row r="2643">
          <cell r="I2643" t="str">
            <v>EDI</v>
          </cell>
          <cell r="L2643">
            <v>2883</v>
          </cell>
          <cell r="N2643" t="str">
            <v>Production</v>
          </cell>
          <cell r="O2643" t="str">
            <v>No</v>
          </cell>
          <cell r="Q2643" t="str">
            <v>Live</v>
          </cell>
          <cell r="R2643">
            <v>45328.964050925933</v>
          </cell>
          <cell r="S2643" t="str">
            <v>Dina Medhat</v>
          </cell>
          <cell r="T2643">
            <v>45329</v>
          </cell>
          <cell r="U2643" t="str">
            <v>Matt Howell</v>
          </cell>
          <cell r="V2643">
            <v>45428</v>
          </cell>
          <cell r="W2643">
            <v>45650</v>
          </cell>
          <cell r="AC2643">
            <v>45683</v>
          </cell>
        </row>
        <row r="2644">
          <cell r="I2644" t="str">
            <v>EDI</v>
          </cell>
          <cell r="L2644">
            <v>2883</v>
          </cell>
          <cell r="N2644" t="str">
            <v>Production</v>
          </cell>
          <cell r="O2644" t="str">
            <v>No</v>
          </cell>
          <cell r="Q2644" t="str">
            <v>Live</v>
          </cell>
          <cell r="R2644">
            <v>45328.961087962962</v>
          </cell>
          <cell r="S2644" t="str">
            <v>Dina Medhat</v>
          </cell>
          <cell r="T2644">
            <v>45329</v>
          </cell>
          <cell r="U2644" t="str">
            <v>Matt Howell</v>
          </cell>
          <cell r="V2644">
            <v>45428</v>
          </cell>
          <cell r="W2644">
            <v>45650</v>
          </cell>
          <cell r="AC2644">
            <v>45683</v>
          </cell>
        </row>
        <row r="2645">
          <cell r="I2645" t="str">
            <v>EDI</v>
          </cell>
          <cell r="L2645">
            <v>2883</v>
          </cell>
          <cell r="N2645" t="str">
            <v>Production</v>
          </cell>
          <cell r="O2645" t="str">
            <v>No</v>
          </cell>
          <cell r="Q2645" t="str">
            <v>Live</v>
          </cell>
          <cell r="R2645">
            <v>45328.959930555553</v>
          </cell>
          <cell r="S2645" t="str">
            <v>Dina Medhat</v>
          </cell>
          <cell r="T2645">
            <v>45329</v>
          </cell>
          <cell r="U2645" t="str">
            <v>Matt Howell</v>
          </cell>
          <cell r="V2645">
            <v>45428</v>
          </cell>
          <cell r="W2645">
            <v>45650</v>
          </cell>
          <cell r="AC2645">
            <v>45683</v>
          </cell>
        </row>
        <row r="2646">
          <cell r="I2646" t="str">
            <v>EDI</v>
          </cell>
          <cell r="N2646" t="str">
            <v>Requirements Gathering</v>
          </cell>
          <cell r="O2646" t="str">
            <v>No</v>
          </cell>
          <cell r="Q2646" t="str">
            <v>Cancelled</v>
          </cell>
          <cell r="R2646">
            <v>45328.958402777767</v>
          </cell>
          <cell r="S2646" t="str">
            <v>Abdulrahman Tarek</v>
          </cell>
          <cell r="T2646">
            <v>45329</v>
          </cell>
          <cell r="U2646" t="str">
            <v>Matt Howell</v>
          </cell>
        </row>
        <row r="2647">
          <cell r="I2647" t="str">
            <v>EDI</v>
          </cell>
          <cell r="L2647">
            <v>2883</v>
          </cell>
          <cell r="N2647" t="str">
            <v>Production</v>
          </cell>
          <cell r="O2647" t="str">
            <v>No</v>
          </cell>
          <cell r="Q2647" t="str">
            <v>Live</v>
          </cell>
          <cell r="R2647">
            <v>45328.957615740743</v>
          </cell>
          <cell r="S2647" t="str">
            <v>Dina Medhat</v>
          </cell>
          <cell r="T2647">
            <v>45329</v>
          </cell>
          <cell r="U2647" t="str">
            <v>Matt Howell</v>
          </cell>
          <cell r="V2647">
            <v>45428</v>
          </cell>
          <cell r="W2647">
            <v>45650</v>
          </cell>
          <cell r="AC2647">
            <v>45683</v>
          </cell>
        </row>
        <row r="2648">
          <cell r="I2648" t="str">
            <v>EDI</v>
          </cell>
          <cell r="L2648">
            <v>2883</v>
          </cell>
          <cell r="N2648" t="str">
            <v>Production</v>
          </cell>
          <cell r="O2648" t="str">
            <v>No</v>
          </cell>
          <cell r="Q2648" t="str">
            <v>Live</v>
          </cell>
          <cell r="R2648">
            <v>45328.956192129634</v>
          </cell>
          <cell r="S2648" t="str">
            <v>Dina Medhat</v>
          </cell>
          <cell r="T2648">
            <v>45329</v>
          </cell>
          <cell r="U2648" t="str">
            <v>Matt Howell</v>
          </cell>
          <cell r="V2648">
            <v>45428</v>
          </cell>
          <cell r="W2648">
            <v>45650</v>
          </cell>
          <cell r="AC2648">
            <v>45683</v>
          </cell>
        </row>
        <row r="2649">
          <cell r="I2649" t="str">
            <v>EDI</v>
          </cell>
          <cell r="L2649">
            <v>2883</v>
          </cell>
          <cell r="N2649" t="str">
            <v>Production</v>
          </cell>
          <cell r="O2649" t="str">
            <v>No</v>
          </cell>
          <cell r="Q2649" t="str">
            <v>Live</v>
          </cell>
          <cell r="R2649">
            <v>45328.954675925917</v>
          </cell>
          <cell r="S2649" t="str">
            <v>Dina Medhat</v>
          </cell>
          <cell r="T2649">
            <v>45329</v>
          </cell>
          <cell r="U2649" t="str">
            <v>Matt Howell</v>
          </cell>
          <cell r="V2649">
            <v>45428</v>
          </cell>
          <cell r="W2649">
            <v>45650</v>
          </cell>
          <cell r="AC2649">
            <v>45683</v>
          </cell>
        </row>
        <row r="2650">
          <cell r="I2650" t="str">
            <v>EDI</v>
          </cell>
          <cell r="L2650">
            <v>2883</v>
          </cell>
          <cell r="N2650" t="str">
            <v>Production</v>
          </cell>
          <cell r="O2650" t="str">
            <v>No</v>
          </cell>
          <cell r="Q2650" t="str">
            <v>Live</v>
          </cell>
          <cell r="R2650">
            <v>45328.952731481477</v>
          </cell>
          <cell r="S2650" t="str">
            <v>Dina Medhat</v>
          </cell>
          <cell r="T2650">
            <v>45329</v>
          </cell>
          <cell r="U2650" t="str">
            <v>Matt Howell</v>
          </cell>
          <cell r="V2650">
            <v>45428</v>
          </cell>
          <cell r="W2650">
            <v>45650</v>
          </cell>
          <cell r="AC2650">
            <v>45778</v>
          </cell>
        </row>
        <row r="2651">
          <cell r="I2651" t="str">
            <v>EDI</v>
          </cell>
          <cell r="L2651">
            <v>2883</v>
          </cell>
          <cell r="N2651" t="str">
            <v>Production</v>
          </cell>
          <cell r="O2651" t="str">
            <v>No</v>
          </cell>
          <cell r="Q2651" t="str">
            <v>Live</v>
          </cell>
          <cell r="R2651">
            <v>45328.950497685182</v>
          </cell>
          <cell r="S2651" t="str">
            <v>Mina George</v>
          </cell>
          <cell r="T2651">
            <v>45358</v>
          </cell>
          <cell r="U2651" t="str">
            <v>Matt Howell</v>
          </cell>
          <cell r="V2651">
            <v>45428</v>
          </cell>
          <cell r="W2651">
            <v>45650</v>
          </cell>
          <cell r="Y2651">
            <v>45334</v>
          </cell>
          <cell r="AC2651">
            <v>45649</v>
          </cell>
        </row>
        <row r="2652">
          <cell r="I2652" t="str">
            <v>EDI</v>
          </cell>
          <cell r="L2652">
            <v>2929</v>
          </cell>
          <cell r="N2652" t="str">
            <v>Production</v>
          </cell>
          <cell r="O2652" t="str">
            <v>No</v>
          </cell>
          <cell r="Q2652" t="str">
            <v>Cancelled</v>
          </cell>
          <cell r="R2652">
            <v>45328.674583333333</v>
          </cell>
          <cell r="S2652" t="str">
            <v>Zeyad Khaled</v>
          </cell>
          <cell r="T2652">
            <v>45358</v>
          </cell>
          <cell r="U2652" t="str">
            <v>Trish Kalinczok</v>
          </cell>
          <cell r="V2652">
            <v>45372</v>
          </cell>
          <cell r="W2652">
            <v>45412</v>
          </cell>
          <cell r="Y2652">
            <v>45334</v>
          </cell>
          <cell r="AC2652">
            <v>45412</v>
          </cell>
        </row>
        <row r="2653">
          <cell r="I2653" t="str">
            <v>EDI</v>
          </cell>
          <cell r="L2653">
            <v>2904</v>
          </cell>
          <cell r="N2653" t="str">
            <v>Production</v>
          </cell>
          <cell r="O2653" t="str">
            <v>No</v>
          </cell>
          <cell r="Q2653" t="str">
            <v>Live</v>
          </cell>
          <cell r="R2653">
            <v>45328.644884259258</v>
          </cell>
          <cell r="S2653" t="str">
            <v>Alaa Yehia</v>
          </cell>
          <cell r="T2653">
            <v>45358</v>
          </cell>
          <cell r="U2653" t="str">
            <v>Jene Hamm</v>
          </cell>
          <cell r="V2653">
            <v>45393</v>
          </cell>
          <cell r="W2653">
            <v>45432</v>
          </cell>
          <cell r="Y2653">
            <v>45343</v>
          </cell>
          <cell r="AC2653">
            <v>45426</v>
          </cell>
        </row>
        <row r="2654">
          <cell r="I2654" t="str">
            <v>EDI</v>
          </cell>
          <cell r="L2654">
            <v>2893</v>
          </cell>
          <cell r="N2654" t="str">
            <v>Mapping</v>
          </cell>
          <cell r="O2654" t="str">
            <v>No</v>
          </cell>
          <cell r="Q2654" t="str">
            <v>Cancelled</v>
          </cell>
          <cell r="R2654">
            <v>45327.962060185193</v>
          </cell>
          <cell r="S2654" t="str">
            <v>Mina Kamil</v>
          </cell>
          <cell r="T2654">
            <v>45356</v>
          </cell>
          <cell r="U2654" t="str">
            <v>Trish Kalinczok</v>
          </cell>
          <cell r="Y2654">
            <v>45343</v>
          </cell>
        </row>
        <row r="2655">
          <cell r="I2655" t="str">
            <v>EDI</v>
          </cell>
          <cell r="L2655">
            <v>2910</v>
          </cell>
          <cell r="N2655" t="str">
            <v>Production</v>
          </cell>
          <cell r="O2655" t="str">
            <v>No</v>
          </cell>
          <cell r="Q2655" t="str">
            <v>Cancelled</v>
          </cell>
          <cell r="R2655">
            <v>45327.962048611109</v>
          </cell>
          <cell r="S2655" t="str">
            <v>Zeyad Khaled</v>
          </cell>
          <cell r="T2655">
            <v>45356</v>
          </cell>
          <cell r="U2655" t="str">
            <v>Trish Kalinczok</v>
          </cell>
          <cell r="V2655">
            <v>45375</v>
          </cell>
          <cell r="W2655">
            <v>45394</v>
          </cell>
          <cell r="Y2655">
            <v>45341</v>
          </cell>
          <cell r="AC2655">
            <v>45392</v>
          </cell>
        </row>
        <row r="2656">
          <cell r="I2656" t="str">
            <v>EDI</v>
          </cell>
          <cell r="N2656" t="str">
            <v>Requirements Gathering</v>
          </cell>
          <cell r="O2656" t="str">
            <v>No</v>
          </cell>
          <cell r="Q2656" t="str">
            <v>Cancelled</v>
          </cell>
          <cell r="R2656">
            <v>45327.962048611109</v>
          </cell>
          <cell r="S2656" t="str">
            <v>Sandra Adel</v>
          </cell>
          <cell r="T2656">
            <v>45328</v>
          </cell>
          <cell r="U2656" t="str">
            <v>Trish Kalinczok</v>
          </cell>
        </row>
        <row r="2657">
          <cell r="I2657" t="str">
            <v>EDI</v>
          </cell>
          <cell r="N2657" t="str">
            <v>Requirements Gathering</v>
          </cell>
          <cell r="O2657" t="str">
            <v>No</v>
          </cell>
          <cell r="Q2657" t="str">
            <v>Cancelled</v>
          </cell>
          <cell r="R2657">
            <v>45327.908668981479</v>
          </cell>
          <cell r="S2657" t="str">
            <v>Sandra Adel</v>
          </cell>
          <cell r="T2657">
            <v>45328</v>
          </cell>
          <cell r="U2657" t="str">
            <v>Sheila Hyatt</v>
          </cell>
        </row>
        <row r="2658">
          <cell r="I2658" t="str">
            <v>EDI</v>
          </cell>
          <cell r="N2658" t="str">
            <v>Requirements Gathering</v>
          </cell>
          <cell r="O2658" t="str">
            <v>No</v>
          </cell>
          <cell r="Q2658" t="str">
            <v>Cancelled</v>
          </cell>
          <cell r="R2658">
            <v>45327.832268518519</v>
          </cell>
          <cell r="S2658" t="str">
            <v>Abdulrahman Tarek</v>
          </cell>
          <cell r="T2658">
            <v>45328</v>
          </cell>
          <cell r="U2658" t="str">
            <v>Hans De Grouw</v>
          </cell>
        </row>
        <row r="2659">
          <cell r="I2659" t="str">
            <v>EDI</v>
          </cell>
          <cell r="L2659">
            <v>2897</v>
          </cell>
          <cell r="N2659" t="str">
            <v>Production</v>
          </cell>
          <cell r="O2659" t="str">
            <v>No</v>
          </cell>
          <cell r="Q2659" t="str">
            <v>Live</v>
          </cell>
          <cell r="R2659">
            <v>45327.824814814812</v>
          </cell>
          <cell r="S2659" t="str">
            <v>Andrew Ramy</v>
          </cell>
          <cell r="T2659">
            <v>45356</v>
          </cell>
          <cell r="U2659" t="str">
            <v>Robbie Schappell</v>
          </cell>
          <cell r="V2659">
            <v>45377</v>
          </cell>
          <cell r="W2659">
            <v>25569</v>
          </cell>
          <cell r="Y2659">
            <v>45354</v>
          </cell>
          <cell r="AC2659">
            <v>45404</v>
          </cell>
        </row>
        <row r="2660">
          <cell r="I2660" t="str">
            <v>EDI</v>
          </cell>
          <cell r="L2660">
            <v>2892</v>
          </cell>
          <cell r="N2660" t="str">
            <v>Production</v>
          </cell>
          <cell r="O2660" t="str">
            <v>No</v>
          </cell>
          <cell r="Q2660" t="str">
            <v>Live</v>
          </cell>
          <cell r="R2660">
            <v>45327.824814814812</v>
          </cell>
          <cell r="S2660" t="str">
            <v>Omnia Abdelaziz</v>
          </cell>
          <cell r="T2660">
            <v>45356</v>
          </cell>
          <cell r="U2660" t="str">
            <v>Robbie Schappell</v>
          </cell>
          <cell r="V2660">
            <v>45378</v>
          </cell>
          <cell r="W2660">
            <v>25569</v>
          </cell>
          <cell r="Y2660">
            <v>45331</v>
          </cell>
          <cell r="AC2660">
            <v>45383</v>
          </cell>
        </row>
        <row r="2661">
          <cell r="I2661" t="str">
            <v>EDI</v>
          </cell>
          <cell r="L2661">
            <v>2891</v>
          </cell>
          <cell r="N2661" t="str">
            <v>Production</v>
          </cell>
          <cell r="O2661" t="str">
            <v>No</v>
          </cell>
          <cell r="Q2661" t="str">
            <v>Live</v>
          </cell>
          <cell r="R2661">
            <v>45327.721747685187</v>
          </cell>
          <cell r="S2661" t="str">
            <v>Mirna Azmy</v>
          </cell>
          <cell r="T2661">
            <v>45355</v>
          </cell>
          <cell r="U2661" t="str">
            <v>Miranda Naeem</v>
          </cell>
          <cell r="V2661">
            <v>45362</v>
          </cell>
          <cell r="W2661">
            <v>45391</v>
          </cell>
          <cell r="Y2661">
            <v>45334</v>
          </cell>
          <cell r="AC2661">
            <v>45387</v>
          </cell>
        </row>
        <row r="2662">
          <cell r="I2662" t="str">
            <v>EDI</v>
          </cell>
          <cell r="L2662">
            <v>2889</v>
          </cell>
          <cell r="N2662" t="str">
            <v>Production</v>
          </cell>
          <cell r="O2662" t="str">
            <v>No</v>
          </cell>
          <cell r="Q2662" t="str">
            <v>Cancelled</v>
          </cell>
          <cell r="R2662">
            <v>45327.721747685187</v>
          </cell>
          <cell r="S2662" t="str">
            <v>Andrew Ramy</v>
          </cell>
          <cell r="T2662">
            <v>45351</v>
          </cell>
          <cell r="U2662" t="str">
            <v>Miranda Naeem</v>
          </cell>
          <cell r="V2662">
            <v>45399</v>
          </cell>
          <cell r="W2662">
            <v>45419</v>
          </cell>
          <cell r="Y2662">
            <v>45340</v>
          </cell>
          <cell r="AC2662">
            <v>45414</v>
          </cell>
        </row>
        <row r="2663">
          <cell r="I2663" t="str">
            <v>EDI</v>
          </cell>
          <cell r="L2663">
            <v>2885</v>
          </cell>
          <cell r="N2663" t="str">
            <v>Production</v>
          </cell>
          <cell r="O2663" t="str">
            <v>No</v>
          </cell>
          <cell r="Q2663" t="str">
            <v>Cancelled</v>
          </cell>
          <cell r="R2663">
            <v>45327.721747685187</v>
          </cell>
          <cell r="S2663" t="str">
            <v>Omnia Abdelaziz</v>
          </cell>
          <cell r="T2663">
            <v>45351</v>
          </cell>
          <cell r="U2663" t="str">
            <v>Miranda Naeem</v>
          </cell>
          <cell r="V2663">
            <v>45379</v>
          </cell>
          <cell r="W2663">
            <v>45440</v>
          </cell>
          <cell r="Y2663">
            <v>45340</v>
          </cell>
          <cell r="AC2663">
            <v>45419</v>
          </cell>
        </row>
        <row r="2664">
          <cell r="I2664" t="str">
            <v>EDI</v>
          </cell>
          <cell r="L2664">
            <v>2895</v>
          </cell>
          <cell r="N2664" t="str">
            <v>Production</v>
          </cell>
          <cell r="O2664" t="str">
            <v>No</v>
          </cell>
          <cell r="Q2664" t="str">
            <v>Live</v>
          </cell>
          <cell r="R2664">
            <v>45327.721736111111</v>
          </cell>
          <cell r="S2664" t="str">
            <v>Zeyad Khaled</v>
          </cell>
          <cell r="T2664">
            <v>45351</v>
          </cell>
          <cell r="U2664" t="str">
            <v>Miranda Naeem</v>
          </cell>
          <cell r="V2664">
            <v>45363</v>
          </cell>
          <cell r="W2664">
            <v>45391</v>
          </cell>
          <cell r="Y2664">
            <v>45329</v>
          </cell>
          <cell r="AC2664">
            <v>45386</v>
          </cell>
        </row>
        <row r="2665">
          <cell r="I2665" t="str">
            <v>EDI</v>
          </cell>
          <cell r="L2665">
            <v>2921</v>
          </cell>
          <cell r="N2665" t="str">
            <v>Production</v>
          </cell>
          <cell r="O2665" t="str">
            <v>No</v>
          </cell>
          <cell r="Q2665" t="str">
            <v>Live</v>
          </cell>
          <cell r="R2665">
            <v>45326.649317129632</v>
          </cell>
          <cell r="S2665" t="str">
            <v>Joseph Atef</v>
          </cell>
          <cell r="T2665">
            <v>45351</v>
          </cell>
          <cell r="U2665" t="str">
            <v>Trish Kalinczok</v>
          </cell>
          <cell r="V2665">
            <v>45376</v>
          </cell>
          <cell r="W2665">
            <v>45433</v>
          </cell>
          <cell r="Y2665">
            <v>45328</v>
          </cell>
          <cell r="AC2665">
            <v>45433</v>
          </cell>
        </row>
        <row r="2666">
          <cell r="I2666" t="str">
            <v>EDI</v>
          </cell>
          <cell r="L2666">
            <v>2890</v>
          </cell>
          <cell r="N2666" t="str">
            <v>Production</v>
          </cell>
          <cell r="O2666" t="str">
            <v>No</v>
          </cell>
          <cell r="Q2666" t="str">
            <v>Cancelled</v>
          </cell>
          <cell r="R2666">
            <v>45324.977418981478</v>
          </cell>
          <cell r="S2666" t="str">
            <v>Mina George</v>
          </cell>
          <cell r="T2666">
            <v>45354</v>
          </cell>
          <cell r="U2666" t="str">
            <v>Matt Howell</v>
          </cell>
          <cell r="W2666">
            <v>45421</v>
          </cell>
          <cell r="Y2666">
            <v>45335</v>
          </cell>
          <cell r="AC2666">
            <v>45421</v>
          </cell>
        </row>
        <row r="2667">
          <cell r="I2667" t="str">
            <v>EDI</v>
          </cell>
          <cell r="L2667">
            <v>2902</v>
          </cell>
          <cell r="N2667" t="str">
            <v>Production</v>
          </cell>
          <cell r="O2667" t="str">
            <v>No</v>
          </cell>
          <cell r="Q2667" t="str">
            <v>Live</v>
          </cell>
          <cell r="R2667">
            <v>45324.977418981478</v>
          </cell>
          <cell r="S2667" t="str">
            <v>Mina Adel</v>
          </cell>
          <cell r="T2667">
            <v>45356</v>
          </cell>
          <cell r="U2667" t="str">
            <v>Matt Howell</v>
          </cell>
          <cell r="W2667">
            <v>45421</v>
          </cell>
          <cell r="Y2667">
            <v>45355</v>
          </cell>
          <cell r="AC2667">
            <v>45419</v>
          </cell>
        </row>
        <row r="2668">
          <cell r="I2668" t="str">
            <v>EDI</v>
          </cell>
          <cell r="L2668">
            <v>2887</v>
          </cell>
          <cell r="N2668" t="str">
            <v>Production</v>
          </cell>
          <cell r="O2668" t="str">
            <v>No</v>
          </cell>
          <cell r="Q2668" t="str">
            <v>Cancelled</v>
          </cell>
          <cell r="R2668">
            <v>45324.867175925923</v>
          </cell>
          <cell r="S2668" t="str">
            <v>Mina Adel</v>
          </cell>
          <cell r="T2668">
            <v>45350</v>
          </cell>
          <cell r="U2668" t="str">
            <v>Maria Zea Rodriguez</v>
          </cell>
          <cell r="W2668">
            <v>45365</v>
          </cell>
          <cell r="Y2668">
            <v>45329</v>
          </cell>
          <cell r="AC2668">
            <v>45358</v>
          </cell>
        </row>
        <row r="2669">
          <cell r="I2669" t="str">
            <v>EDI</v>
          </cell>
          <cell r="L2669">
            <v>3014</v>
          </cell>
          <cell r="N2669" t="str">
            <v>Production</v>
          </cell>
          <cell r="O2669" t="str">
            <v>No</v>
          </cell>
          <cell r="Q2669" t="str">
            <v>Cancelled</v>
          </cell>
          <cell r="R2669">
            <v>45324.865567129629</v>
          </cell>
          <cell r="S2669" t="str">
            <v>Andrew Ramy</v>
          </cell>
          <cell r="T2669">
            <v>45397</v>
          </cell>
          <cell r="U2669" t="str">
            <v>Maria Zea Rodriguez</v>
          </cell>
          <cell r="V2669">
            <v>45422</v>
          </cell>
          <cell r="W2669">
            <v>45427</v>
          </cell>
          <cell r="Y2669">
            <v>45391</v>
          </cell>
          <cell r="AC2669">
            <v>45427</v>
          </cell>
        </row>
        <row r="2670">
          <cell r="I2670" t="str">
            <v>EDI</v>
          </cell>
          <cell r="L2670">
            <v>2807</v>
          </cell>
          <cell r="N2670" t="str">
            <v>Production</v>
          </cell>
          <cell r="O2670" t="str">
            <v>eBenefits Network</v>
          </cell>
          <cell r="P2670" t="str">
            <v>Production</v>
          </cell>
          <cell r="Q2670" t="str">
            <v>Live</v>
          </cell>
          <cell r="R2670">
            <v>45324.66978009259</v>
          </cell>
          <cell r="S2670" t="str">
            <v>Karim Tarek</v>
          </cell>
          <cell r="T2670">
            <v>45327</v>
          </cell>
          <cell r="U2670" t="str">
            <v>Trish Kalinczok</v>
          </cell>
          <cell r="V2670">
            <v>45340</v>
          </cell>
          <cell r="W2670">
            <v>45628</v>
          </cell>
          <cell r="AC2670">
            <v>45624</v>
          </cell>
        </row>
        <row r="2671">
          <cell r="I2671" t="str">
            <v>EDI</v>
          </cell>
          <cell r="L2671">
            <v>2806</v>
          </cell>
          <cell r="N2671" t="str">
            <v>Production</v>
          </cell>
          <cell r="O2671" t="str">
            <v>eBenefits Network</v>
          </cell>
          <cell r="P2671" t="str">
            <v>Production</v>
          </cell>
          <cell r="Q2671" t="str">
            <v>Cancelled</v>
          </cell>
          <cell r="R2671">
            <v>45324.667326388888</v>
          </cell>
          <cell r="S2671" t="str">
            <v>Karim Tarek</v>
          </cell>
          <cell r="T2671">
            <v>45327</v>
          </cell>
          <cell r="U2671" t="str">
            <v>Trish Kalinczok</v>
          </cell>
          <cell r="V2671">
            <v>45336</v>
          </cell>
          <cell r="W2671">
            <v>45481</v>
          </cell>
          <cell r="AC2671">
            <v>45480</v>
          </cell>
        </row>
        <row r="2672">
          <cell r="I2672" t="str">
            <v>EDI</v>
          </cell>
          <cell r="L2672">
            <v>2894</v>
          </cell>
          <cell r="N2672" t="str">
            <v>Production</v>
          </cell>
          <cell r="O2672" t="str">
            <v>No</v>
          </cell>
          <cell r="Q2672" t="str">
            <v>Cancelled</v>
          </cell>
          <cell r="R2672">
            <v>45324.618738425917</v>
          </cell>
          <cell r="S2672" t="str">
            <v>Zeyad Khaled</v>
          </cell>
          <cell r="T2672">
            <v>45350</v>
          </cell>
          <cell r="U2672" t="str">
            <v>Robbie Schappell</v>
          </cell>
          <cell r="V2672">
            <v>45397</v>
          </cell>
          <cell r="W2672">
            <v>45432</v>
          </cell>
          <cell r="Y2672">
            <v>45339</v>
          </cell>
          <cell r="AC2672">
            <v>45427</v>
          </cell>
        </row>
        <row r="2673">
          <cell r="I2673" t="str">
            <v>EDI</v>
          </cell>
          <cell r="L2673">
            <v>2835</v>
          </cell>
          <cell r="N2673" t="str">
            <v>Production</v>
          </cell>
          <cell r="O2673" t="str">
            <v>No</v>
          </cell>
          <cell r="Q2673" t="str">
            <v>Live</v>
          </cell>
          <cell r="R2673">
            <v>45324.379652777781</v>
          </cell>
          <cell r="S2673" t="str">
            <v>Dina Medhat</v>
          </cell>
          <cell r="T2673">
            <v>45326</v>
          </cell>
          <cell r="U2673" t="str">
            <v>Matt Howell</v>
          </cell>
          <cell r="V2673">
            <v>25569</v>
          </cell>
          <cell r="W2673">
            <v>45742</v>
          </cell>
          <cell r="AC2673">
            <v>45778</v>
          </cell>
        </row>
        <row r="2674">
          <cell r="I2674" t="str">
            <v>EDI</v>
          </cell>
          <cell r="L2674">
            <v>2835</v>
          </cell>
          <cell r="N2674" t="str">
            <v>Production</v>
          </cell>
          <cell r="O2674" t="str">
            <v>No</v>
          </cell>
          <cell r="Q2674" t="str">
            <v>Live</v>
          </cell>
          <cell r="R2674">
            <v>45323.948969907397</v>
          </cell>
          <cell r="S2674" t="str">
            <v>Dina Medhat</v>
          </cell>
          <cell r="T2674">
            <v>45326</v>
          </cell>
          <cell r="U2674" t="str">
            <v>Matt Howell</v>
          </cell>
          <cell r="V2674">
            <v>25569</v>
          </cell>
          <cell r="W2674">
            <v>45742</v>
          </cell>
          <cell r="AC2674">
            <v>45778</v>
          </cell>
        </row>
        <row r="2675">
          <cell r="I2675" t="str">
            <v>EDI</v>
          </cell>
          <cell r="L2675">
            <v>2835</v>
          </cell>
          <cell r="N2675" t="str">
            <v>Production</v>
          </cell>
          <cell r="O2675" t="str">
            <v>No</v>
          </cell>
          <cell r="Q2675" t="str">
            <v>Live</v>
          </cell>
          <cell r="R2675">
            <v>45323.937488425923</v>
          </cell>
          <cell r="S2675" t="str">
            <v>Dina Medhat</v>
          </cell>
          <cell r="T2675">
            <v>45326</v>
          </cell>
          <cell r="U2675" t="str">
            <v>Matt Howell</v>
          </cell>
          <cell r="V2675">
            <v>25569</v>
          </cell>
          <cell r="W2675">
            <v>45742</v>
          </cell>
          <cell r="AC2675">
            <v>45778</v>
          </cell>
        </row>
        <row r="2676">
          <cell r="I2676" t="str">
            <v>EDI</v>
          </cell>
          <cell r="L2676">
            <v>2880</v>
          </cell>
          <cell r="N2676" t="str">
            <v>Production</v>
          </cell>
          <cell r="O2676" t="str">
            <v>No</v>
          </cell>
          <cell r="Q2676" t="str">
            <v>Live</v>
          </cell>
          <cell r="R2676">
            <v>45323.895995370367</v>
          </cell>
          <cell r="S2676" t="str">
            <v>Mirna Azmy</v>
          </cell>
          <cell r="T2676">
            <v>45350</v>
          </cell>
          <cell r="U2676" t="str">
            <v>Robbie Schappell</v>
          </cell>
          <cell r="V2676">
            <v>25569</v>
          </cell>
          <cell r="W2676">
            <v>45547</v>
          </cell>
          <cell r="Y2676">
            <v>45343</v>
          </cell>
          <cell r="AC2676">
            <v>45541</v>
          </cell>
        </row>
        <row r="2677">
          <cell r="I2677" t="str">
            <v>EDI</v>
          </cell>
          <cell r="L2677">
            <v>2879</v>
          </cell>
          <cell r="N2677" t="str">
            <v>Production</v>
          </cell>
          <cell r="O2677" t="str">
            <v>No</v>
          </cell>
          <cell r="Q2677" t="str">
            <v>Cancelled</v>
          </cell>
          <cell r="R2677">
            <v>45323.845868055563</v>
          </cell>
          <cell r="S2677" t="str">
            <v>Alaa Yehia</v>
          </cell>
          <cell r="T2677">
            <v>45349</v>
          </cell>
          <cell r="U2677" t="str">
            <v>Sandra Valencia</v>
          </cell>
          <cell r="V2677">
            <v>45373</v>
          </cell>
          <cell r="W2677">
            <v>45386</v>
          </cell>
          <cell r="Y2677">
            <v>45328</v>
          </cell>
          <cell r="AC2677">
            <v>45382</v>
          </cell>
        </row>
        <row r="2678">
          <cell r="I2678" t="str">
            <v>EDI</v>
          </cell>
          <cell r="L2678">
            <v>2876</v>
          </cell>
          <cell r="N2678" t="str">
            <v>Production</v>
          </cell>
          <cell r="O2678" t="str">
            <v>No</v>
          </cell>
          <cell r="Q2678" t="str">
            <v>Live</v>
          </cell>
          <cell r="R2678">
            <v>45323.807291666657</v>
          </cell>
          <cell r="S2678" t="str">
            <v>Mina George</v>
          </cell>
          <cell r="T2678">
            <v>45566</v>
          </cell>
          <cell r="U2678" t="str">
            <v>Tammy Davies</v>
          </cell>
          <cell r="V2678">
            <v>45401</v>
          </cell>
          <cell r="W2678">
            <v>45628</v>
          </cell>
          <cell r="Y2678">
            <v>45327</v>
          </cell>
          <cell r="AC2678">
            <v>45628</v>
          </cell>
        </row>
        <row r="2679">
          <cell r="I2679" t="str">
            <v>EDI</v>
          </cell>
          <cell r="N2679" t="str">
            <v>Requirements Gathering</v>
          </cell>
          <cell r="O2679" t="str">
            <v>No</v>
          </cell>
          <cell r="Q2679" t="str">
            <v>Cancelled</v>
          </cell>
          <cell r="R2679">
            <v>45323.807291666657</v>
          </cell>
          <cell r="S2679" t="str">
            <v>Sandra Adel</v>
          </cell>
          <cell r="T2679">
            <v>45326</v>
          </cell>
          <cell r="U2679" t="str">
            <v>Tammy Davies</v>
          </cell>
        </row>
        <row r="2680">
          <cell r="I2680" t="str">
            <v>EDI</v>
          </cell>
          <cell r="L2680">
            <v>2882</v>
          </cell>
          <cell r="N2680" t="str">
            <v>Production</v>
          </cell>
          <cell r="O2680" t="str">
            <v>Everything Benefits</v>
          </cell>
          <cell r="P2680" t="str">
            <v>Production</v>
          </cell>
          <cell r="Q2680" t="str">
            <v>Live</v>
          </cell>
          <cell r="R2680">
            <v>45323.67931712963</v>
          </cell>
          <cell r="S2680" t="str">
            <v>Mohamed Abdelhamed</v>
          </cell>
          <cell r="T2680">
            <v>45349</v>
          </cell>
          <cell r="U2680" t="str">
            <v>Trish Kalinczok</v>
          </cell>
          <cell r="V2680">
            <v>45391</v>
          </cell>
          <cell r="W2680">
            <v>45447</v>
          </cell>
          <cell r="Y2680">
            <v>45348</v>
          </cell>
          <cell r="AC2680">
            <v>45445</v>
          </cell>
        </row>
        <row r="2681">
          <cell r="I2681" t="str">
            <v>EDI</v>
          </cell>
          <cell r="L2681">
            <v>2797</v>
          </cell>
          <cell r="N2681" t="str">
            <v>Testing</v>
          </cell>
          <cell r="O2681" t="str">
            <v>eBenefits Network</v>
          </cell>
          <cell r="P2681" t="str">
            <v>Migration Testing</v>
          </cell>
          <cell r="Q2681" t="str">
            <v>Cancelled</v>
          </cell>
          <cell r="R2681">
            <v>45323.667199074072</v>
          </cell>
          <cell r="S2681" t="str">
            <v>Karim Tarek</v>
          </cell>
          <cell r="T2681">
            <v>45326</v>
          </cell>
          <cell r="U2681" t="str">
            <v>Trish Kalinczok</v>
          </cell>
          <cell r="V2681">
            <v>45343</v>
          </cell>
        </row>
        <row r="2682">
          <cell r="I2682" t="str">
            <v>EDI</v>
          </cell>
          <cell r="L2682">
            <v>2877</v>
          </cell>
          <cell r="N2682" t="str">
            <v>Production</v>
          </cell>
          <cell r="O2682" t="str">
            <v>No</v>
          </cell>
          <cell r="Q2682" t="str">
            <v>Live</v>
          </cell>
          <cell r="R2682">
            <v>45322.884965277779</v>
          </cell>
          <cell r="S2682" t="str">
            <v>Omnia Abdelaziz</v>
          </cell>
          <cell r="T2682">
            <v>45349</v>
          </cell>
          <cell r="U2682" t="str">
            <v>Mayerly Martinez Salcedo</v>
          </cell>
          <cell r="V2682">
            <v>45355</v>
          </cell>
          <cell r="W2682">
            <v>45365</v>
          </cell>
          <cell r="Y2682">
            <v>45344</v>
          </cell>
          <cell r="AC2682">
            <v>45364</v>
          </cell>
        </row>
        <row r="2683">
          <cell r="I2683" t="str">
            <v>EDI</v>
          </cell>
          <cell r="L2683">
            <v>2874</v>
          </cell>
          <cell r="N2683" t="str">
            <v>Testing</v>
          </cell>
          <cell r="O2683" t="str">
            <v>No</v>
          </cell>
          <cell r="Q2683" t="str">
            <v>Cancelled</v>
          </cell>
          <cell r="R2683">
            <v>45322.855324074073</v>
          </cell>
          <cell r="S2683" t="str">
            <v>Mina Kamil</v>
          </cell>
          <cell r="T2683">
            <v>45344</v>
          </cell>
          <cell r="U2683" t="str">
            <v>Trish Kalinczok</v>
          </cell>
          <cell r="Y2683">
            <v>45337</v>
          </cell>
        </row>
        <row r="2684">
          <cell r="I2684" t="str">
            <v>EDI</v>
          </cell>
          <cell r="L2684">
            <v>2901</v>
          </cell>
          <cell r="N2684" t="str">
            <v>Production</v>
          </cell>
          <cell r="O2684" t="str">
            <v>No</v>
          </cell>
          <cell r="Q2684" t="str">
            <v>Cancelled</v>
          </cell>
          <cell r="R2684">
            <v>45322.855324074073</v>
          </cell>
          <cell r="S2684" t="str">
            <v>Mina George</v>
          </cell>
          <cell r="T2684">
            <v>45349</v>
          </cell>
          <cell r="U2684" t="str">
            <v>Jene Hamm</v>
          </cell>
          <cell r="V2684">
            <v>45369</v>
          </cell>
          <cell r="W2684">
            <v>45405</v>
          </cell>
          <cell r="Y2684">
            <v>45331</v>
          </cell>
          <cell r="AC2684">
            <v>45405</v>
          </cell>
        </row>
        <row r="2685">
          <cell r="I2685" t="str">
            <v>EDI</v>
          </cell>
          <cell r="N2685" t="str">
            <v>Requirements Gathering</v>
          </cell>
          <cell r="O2685" t="str">
            <v>No</v>
          </cell>
          <cell r="Q2685" t="str">
            <v>Cancelled</v>
          </cell>
          <cell r="R2685">
            <v>45322.855324074073</v>
          </cell>
          <cell r="S2685" t="str">
            <v>Sandra Adel</v>
          </cell>
          <cell r="T2685">
            <v>45323</v>
          </cell>
          <cell r="U2685" t="str">
            <v>Jene Hamm</v>
          </cell>
        </row>
        <row r="2686">
          <cell r="I2686" t="str">
            <v>EDI</v>
          </cell>
          <cell r="L2686">
            <v>2913</v>
          </cell>
          <cell r="N2686" t="str">
            <v>Testing</v>
          </cell>
          <cell r="O2686" t="str">
            <v>No</v>
          </cell>
          <cell r="Q2686" t="str">
            <v>Cancelled</v>
          </cell>
          <cell r="R2686">
            <v>45322.855312500003</v>
          </cell>
          <cell r="S2686" t="str">
            <v>Omnia Abdelaziz</v>
          </cell>
          <cell r="T2686">
            <v>45364</v>
          </cell>
          <cell r="U2686" t="str">
            <v>Trish Kalinczok</v>
          </cell>
          <cell r="V2686">
            <v>45419</v>
          </cell>
          <cell r="Y2686">
            <v>45362</v>
          </cell>
        </row>
        <row r="2687">
          <cell r="I2687" t="str">
            <v>EDI</v>
          </cell>
          <cell r="L2687">
            <v>3075</v>
          </cell>
          <cell r="N2687" t="str">
            <v>Mapping</v>
          </cell>
          <cell r="O2687" t="str">
            <v>No</v>
          </cell>
          <cell r="Q2687" t="str">
            <v>Cancelled</v>
          </cell>
          <cell r="R2687">
            <v>45322.814247685194</v>
          </cell>
          <cell r="S2687" t="str">
            <v>Mina George</v>
          </cell>
          <cell r="T2687">
            <v>45427</v>
          </cell>
          <cell r="U2687" t="str">
            <v>Sheila Hyatt</v>
          </cell>
          <cell r="Y2687">
            <v>45398</v>
          </cell>
        </row>
        <row r="2688">
          <cell r="I2688" t="str">
            <v>EDI</v>
          </cell>
          <cell r="L2688">
            <v>2635</v>
          </cell>
          <cell r="N2688" t="str">
            <v>Production</v>
          </cell>
          <cell r="O2688" t="str">
            <v>Everything Benefits</v>
          </cell>
          <cell r="P2688" t="str">
            <v>Production</v>
          </cell>
          <cell r="Q2688" t="str">
            <v>Cancelled</v>
          </cell>
          <cell r="R2688">
            <v>45322.781377314823</v>
          </cell>
          <cell r="S2688" t="str">
            <v>Mina Kamil</v>
          </cell>
          <cell r="T2688">
            <v>45323</v>
          </cell>
          <cell r="U2688" t="str">
            <v>Matt Howell</v>
          </cell>
          <cell r="W2688">
            <v>45362</v>
          </cell>
          <cell r="AC2688">
            <v>45361</v>
          </cell>
        </row>
        <row r="2689">
          <cell r="I2689" t="str">
            <v>EDI</v>
          </cell>
          <cell r="L2689">
            <v>2626</v>
          </cell>
          <cell r="N2689" t="str">
            <v>Production</v>
          </cell>
          <cell r="O2689" t="str">
            <v>Everything Benefits</v>
          </cell>
          <cell r="P2689" t="str">
            <v>Production</v>
          </cell>
          <cell r="Q2689" t="str">
            <v>Live</v>
          </cell>
          <cell r="R2689">
            <v>45322.781365740739</v>
          </cell>
          <cell r="S2689" t="str">
            <v>Hazem Rostom</v>
          </cell>
          <cell r="T2689">
            <v>45323</v>
          </cell>
          <cell r="U2689" t="str">
            <v>Matt Howell</v>
          </cell>
          <cell r="W2689">
            <v>25569</v>
          </cell>
          <cell r="AC2689">
            <v>45375</v>
          </cell>
        </row>
        <row r="2690">
          <cell r="I2690" t="str">
            <v>EDI</v>
          </cell>
          <cell r="N2690" t="str">
            <v>Pending Start</v>
          </cell>
          <cell r="O2690" t="str">
            <v>No</v>
          </cell>
          <cell r="Q2690" t="str">
            <v>Cancelled</v>
          </cell>
          <cell r="R2690">
            <v>45322.771006944437</v>
          </cell>
          <cell r="U2690" t="str">
            <v>Hans De Grouw</v>
          </cell>
        </row>
        <row r="2691">
          <cell r="I2691" t="str">
            <v>EDI</v>
          </cell>
          <cell r="N2691" t="str">
            <v>Pending Start</v>
          </cell>
          <cell r="O2691" t="str">
            <v>No</v>
          </cell>
          <cell r="Q2691" t="str">
            <v>Cancelled</v>
          </cell>
          <cell r="R2691">
            <v>45322.771006944437</v>
          </cell>
          <cell r="U2691" t="str">
            <v>Hans De Grouw</v>
          </cell>
        </row>
        <row r="2692">
          <cell r="I2692" t="str">
            <v>EDI</v>
          </cell>
          <cell r="N2692" t="str">
            <v>Pending Start</v>
          </cell>
          <cell r="O2692" t="str">
            <v>No</v>
          </cell>
          <cell r="Q2692" t="str">
            <v>Cancelled</v>
          </cell>
          <cell r="R2692">
            <v>45322.765347222223</v>
          </cell>
          <cell r="U2692" t="str">
            <v>Hans De Grouw</v>
          </cell>
        </row>
        <row r="2693">
          <cell r="I2693" t="str">
            <v>EDI</v>
          </cell>
          <cell r="N2693" t="str">
            <v>Pending Start</v>
          </cell>
          <cell r="O2693" t="str">
            <v>No</v>
          </cell>
          <cell r="Q2693" t="str">
            <v>Cancelled</v>
          </cell>
          <cell r="R2693">
            <v>45322.765347222223</v>
          </cell>
          <cell r="U2693" t="str">
            <v>Hans De Grouw</v>
          </cell>
        </row>
        <row r="2694">
          <cell r="I2694" t="str">
            <v>EDI</v>
          </cell>
          <cell r="N2694" t="str">
            <v>Requirements Gathering</v>
          </cell>
          <cell r="O2694" t="str">
            <v>No</v>
          </cell>
          <cell r="Q2694" t="str">
            <v>Cancelled</v>
          </cell>
          <cell r="R2694">
            <v>45322.703622685192</v>
          </cell>
          <cell r="S2694" t="str">
            <v>Lourina Edmon</v>
          </cell>
          <cell r="T2694">
            <v>45323</v>
          </cell>
          <cell r="U2694" t="str">
            <v>Miranda Naeem</v>
          </cell>
        </row>
        <row r="2695">
          <cell r="I2695" t="str">
            <v>EDI</v>
          </cell>
          <cell r="N2695" t="str">
            <v>Requirements Gathering</v>
          </cell>
          <cell r="O2695" t="str">
            <v>No</v>
          </cell>
          <cell r="Q2695" t="str">
            <v>Cancelled</v>
          </cell>
          <cell r="R2695">
            <v>45322.702638888892</v>
          </cell>
          <cell r="S2695" t="str">
            <v>Lourina Edmon</v>
          </cell>
          <cell r="T2695">
            <v>45323</v>
          </cell>
          <cell r="U2695" t="str">
            <v>Miranda Naeem</v>
          </cell>
        </row>
        <row r="2696">
          <cell r="I2696" t="str">
            <v>EDI</v>
          </cell>
          <cell r="L2696">
            <v>2864</v>
          </cell>
          <cell r="N2696" t="str">
            <v>Production</v>
          </cell>
          <cell r="O2696" t="str">
            <v>No</v>
          </cell>
          <cell r="Q2696" t="str">
            <v>Cancelled</v>
          </cell>
          <cell r="R2696">
            <v>45322.013935185183</v>
          </cell>
          <cell r="S2696" t="str">
            <v>Peter Fayez</v>
          </cell>
          <cell r="T2696">
            <v>45344</v>
          </cell>
          <cell r="U2696" t="str">
            <v>Amy Bergstrom</v>
          </cell>
          <cell r="V2696">
            <v>45359</v>
          </cell>
          <cell r="W2696">
            <v>45413</v>
          </cell>
          <cell r="Y2696">
            <v>45342</v>
          </cell>
          <cell r="AC2696">
            <v>45408</v>
          </cell>
        </row>
        <row r="2697">
          <cell r="I2697" t="str">
            <v>EDI</v>
          </cell>
          <cell r="L2697">
            <v>2867</v>
          </cell>
          <cell r="N2697" t="str">
            <v>Production</v>
          </cell>
          <cell r="O2697" t="str">
            <v>No</v>
          </cell>
          <cell r="Q2697" t="str">
            <v>Cancelled</v>
          </cell>
          <cell r="R2697">
            <v>45322.013935185183</v>
          </cell>
          <cell r="S2697" t="str">
            <v>Omnia Abdelaziz</v>
          </cell>
          <cell r="T2697">
            <v>45344</v>
          </cell>
          <cell r="U2697" t="str">
            <v>Amy Bergstrom</v>
          </cell>
          <cell r="V2697">
            <v>45368</v>
          </cell>
          <cell r="W2697">
            <v>45378</v>
          </cell>
          <cell r="Y2697">
            <v>45337</v>
          </cell>
          <cell r="AC2697">
            <v>45375</v>
          </cell>
        </row>
        <row r="2698">
          <cell r="I2698" t="str">
            <v>EDI</v>
          </cell>
          <cell r="N2698" t="str">
            <v>Requirements Gathering</v>
          </cell>
          <cell r="O2698" t="str">
            <v>No</v>
          </cell>
          <cell r="Q2698" t="str">
            <v>Cancelled</v>
          </cell>
          <cell r="R2698">
            <v>45322.013935185183</v>
          </cell>
          <cell r="S2698" t="str">
            <v>Sandra Adel</v>
          </cell>
          <cell r="T2698">
            <v>45335</v>
          </cell>
          <cell r="U2698" t="str">
            <v>Amy Bergstrom</v>
          </cell>
          <cell r="Y2698">
            <v>45334</v>
          </cell>
        </row>
        <row r="2699">
          <cell r="I2699" t="str">
            <v>EDI</v>
          </cell>
          <cell r="L2699">
            <v>2870</v>
          </cell>
          <cell r="N2699" t="str">
            <v>Production</v>
          </cell>
          <cell r="O2699" t="str">
            <v>No</v>
          </cell>
          <cell r="Q2699" t="str">
            <v>Cancelled</v>
          </cell>
          <cell r="R2699">
            <v>45322.013923611114</v>
          </cell>
          <cell r="S2699" t="str">
            <v>Joseph Atef</v>
          </cell>
          <cell r="T2699">
            <v>45344</v>
          </cell>
          <cell r="U2699" t="str">
            <v>Amy Bergstrom</v>
          </cell>
          <cell r="V2699">
            <v>45354</v>
          </cell>
          <cell r="W2699">
            <v>45370</v>
          </cell>
          <cell r="Y2699">
            <v>45337</v>
          </cell>
          <cell r="AC2699">
            <v>45370</v>
          </cell>
        </row>
        <row r="2700">
          <cell r="I2700" t="str">
            <v>EDI</v>
          </cell>
          <cell r="N2700" t="str">
            <v>Pending Start</v>
          </cell>
          <cell r="O2700" t="str">
            <v>No</v>
          </cell>
          <cell r="Q2700" t="str">
            <v>Cancelled</v>
          </cell>
          <cell r="R2700">
            <v>45322.013923611114</v>
          </cell>
          <cell r="U2700" t="str">
            <v>Amy Bergstrom</v>
          </cell>
        </row>
        <row r="2701">
          <cell r="I2701" t="str">
            <v>EDI</v>
          </cell>
          <cell r="L2701">
            <v>2783</v>
          </cell>
          <cell r="N2701" t="str">
            <v>Production</v>
          </cell>
          <cell r="O2701" t="str">
            <v>Everything Benefits</v>
          </cell>
          <cell r="P2701" t="str">
            <v>Production</v>
          </cell>
          <cell r="Q2701" t="str">
            <v>Live</v>
          </cell>
          <cell r="R2701">
            <v>45321.484398148154</v>
          </cell>
          <cell r="S2701" t="str">
            <v>Mohamed Abdelhamed</v>
          </cell>
          <cell r="T2701">
            <v>45321</v>
          </cell>
          <cell r="U2701" t="str">
            <v>Ryan Cox</v>
          </cell>
          <cell r="V2701">
            <v>45348</v>
          </cell>
          <cell r="W2701">
            <v>45378</v>
          </cell>
          <cell r="AC2701">
            <v>45378</v>
          </cell>
        </row>
        <row r="2702">
          <cell r="I2702" t="str">
            <v>EDI</v>
          </cell>
          <cell r="L2702">
            <v>2830</v>
          </cell>
          <cell r="N2702" t="str">
            <v>Production</v>
          </cell>
          <cell r="O2702" t="str">
            <v>No</v>
          </cell>
          <cell r="Q2702" t="str">
            <v>Live</v>
          </cell>
          <cell r="R2702">
            <v>45320.84746527778</v>
          </cell>
          <cell r="S2702" t="str">
            <v>Peter Fayez</v>
          </cell>
          <cell r="T2702">
            <v>45336</v>
          </cell>
          <cell r="U2702" t="str">
            <v>Mayerly Martinez Salcedo</v>
          </cell>
          <cell r="V2702">
            <v>45344</v>
          </cell>
          <cell r="W2702">
            <v>45362</v>
          </cell>
          <cell r="Y2702">
            <v>45321</v>
          </cell>
          <cell r="AC2702">
            <v>45361</v>
          </cell>
        </row>
        <row r="2703">
          <cell r="I2703" t="str">
            <v>EDI</v>
          </cell>
          <cell r="L2703">
            <v>3118</v>
          </cell>
          <cell r="N2703" t="str">
            <v>Production</v>
          </cell>
          <cell r="O2703" t="str">
            <v>No</v>
          </cell>
          <cell r="Q2703" t="str">
            <v>Live</v>
          </cell>
          <cell r="R2703">
            <v>45320.812384259261</v>
          </cell>
          <cell r="S2703" t="str">
            <v>Mirna Azmy</v>
          </cell>
          <cell r="T2703">
            <v>45453</v>
          </cell>
          <cell r="U2703" t="str">
            <v>Tammy Davies</v>
          </cell>
          <cell r="V2703">
            <v>45489</v>
          </cell>
          <cell r="W2703">
            <v>45519</v>
          </cell>
          <cell r="Y2703">
            <v>45453</v>
          </cell>
          <cell r="AC2703">
            <v>45517</v>
          </cell>
        </row>
        <row r="2704">
          <cell r="I2704" t="str">
            <v>EDI</v>
          </cell>
          <cell r="L2704">
            <v>2878</v>
          </cell>
          <cell r="N2704" t="str">
            <v>Production</v>
          </cell>
          <cell r="O2704" t="str">
            <v>No</v>
          </cell>
          <cell r="Q2704" t="str">
            <v>Live</v>
          </cell>
          <cell r="R2704">
            <v>45320.812384259261</v>
          </cell>
          <cell r="S2704" t="str">
            <v>Mina Adel</v>
          </cell>
          <cell r="T2704">
            <v>45344</v>
          </cell>
          <cell r="U2704" t="str">
            <v>Tammy Davies</v>
          </cell>
          <cell r="V2704">
            <v>45361</v>
          </cell>
          <cell r="W2704">
            <v>45761</v>
          </cell>
          <cell r="Y2704">
            <v>45337</v>
          </cell>
          <cell r="AC2704">
            <v>45756</v>
          </cell>
        </row>
        <row r="2705">
          <cell r="I2705" t="str">
            <v>EDI</v>
          </cell>
          <cell r="L2705">
            <v>2875</v>
          </cell>
          <cell r="N2705" t="str">
            <v>Production</v>
          </cell>
          <cell r="O2705" t="str">
            <v>No</v>
          </cell>
          <cell r="Q2705" t="str">
            <v>Live</v>
          </cell>
          <cell r="R2705">
            <v>45320.698368055557</v>
          </cell>
          <cell r="S2705" t="str">
            <v>Zeyad Khaled</v>
          </cell>
          <cell r="T2705">
            <v>45342</v>
          </cell>
          <cell r="U2705" t="str">
            <v>Hans De Grouw</v>
          </cell>
          <cell r="V2705">
            <v>45362</v>
          </cell>
          <cell r="W2705">
            <v>45393</v>
          </cell>
          <cell r="Y2705">
            <v>45326</v>
          </cell>
          <cell r="AC2705">
            <v>45385</v>
          </cell>
        </row>
        <row r="2706">
          <cell r="I2706" t="str">
            <v>EDI</v>
          </cell>
          <cell r="L2706">
            <v>2861</v>
          </cell>
          <cell r="N2706" t="str">
            <v>Production</v>
          </cell>
          <cell r="O2706" t="str">
            <v>No</v>
          </cell>
          <cell r="Q2706" t="str">
            <v>Live</v>
          </cell>
          <cell r="R2706">
            <v>45320.698368055557</v>
          </cell>
          <cell r="S2706" t="str">
            <v>Aya Fathy</v>
          </cell>
          <cell r="T2706">
            <v>45344</v>
          </cell>
          <cell r="U2706" t="str">
            <v>Hans De Grouw</v>
          </cell>
          <cell r="V2706">
            <v>45361</v>
          </cell>
          <cell r="W2706">
            <v>25569</v>
          </cell>
          <cell r="Y2706">
            <v>45323</v>
          </cell>
          <cell r="AC2706">
            <v>45419</v>
          </cell>
        </row>
        <row r="2707">
          <cell r="I2707" t="str">
            <v>EDI</v>
          </cell>
          <cell r="L2707">
            <v>2860</v>
          </cell>
          <cell r="N2707" t="str">
            <v>Production</v>
          </cell>
          <cell r="O2707" t="str">
            <v>No</v>
          </cell>
          <cell r="Q2707" t="str">
            <v>Live</v>
          </cell>
          <cell r="R2707">
            <v>45320.698368055557</v>
          </cell>
          <cell r="S2707" t="str">
            <v>Alaa Yehia</v>
          </cell>
          <cell r="T2707">
            <v>45342</v>
          </cell>
          <cell r="U2707" t="str">
            <v>Hans De Grouw</v>
          </cell>
          <cell r="V2707">
            <v>45358</v>
          </cell>
          <cell r="W2707">
            <v>45393</v>
          </cell>
          <cell r="Y2707">
            <v>45329</v>
          </cell>
          <cell r="AC2707">
            <v>45385</v>
          </cell>
        </row>
        <row r="2708">
          <cell r="I2708" t="str">
            <v>EDI</v>
          </cell>
          <cell r="L2708">
            <v>2916</v>
          </cell>
          <cell r="N2708" t="str">
            <v>Production</v>
          </cell>
          <cell r="O2708" t="str">
            <v>No</v>
          </cell>
          <cell r="Q2708" t="str">
            <v>Live</v>
          </cell>
          <cell r="R2708">
            <v>45320.698368055557</v>
          </cell>
          <cell r="S2708" t="str">
            <v>Mina Adel</v>
          </cell>
          <cell r="T2708">
            <v>45349</v>
          </cell>
          <cell r="U2708" t="str">
            <v>Hans De Grouw</v>
          </cell>
          <cell r="V2708">
            <v>45455</v>
          </cell>
          <cell r="W2708">
            <v>45526</v>
          </cell>
          <cell r="Y2708">
            <v>45348</v>
          </cell>
          <cell r="AC2708">
            <v>45497</v>
          </cell>
        </row>
        <row r="2709">
          <cell r="I2709" t="str">
            <v>EDI</v>
          </cell>
          <cell r="L2709">
            <v>2856</v>
          </cell>
          <cell r="N2709" t="str">
            <v>Production</v>
          </cell>
          <cell r="O2709" t="str">
            <v>No</v>
          </cell>
          <cell r="Q2709" t="str">
            <v>Live</v>
          </cell>
          <cell r="R2709">
            <v>45320.69835648148</v>
          </cell>
          <cell r="S2709" t="str">
            <v>Omnia Abdelaziz</v>
          </cell>
          <cell r="T2709">
            <v>45342</v>
          </cell>
          <cell r="U2709" t="str">
            <v>Hans De Grouw</v>
          </cell>
          <cell r="V2709">
            <v>45370</v>
          </cell>
          <cell r="W2709">
            <v>45397</v>
          </cell>
          <cell r="Y2709">
            <v>45337</v>
          </cell>
          <cell r="AC2709">
            <v>45390</v>
          </cell>
        </row>
        <row r="2710">
          <cell r="I2710" t="str">
            <v>EDI</v>
          </cell>
          <cell r="L2710">
            <v>2855</v>
          </cell>
          <cell r="N2710" t="str">
            <v>Production</v>
          </cell>
          <cell r="O2710" t="str">
            <v>No</v>
          </cell>
          <cell r="Q2710" t="str">
            <v>Cancelled</v>
          </cell>
          <cell r="R2710">
            <v>45320.580185185187</v>
          </cell>
          <cell r="S2710" t="str">
            <v>Joseph Atef</v>
          </cell>
          <cell r="T2710">
            <v>45342</v>
          </cell>
          <cell r="U2710" t="str">
            <v>Jene Hamm</v>
          </cell>
          <cell r="V2710">
            <v>45413</v>
          </cell>
          <cell r="W2710">
            <v>45426</v>
          </cell>
          <cell r="Y2710">
            <v>45326</v>
          </cell>
          <cell r="AC2710">
            <v>45425</v>
          </cell>
        </row>
        <row r="2711">
          <cell r="I2711" t="str">
            <v>EDI</v>
          </cell>
          <cell r="L2711">
            <v>2863</v>
          </cell>
          <cell r="N2711" t="str">
            <v>Production</v>
          </cell>
          <cell r="O2711" t="str">
            <v>No</v>
          </cell>
          <cell r="Q2711" t="str">
            <v>Live</v>
          </cell>
          <cell r="R2711">
            <v>45317.883692129632</v>
          </cell>
          <cell r="S2711" t="str">
            <v>Andrew Ramy</v>
          </cell>
          <cell r="T2711">
            <v>45342</v>
          </cell>
          <cell r="U2711" t="str">
            <v>Destinee Duncan</v>
          </cell>
          <cell r="V2711">
            <v>45350</v>
          </cell>
          <cell r="W2711">
            <v>45373</v>
          </cell>
          <cell r="Y2711">
            <v>45323</v>
          </cell>
          <cell r="AC2711">
            <v>45371</v>
          </cell>
        </row>
        <row r="2712">
          <cell r="I2712" t="str">
            <v>EDI</v>
          </cell>
          <cell r="L2712">
            <v>2850</v>
          </cell>
          <cell r="N2712" t="str">
            <v>Production</v>
          </cell>
          <cell r="O2712" t="str">
            <v>No</v>
          </cell>
          <cell r="Q2712" t="str">
            <v>Live</v>
          </cell>
          <cell r="R2712">
            <v>45316.61105324074</v>
          </cell>
          <cell r="S2712" t="str">
            <v>Mirna Azmy</v>
          </cell>
          <cell r="T2712">
            <v>45341</v>
          </cell>
          <cell r="U2712" t="str">
            <v>Jene Hamm</v>
          </cell>
          <cell r="V2712">
            <v>45462</v>
          </cell>
          <cell r="W2712">
            <v>45525</v>
          </cell>
          <cell r="Y2712">
            <v>45323</v>
          </cell>
          <cell r="AC2712">
            <v>45522</v>
          </cell>
        </row>
        <row r="2713">
          <cell r="I2713" t="str">
            <v>EDI</v>
          </cell>
          <cell r="L2713">
            <v>2865</v>
          </cell>
          <cell r="N2713" t="str">
            <v>Production</v>
          </cell>
          <cell r="O2713" t="str">
            <v>No</v>
          </cell>
          <cell r="Q2713" t="str">
            <v>Live</v>
          </cell>
          <cell r="R2713">
            <v>45316.594710648147</v>
          </cell>
          <cell r="S2713" t="str">
            <v>Mina Adel</v>
          </cell>
          <cell r="T2713">
            <v>45342</v>
          </cell>
          <cell r="U2713" t="str">
            <v>Kayla Szczepanski</v>
          </cell>
          <cell r="V2713">
            <v>25569</v>
          </cell>
          <cell r="W2713">
            <v>45503</v>
          </cell>
          <cell r="Y2713">
            <v>45327</v>
          </cell>
          <cell r="AC2713">
            <v>45464</v>
          </cell>
        </row>
        <row r="2714">
          <cell r="I2714" t="str">
            <v>EDI</v>
          </cell>
          <cell r="L2714">
            <v>2849</v>
          </cell>
          <cell r="N2714" t="str">
            <v>Production</v>
          </cell>
          <cell r="O2714" t="str">
            <v>No</v>
          </cell>
          <cell r="Q2714" t="str">
            <v>Live</v>
          </cell>
          <cell r="R2714">
            <v>45315.95453703704</v>
          </cell>
          <cell r="S2714" t="str">
            <v>Mina George</v>
          </cell>
          <cell r="T2714">
            <v>45337</v>
          </cell>
          <cell r="U2714" t="str">
            <v>Matt Howell</v>
          </cell>
          <cell r="V2714">
            <v>45342</v>
          </cell>
          <cell r="W2714">
            <v>45426</v>
          </cell>
          <cell r="Y2714">
            <v>45316</v>
          </cell>
          <cell r="AC2714">
            <v>45421</v>
          </cell>
        </row>
        <row r="2715">
          <cell r="I2715" t="str">
            <v>EDI</v>
          </cell>
          <cell r="L2715">
            <v>2762</v>
          </cell>
          <cell r="N2715" t="str">
            <v>Production</v>
          </cell>
          <cell r="O2715" t="str">
            <v>eBenefits Network</v>
          </cell>
          <cell r="P2715" t="str">
            <v>Production</v>
          </cell>
          <cell r="Q2715" t="str">
            <v>Live</v>
          </cell>
          <cell r="R2715">
            <v>45315.927268518521</v>
          </cell>
          <cell r="S2715" t="str">
            <v>Karim Tarek</v>
          </cell>
          <cell r="T2715">
            <v>45316</v>
          </cell>
          <cell r="U2715" t="str">
            <v>Trish Kalinczok</v>
          </cell>
          <cell r="V2715">
            <v>45319</v>
          </cell>
          <cell r="W2715">
            <v>45469</v>
          </cell>
          <cell r="AC2715">
            <v>45466</v>
          </cell>
        </row>
        <row r="2716">
          <cell r="I2716" t="str">
            <v>EDI</v>
          </cell>
          <cell r="N2716" t="str">
            <v>Resource Assignment</v>
          </cell>
          <cell r="O2716" t="str">
            <v>No</v>
          </cell>
          <cell r="Q2716" t="str">
            <v>Cancelled</v>
          </cell>
          <cell r="R2716">
            <v>45315.920486111107</v>
          </cell>
          <cell r="S2716" t="str">
            <v>Dina Medhat</v>
          </cell>
          <cell r="T2716">
            <v>45319</v>
          </cell>
          <cell r="U2716" t="str">
            <v>Trish Kalinczok</v>
          </cell>
          <cell r="Y2716">
            <v>45319</v>
          </cell>
        </row>
        <row r="2717">
          <cell r="I2717" t="str">
            <v>EDI</v>
          </cell>
          <cell r="L2717">
            <v>2848</v>
          </cell>
          <cell r="N2717" t="str">
            <v>Production</v>
          </cell>
          <cell r="O2717" t="str">
            <v>No</v>
          </cell>
          <cell r="Q2717" t="str">
            <v>Cancelled</v>
          </cell>
          <cell r="R2717">
            <v>45315.779953703714</v>
          </cell>
          <cell r="S2717" t="str">
            <v>Aya Fathy</v>
          </cell>
          <cell r="T2717">
            <v>45341</v>
          </cell>
          <cell r="U2717" t="str">
            <v>Hans De Grouw</v>
          </cell>
          <cell r="V2717">
            <v>45341</v>
          </cell>
          <cell r="W2717">
            <v>45379</v>
          </cell>
          <cell r="Y2717">
            <v>45334</v>
          </cell>
          <cell r="AC2717">
            <v>45372</v>
          </cell>
        </row>
        <row r="2718">
          <cell r="I2718" t="str">
            <v>EDI</v>
          </cell>
          <cell r="L2718">
            <v>2847</v>
          </cell>
          <cell r="N2718" t="str">
            <v>Production</v>
          </cell>
          <cell r="O2718" t="str">
            <v>No</v>
          </cell>
          <cell r="Q2718" t="str">
            <v>Cancelled</v>
          </cell>
          <cell r="R2718">
            <v>45315.779953703714</v>
          </cell>
          <cell r="S2718" t="str">
            <v>Mirna Azmy</v>
          </cell>
          <cell r="T2718">
            <v>45341</v>
          </cell>
          <cell r="U2718" t="str">
            <v>Hans De Grouw</v>
          </cell>
          <cell r="V2718">
            <v>45341</v>
          </cell>
          <cell r="W2718">
            <v>45358</v>
          </cell>
          <cell r="Y2718">
            <v>45321</v>
          </cell>
          <cell r="AC2718">
            <v>45351</v>
          </cell>
        </row>
        <row r="2719">
          <cell r="I2719" t="str">
            <v>EDI</v>
          </cell>
          <cell r="L2719">
            <v>2871</v>
          </cell>
          <cell r="N2719" t="str">
            <v>Production</v>
          </cell>
          <cell r="O2719" t="str">
            <v>No</v>
          </cell>
          <cell r="Q2719" t="str">
            <v>Live</v>
          </cell>
          <cell r="R2719">
            <v>45315.777326388888</v>
          </cell>
          <cell r="S2719" t="str">
            <v>Joseph Atef</v>
          </cell>
          <cell r="T2719">
            <v>45349</v>
          </cell>
          <cell r="U2719" t="str">
            <v>Tammy Davies</v>
          </cell>
          <cell r="V2719">
            <v>45379</v>
          </cell>
          <cell r="W2719">
            <v>45426</v>
          </cell>
          <cell r="Y2719">
            <v>45344</v>
          </cell>
          <cell r="AC2719">
            <v>45425</v>
          </cell>
        </row>
        <row r="2720">
          <cell r="I2720" t="str">
            <v>EDI</v>
          </cell>
          <cell r="N2720" t="str">
            <v>Pending Start</v>
          </cell>
          <cell r="O2720" t="str">
            <v>No</v>
          </cell>
          <cell r="Q2720" t="str">
            <v>Cancelled</v>
          </cell>
          <cell r="R2720">
            <v>45315.72115740741</v>
          </cell>
          <cell r="U2720" t="str">
            <v>Hans De Grouw</v>
          </cell>
        </row>
        <row r="2721">
          <cell r="I2721" t="str">
            <v>EDI</v>
          </cell>
          <cell r="N2721" t="str">
            <v>Pending Start</v>
          </cell>
          <cell r="O2721" t="str">
            <v>No</v>
          </cell>
          <cell r="Q2721" t="str">
            <v>Cancelled</v>
          </cell>
          <cell r="R2721">
            <v>45315.72115740741</v>
          </cell>
          <cell r="U2721" t="str">
            <v>Hans De Grouw</v>
          </cell>
        </row>
        <row r="2722">
          <cell r="I2722" t="str">
            <v>EDI</v>
          </cell>
          <cell r="L2722">
            <v>2804</v>
          </cell>
          <cell r="N2722" t="str">
            <v>Production</v>
          </cell>
          <cell r="O2722" t="str">
            <v>Everything Benefits</v>
          </cell>
          <cell r="P2722" t="str">
            <v>Production</v>
          </cell>
          <cell r="Q2722" t="str">
            <v>Cancelled</v>
          </cell>
          <cell r="R2722">
            <v>45315.682141203702</v>
          </cell>
          <cell r="S2722" t="str">
            <v>Nada Ashraf</v>
          </cell>
          <cell r="T2722">
            <v>45326</v>
          </cell>
          <cell r="U2722" t="str">
            <v>Trish Kalinczok</v>
          </cell>
          <cell r="V2722">
            <v>45327</v>
          </cell>
          <cell r="W2722">
            <v>45411</v>
          </cell>
          <cell r="Y2722">
            <v>45324</v>
          </cell>
          <cell r="AC2722">
            <v>45410</v>
          </cell>
        </row>
        <row r="2723">
          <cell r="I2723" t="str">
            <v>EDI</v>
          </cell>
          <cell r="N2723" t="str">
            <v>Pending Start</v>
          </cell>
          <cell r="O2723" t="str">
            <v>No</v>
          </cell>
          <cell r="Q2723" t="str">
            <v>Cancelled</v>
          </cell>
          <cell r="R2723">
            <v>45315.665578703702</v>
          </cell>
          <cell r="U2723" t="str">
            <v>Kayla Szczepanski</v>
          </cell>
        </row>
        <row r="2724">
          <cell r="I2724" t="str">
            <v>EDI</v>
          </cell>
          <cell r="L2724">
            <v>2846</v>
          </cell>
          <cell r="N2724" t="str">
            <v>Testing</v>
          </cell>
          <cell r="O2724" t="str">
            <v>No</v>
          </cell>
          <cell r="Q2724" t="str">
            <v>Cancelled</v>
          </cell>
          <cell r="R2724">
            <v>45315.662615740737</v>
          </cell>
          <cell r="S2724" t="str">
            <v>Mirna Azmy</v>
          </cell>
          <cell r="T2724">
            <v>45340</v>
          </cell>
          <cell r="U2724" t="str">
            <v>Jene Hamm</v>
          </cell>
          <cell r="V2724">
            <v>45358</v>
          </cell>
          <cell r="Y2724">
            <v>45327</v>
          </cell>
        </row>
        <row r="2725">
          <cell r="I2725" t="str">
            <v>EDI</v>
          </cell>
          <cell r="L2725">
            <v>2873</v>
          </cell>
          <cell r="N2725" t="str">
            <v>Production</v>
          </cell>
          <cell r="O2725" t="str">
            <v>No</v>
          </cell>
          <cell r="Q2725" t="str">
            <v>Cancelled</v>
          </cell>
          <cell r="R2725">
            <v>45315.662604166668</v>
          </cell>
          <cell r="S2725" t="str">
            <v>Zeyad Khaled</v>
          </cell>
          <cell r="T2725">
            <v>45340</v>
          </cell>
          <cell r="U2725" t="str">
            <v>Jene Hamm</v>
          </cell>
          <cell r="V2725">
            <v>45356</v>
          </cell>
          <cell r="W2725">
            <v>45390</v>
          </cell>
          <cell r="Y2725">
            <v>45327</v>
          </cell>
          <cell r="AC2725">
            <v>45389</v>
          </cell>
        </row>
        <row r="2726">
          <cell r="I2726" t="str">
            <v>EDI</v>
          </cell>
          <cell r="L2726">
            <v>2857</v>
          </cell>
          <cell r="N2726" t="str">
            <v>Production</v>
          </cell>
          <cell r="O2726" t="str">
            <v>No</v>
          </cell>
          <cell r="Q2726" t="str">
            <v>Cancelled</v>
          </cell>
          <cell r="R2726">
            <v>45314.788587962961</v>
          </cell>
          <cell r="S2726" t="str">
            <v>Mina Kamil</v>
          </cell>
          <cell r="T2726">
            <v>45336</v>
          </cell>
          <cell r="U2726" t="str">
            <v>Tammy Davies</v>
          </cell>
          <cell r="W2726">
            <v>45504</v>
          </cell>
          <cell r="Y2726">
            <v>45326</v>
          </cell>
          <cell r="AC2726">
            <v>45503</v>
          </cell>
        </row>
        <row r="2727">
          <cell r="I2727" t="str">
            <v>EDI</v>
          </cell>
          <cell r="L2727">
            <v>2800</v>
          </cell>
          <cell r="N2727" t="str">
            <v>Production</v>
          </cell>
          <cell r="O2727" t="str">
            <v>Everything Benefits</v>
          </cell>
          <cell r="P2727" t="str">
            <v>Production</v>
          </cell>
          <cell r="Q2727" t="str">
            <v>Live</v>
          </cell>
          <cell r="R2727">
            <v>45314.709479166668</v>
          </cell>
          <cell r="S2727" t="str">
            <v>Salma Yamani</v>
          </cell>
          <cell r="T2727">
            <v>45326</v>
          </cell>
          <cell r="U2727" t="str">
            <v>Trish Kalinczok</v>
          </cell>
          <cell r="V2727">
            <v>45330</v>
          </cell>
          <cell r="W2727">
            <v>45442</v>
          </cell>
          <cell r="Y2727">
            <v>45324</v>
          </cell>
          <cell r="AC2727">
            <v>45440</v>
          </cell>
        </row>
        <row r="2728">
          <cell r="I2728" t="str">
            <v>EDI</v>
          </cell>
          <cell r="L2728">
            <v>2999</v>
          </cell>
          <cell r="N2728" t="str">
            <v>Production</v>
          </cell>
          <cell r="O2728" t="str">
            <v>Everything Benefits</v>
          </cell>
          <cell r="P2728" t="str">
            <v>Production</v>
          </cell>
          <cell r="Q2728" t="str">
            <v>Live</v>
          </cell>
          <cell r="R2728">
            <v>45314.708368055559</v>
          </cell>
          <cell r="S2728" t="str">
            <v>Hazem Rostom</v>
          </cell>
          <cell r="T2728">
            <v>45386</v>
          </cell>
          <cell r="U2728" t="str">
            <v>Trish Kalinczok</v>
          </cell>
          <cell r="V2728">
            <v>45467</v>
          </cell>
          <cell r="W2728">
            <v>45495</v>
          </cell>
          <cell r="Y2728">
            <v>45384</v>
          </cell>
          <cell r="AC2728">
            <v>45494</v>
          </cell>
        </row>
        <row r="2729">
          <cell r="I2729" t="str">
            <v>EDI</v>
          </cell>
          <cell r="L2729">
            <v>2845</v>
          </cell>
          <cell r="N2729" t="str">
            <v>Production</v>
          </cell>
          <cell r="O2729" t="str">
            <v>No</v>
          </cell>
          <cell r="Q2729" t="str">
            <v>Cancelled</v>
          </cell>
          <cell r="R2729">
            <v>45314.697847222233</v>
          </cell>
          <cell r="S2729" t="str">
            <v>Alaa Yehia</v>
          </cell>
          <cell r="T2729">
            <v>45336</v>
          </cell>
          <cell r="U2729" t="str">
            <v>Jene Hamm</v>
          </cell>
          <cell r="V2729">
            <v>45358</v>
          </cell>
          <cell r="W2729">
            <v>45429</v>
          </cell>
          <cell r="Y2729">
            <v>45315</v>
          </cell>
          <cell r="AC2729">
            <v>45423</v>
          </cell>
        </row>
        <row r="2730">
          <cell r="I2730" t="str">
            <v>EDI</v>
          </cell>
          <cell r="L2730">
            <v>2828</v>
          </cell>
          <cell r="N2730" t="str">
            <v>Production</v>
          </cell>
          <cell r="O2730" t="str">
            <v>No</v>
          </cell>
          <cell r="Q2730" t="str">
            <v>Live</v>
          </cell>
          <cell r="R2730">
            <v>45313.885000000002</v>
          </cell>
          <cell r="S2730" t="str">
            <v>Mina Kamil</v>
          </cell>
          <cell r="T2730">
            <v>45335</v>
          </cell>
          <cell r="U2730" t="str">
            <v>Robbie Schappell</v>
          </cell>
          <cell r="W2730">
            <v>45386</v>
          </cell>
          <cell r="Y2730">
            <v>45319</v>
          </cell>
          <cell r="AC2730">
            <v>45385</v>
          </cell>
        </row>
        <row r="2731">
          <cell r="I2731" t="str">
            <v>EDI</v>
          </cell>
          <cell r="L2731">
            <v>2837</v>
          </cell>
          <cell r="N2731" t="str">
            <v>Production</v>
          </cell>
          <cell r="O2731" t="str">
            <v>No</v>
          </cell>
          <cell r="Q2731" t="str">
            <v>Cancelled</v>
          </cell>
          <cell r="R2731">
            <v>45313.871145833327</v>
          </cell>
          <cell r="S2731" t="str">
            <v>Omnia Abdelaziz</v>
          </cell>
          <cell r="T2731">
            <v>45335</v>
          </cell>
          <cell r="U2731" t="str">
            <v>Trish Kalinczok</v>
          </cell>
          <cell r="V2731">
            <v>45341</v>
          </cell>
          <cell r="W2731">
            <v>45359</v>
          </cell>
          <cell r="Y2731">
            <v>45315</v>
          </cell>
          <cell r="AC2731">
            <v>45355</v>
          </cell>
        </row>
        <row r="2732">
          <cell r="I2732" t="str">
            <v>EDI</v>
          </cell>
          <cell r="L2732">
            <v>2872</v>
          </cell>
          <cell r="N2732" t="str">
            <v>Production</v>
          </cell>
          <cell r="O2732" t="str">
            <v>No</v>
          </cell>
          <cell r="Q2732" t="str">
            <v>Cancelled</v>
          </cell>
          <cell r="R2732">
            <v>45313.856354166674</v>
          </cell>
          <cell r="S2732" t="str">
            <v>Aya Fathy</v>
          </cell>
          <cell r="T2732">
            <v>45349</v>
          </cell>
          <cell r="U2732" t="str">
            <v>Matt Howell</v>
          </cell>
          <cell r="V2732">
            <v>45351</v>
          </cell>
          <cell r="W2732">
            <v>45385</v>
          </cell>
          <cell r="Y2732">
            <v>45345</v>
          </cell>
          <cell r="AC2732">
            <v>45378</v>
          </cell>
        </row>
        <row r="2733">
          <cell r="I2733" t="str">
            <v>EDI</v>
          </cell>
          <cell r="N2733" t="str">
            <v>Pending Start</v>
          </cell>
          <cell r="O2733" t="str">
            <v>No</v>
          </cell>
          <cell r="Q2733" t="str">
            <v>Cancelled</v>
          </cell>
          <cell r="R2733">
            <v>45313.776284722233</v>
          </cell>
          <cell r="S2733" t="str">
            <v>Dina Medhat</v>
          </cell>
          <cell r="T2733">
            <v>45315</v>
          </cell>
          <cell r="U2733" t="str">
            <v>Miranda Naeem</v>
          </cell>
        </row>
        <row r="2734">
          <cell r="I2734" t="str">
            <v>EDI</v>
          </cell>
          <cell r="L2734">
            <v>2826</v>
          </cell>
          <cell r="N2734" t="str">
            <v>Production</v>
          </cell>
          <cell r="O2734" t="str">
            <v>No</v>
          </cell>
          <cell r="Q2734" t="str">
            <v>Cancelled</v>
          </cell>
          <cell r="R2734">
            <v>45313.776273148149</v>
          </cell>
          <cell r="S2734" t="str">
            <v>Alaa Yehia</v>
          </cell>
          <cell r="T2734">
            <v>45329</v>
          </cell>
          <cell r="U2734" t="str">
            <v>Miranda Naeem</v>
          </cell>
          <cell r="V2734">
            <v>45357</v>
          </cell>
          <cell r="W2734">
            <v>25569</v>
          </cell>
          <cell r="Y2734">
            <v>45318</v>
          </cell>
          <cell r="AC2734">
            <v>45371</v>
          </cell>
        </row>
        <row r="2735">
          <cell r="I2735" t="str">
            <v>EDI</v>
          </cell>
          <cell r="L2735">
            <v>2881</v>
          </cell>
          <cell r="N2735" t="str">
            <v>Production</v>
          </cell>
          <cell r="O2735" t="str">
            <v>Everything Benefits</v>
          </cell>
          <cell r="P2735" t="str">
            <v>Production</v>
          </cell>
          <cell r="Q2735" t="str">
            <v>Cancelled</v>
          </cell>
          <cell r="R2735">
            <v>45313.741006944438</v>
          </cell>
          <cell r="S2735" t="str">
            <v>Karen Ramy</v>
          </cell>
          <cell r="T2735">
            <v>45349</v>
          </cell>
          <cell r="U2735" t="str">
            <v>Trish Kalinczok</v>
          </cell>
          <cell r="V2735">
            <v>45355</v>
          </cell>
          <cell r="W2735">
            <v>45453</v>
          </cell>
          <cell r="Y2735">
            <v>45347</v>
          </cell>
          <cell r="AC2735">
            <v>45451</v>
          </cell>
        </row>
        <row r="2736">
          <cell r="I2736" t="str">
            <v>EDI</v>
          </cell>
          <cell r="L2736">
            <v>2841</v>
          </cell>
          <cell r="N2736" t="str">
            <v>Production</v>
          </cell>
          <cell r="O2736" t="str">
            <v>Everything Benefits</v>
          </cell>
          <cell r="P2736" t="str">
            <v>Production</v>
          </cell>
          <cell r="Q2736" t="str">
            <v>Cancelled</v>
          </cell>
          <cell r="R2736">
            <v>45313.740995370368</v>
          </cell>
          <cell r="S2736" t="str">
            <v>Karen Ramy</v>
          </cell>
          <cell r="T2736">
            <v>45332</v>
          </cell>
          <cell r="U2736" t="str">
            <v>Trish Kalinczok</v>
          </cell>
          <cell r="V2736">
            <v>45354</v>
          </cell>
          <cell r="W2736">
            <v>45502</v>
          </cell>
          <cell r="Y2736">
            <v>45331</v>
          </cell>
          <cell r="AC2736">
            <v>45501</v>
          </cell>
        </row>
        <row r="2737">
          <cell r="I2737" t="str">
            <v>EDI</v>
          </cell>
          <cell r="L2737">
            <v>2851</v>
          </cell>
          <cell r="N2737" t="str">
            <v>Production</v>
          </cell>
          <cell r="O2737" t="str">
            <v>Everything Benefits</v>
          </cell>
          <cell r="P2737" t="str">
            <v>Production</v>
          </cell>
          <cell r="Q2737" t="str">
            <v>Cancelled</v>
          </cell>
          <cell r="R2737">
            <v>45313.740995370368</v>
          </cell>
          <cell r="S2737" t="str">
            <v>Karen Ramy</v>
          </cell>
          <cell r="T2737">
            <v>45340</v>
          </cell>
          <cell r="U2737" t="str">
            <v>Trish Kalinczok</v>
          </cell>
          <cell r="V2737">
            <v>45354</v>
          </cell>
          <cell r="W2737">
            <v>45425</v>
          </cell>
          <cell r="Y2737">
            <v>45337</v>
          </cell>
          <cell r="AC2737">
            <v>45424</v>
          </cell>
        </row>
        <row r="2738">
          <cell r="I2738" t="str">
            <v>EDI</v>
          </cell>
          <cell r="L2738">
            <v>2803</v>
          </cell>
          <cell r="N2738" t="str">
            <v>Production</v>
          </cell>
          <cell r="O2738" t="str">
            <v>Everything Benefits</v>
          </cell>
          <cell r="P2738" t="str">
            <v>Production</v>
          </cell>
          <cell r="Q2738" t="str">
            <v>Cancelled</v>
          </cell>
          <cell r="R2738">
            <v>45313.740995370368</v>
          </cell>
          <cell r="S2738" t="str">
            <v>Karen Ramy</v>
          </cell>
          <cell r="T2738">
            <v>45319</v>
          </cell>
          <cell r="U2738" t="str">
            <v>Trish Kalinczok</v>
          </cell>
          <cell r="V2738">
            <v>25569</v>
          </cell>
          <cell r="W2738">
            <v>45439</v>
          </cell>
          <cell r="Y2738">
            <v>45318</v>
          </cell>
          <cell r="AC2738">
            <v>45437</v>
          </cell>
        </row>
        <row r="2739">
          <cell r="I2739" t="str">
            <v>EDI</v>
          </cell>
          <cell r="L2739">
            <v>2802</v>
          </cell>
          <cell r="N2739" t="str">
            <v>Production</v>
          </cell>
          <cell r="O2739" t="str">
            <v>Everything Benefits</v>
          </cell>
          <cell r="P2739" t="str">
            <v>Production</v>
          </cell>
          <cell r="Q2739" t="str">
            <v>Cancelled</v>
          </cell>
          <cell r="R2739">
            <v>45313.740983796299</v>
          </cell>
          <cell r="S2739" t="str">
            <v>Karen Ramy</v>
          </cell>
          <cell r="T2739">
            <v>45319</v>
          </cell>
          <cell r="U2739" t="str">
            <v>Trish Kalinczok</v>
          </cell>
          <cell r="V2739">
            <v>45350</v>
          </cell>
          <cell r="W2739">
            <v>45418</v>
          </cell>
          <cell r="Y2739">
            <v>45319</v>
          </cell>
          <cell r="AC2739">
            <v>45417</v>
          </cell>
        </row>
        <row r="2740">
          <cell r="I2740" t="str">
            <v>EDI</v>
          </cell>
          <cell r="L2740">
            <v>2908</v>
          </cell>
          <cell r="N2740" t="str">
            <v>Production</v>
          </cell>
          <cell r="O2740" t="str">
            <v>No</v>
          </cell>
          <cell r="Q2740" t="str">
            <v>Live</v>
          </cell>
          <cell r="R2740">
            <v>45313.61378472222</v>
          </cell>
          <cell r="S2740" t="str">
            <v>Mina George</v>
          </cell>
          <cell r="T2740">
            <v>45361</v>
          </cell>
          <cell r="U2740" t="str">
            <v>Jene Hamm</v>
          </cell>
          <cell r="V2740">
            <v>45400</v>
          </cell>
          <cell r="W2740">
            <v>45460</v>
          </cell>
          <cell r="Y2740">
            <v>45323</v>
          </cell>
          <cell r="AC2740">
            <v>45460</v>
          </cell>
        </row>
        <row r="2741">
          <cell r="I2741" t="str">
            <v>EDI</v>
          </cell>
          <cell r="L2741">
            <v>2866</v>
          </cell>
          <cell r="N2741" t="str">
            <v>Production</v>
          </cell>
          <cell r="O2741" t="str">
            <v>No</v>
          </cell>
          <cell r="Q2741" t="str">
            <v>Live</v>
          </cell>
          <cell r="R2741">
            <v>45313.61378472222</v>
          </cell>
          <cell r="S2741" t="str">
            <v>Mina George</v>
          </cell>
          <cell r="T2741">
            <v>45335</v>
          </cell>
          <cell r="U2741" t="str">
            <v>Jene Hamm</v>
          </cell>
          <cell r="V2741">
            <v>45365</v>
          </cell>
          <cell r="W2741">
            <v>45460</v>
          </cell>
          <cell r="Y2741">
            <v>45323</v>
          </cell>
          <cell r="AC2741">
            <v>45460</v>
          </cell>
        </row>
        <row r="2742">
          <cell r="I2742" t="str">
            <v>EDI</v>
          </cell>
          <cell r="L2742">
            <v>2766</v>
          </cell>
          <cell r="N2742" t="str">
            <v>Mapping</v>
          </cell>
          <cell r="O2742" t="str">
            <v>eBenefits Network</v>
          </cell>
          <cell r="P2742" t="str">
            <v>Phase 1 - Map Built</v>
          </cell>
          <cell r="Q2742" t="str">
            <v>Cancelled</v>
          </cell>
          <cell r="R2742">
            <v>45313.451817129629</v>
          </cell>
          <cell r="S2742" t="str">
            <v>Salma Yamani</v>
          </cell>
          <cell r="T2742">
            <v>45318</v>
          </cell>
          <cell r="U2742" t="str">
            <v>Peter Amoruso</v>
          </cell>
        </row>
        <row r="2743">
          <cell r="I2743" t="str">
            <v>EDI</v>
          </cell>
          <cell r="L2743">
            <v>2765</v>
          </cell>
          <cell r="N2743" t="str">
            <v>Mapping</v>
          </cell>
          <cell r="O2743" t="str">
            <v>eBenefits Network</v>
          </cell>
          <cell r="P2743" t="str">
            <v>Phase 1 - Map Built</v>
          </cell>
          <cell r="Q2743" t="str">
            <v>Cancelled</v>
          </cell>
          <cell r="R2743">
            <v>45313.448831018519</v>
          </cell>
          <cell r="S2743" t="str">
            <v>Salma Yamani</v>
          </cell>
          <cell r="T2743">
            <v>45318</v>
          </cell>
          <cell r="U2743" t="str">
            <v>Peter Amoruso</v>
          </cell>
        </row>
        <row r="2744">
          <cell r="I2744" t="str">
            <v>EDI</v>
          </cell>
          <cell r="L2744">
            <v>2768</v>
          </cell>
          <cell r="N2744" t="str">
            <v>Mapping</v>
          </cell>
          <cell r="O2744" t="str">
            <v>eBenefits Network</v>
          </cell>
          <cell r="P2744" t="str">
            <v>Phase 1 - Map Built</v>
          </cell>
          <cell r="Q2744" t="str">
            <v>Cancelled</v>
          </cell>
          <cell r="R2744">
            <v>45313.412627314807</v>
          </cell>
          <cell r="S2744" t="str">
            <v>Salma Yamani</v>
          </cell>
          <cell r="T2744">
            <v>45318</v>
          </cell>
          <cell r="U2744" t="str">
            <v>Peter Amoruso</v>
          </cell>
        </row>
        <row r="2745">
          <cell r="I2745" t="str">
            <v>EDI</v>
          </cell>
          <cell r="L2745">
            <v>2764</v>
          </cell>
          <cell r="N2745" t="str">
            <v>Mapping</v>
          </cell>
          <cell r="O2745" t="str">
            <v>eBenefits Network</v>
          </cell>
          <cell r="P2745" t="str">
            <v>Phase 1 - Map Built</v>
          </cell>
          <cell r="Q2745" t="str">
            <v>Cancelled</v>
          </cell>
          <cell r="R2745">
            <v>45313.409641203703</v>
          </cell>
          <cell r="S2745" t="str">
            <v>Salma Yamani</v>
          </cell>
          <cell r="T2745">
            <v>45318</v>
          </cell>
          <cell r="U2745" t="str">
            <v>Peter Amoruso</v>
          </cell>
        </row>
        <row r="2746">
          <cell r="I2746" t="str">
            <v>EDI</v>
          </cell>
          <cell r="L2746">
            <v>2842</v>
          </cell>
          <cell r="N2746" t="str">
            <v>Production</v>
          </cell>
          <cell r="O2746" t="str">
            <v>No</v>
          </cell>
          <cell r="Q2746" t="str">
            <v>Cancelled</v>
          </cell>
          <cell r="R2746">
            <v>45310.765138888892</v>
          </cell>
          <cell r="S2746" t="str">
            <v>Mina Adel</v>
          </cell>
          <cell r="T2746">
            <v>45335</v>
          </cell>
          <cell r="U2746" t="str">
            <v>Amy Bergstrom</v>
          </cell>
          <cell r="V2746">
            <v>45342</v>
          </cell>
          <cell r="W2746">
            <v>25569</v>
          </cell>
          <cell r="Y2746">
            <v>45314</v>
          </cell>
          <cell r="AC2746">
            <v>45348</v>
          </cell>
        </row>
        <row r="2747">
          <cell r="I2747" t="str">
            <v>EDI</v>
          </cell>
          <cell r="L2747">
            <v>2853</v>
          </cell>
          <cell r="N2747" t="str">
            <v>Production</v>
          </cell>
          <cell r="O2747" t="str">
            <v>No</v>
          </cell>
          <cell r="Q2747" t="str">
            <v>Cancelled</v>
          </cell>
          <cell r="R2747">
            <v>45310.628252314818</v>
          </cell>
          <cell r="S2747" t="str">
            <v>Zeyad Khaled</v>
          </cell>
          <cell r="T2747">
            <v>45335</v>
          </cell>
          <cell r="U2747" t="str">
            <v>Jene Hamm</v>
          </cell>
          <cell r="W2747">
            <v>45369</v>
          </cell>
          <cell r="Y2747">
            <v>45313</v>
          </cell>
          <cell r="AC2747">
            <v>45362</v>
          </cell>
        </row>
        <row r="2748">
          <cell r="I2748" t="str">
            <v>EDI</v>
          </cell>
          <cell r="L2748">
            <v>2839</v>
          </cell>
          <cell r="N2748" t="str">
            <v>Production</v>
          </cell>
          <cell r="O2748" t="str">
            <v>No</v>
          </cell>
          <cell r="Q2748" t="str">
            <v>Live</v>
          </cell>
          <cell r="R2748">
            <v>45309.787256944437</v>
          </cell>
          <cell r="S2748" t="str">
            <v>Alaa Yehia</v>
          </cell>
          <cell r="T2748">
            <v>45335</v>
          </cell>
          <cell r="U2748" t="str">
            <v>Trish Kalinczok</v>
          </cell>
          <cell r="V2748">
            <v>45354</v>
          </cell>
          <cell r="W2748">
            <v>45509</v>
          </cell>
          <cell r="Y2748">
            <v>45322</v>
          </cell>
          <cell r="AC2748">
            <v>45505</v>
          </cell>
        </row>
        <row r="2749">
          <cell r="I2749" t="str">
            <v>EDI</v>
          </cell>
          <cell r="L2749">
            <v>2820</v>
          </cell>
          <cell r="N2749" t="str">
            <v>Production</v>
          </cell>
          <cell r="O2749" t="str">
            <v>No</v>
          </cell>
          <cell r="Q2749" t="str">
            <v>Live</v>
          </cell>
          <cell r="R2749">
            <v>45309.651909722219</v>
          </cell>
          <cell r="S2749" t="str">
            <v>Mirna Azmy</v>
          </cell>
          <cell r="T2749">
            <v>45330</v>
          </cell>
          <cell r="U2749" t="str">
            <v>Jene Hamm</v>
          </cell>
          <cell r="V2749">
            <v>45364</v>
          </cell>
          <cell r="W2749">
            <v>45453</v>
          </cell>
          <cell r="Y2749">
            <v>45316</v>
          </cell>
          <cell r="AC2749">
            <v>45449</v>
          </cell>
        </row>
        <row r="2750">
          <cell r="I2750" t="str">
            <v>EDI</v>
          </cell>
          <cell r="L2750">
            <v>2852</v>
          </cell>
          <cell r="N2750" t="str">
            <v>Testing</v>
          </cell>
          <cell r="O2750" t="str">
            <v>No</v>
          </cell>
          <cell r="Q2750" t="str">
            <v>Cancelled</v>
          </cell>
          <cell r="R2750">
            <v>45309.651909722219</v>
          </cell>
          <cell r="S2750" t="str">
            <v>Omnia Abdelaziz</v>
          </cell>
          <cell r="T2750">
            <v>45340</v>
          </cell>
          <cell r="U2750" t="str">
            <v>Jene Hamm</v>
          </cell>
          <cell r="V2750">
            <v>45406</v>
          </cell>
          <cell r="Y2750">
            <v>45337</v>
          </cell>
        </row>
        <row r="2751">
          <cell r="I2751" t="str">
            <v>EDI</v>
          </cell>
          <cell r="L2751">
            <v>2744</v>
          </cell>
          <cell r="N2751" t="str">
            <v>Production</v>
          </cell>
          <cell r="O2751" t="str">
            <v>eBenefits Network</v>
          </cell>
          <cell r="P2751" t="str">
            <v>Production</v>
          </cell>
          <cell r="Q2751" t="str">
            <v>Live</v>
          </cell>
          <cell r="R2751">
            <v>45309.412094907413</v>
          </cell>
          <cell r="S2751" t="str">
            <v>Karim Tarek</v>
          </cell>
          <cell r="T2751">
            <v>45309</v>
          </cell>
          <cell r="U2751" t="str">
            <v>Matt Howell</v>
          </cell>
          <cell r="V2751">
            <v>45319</v>
          </cell>
          <cell r="W2751">
            <v>45366</v>
          </cell>
          <cell r="AC2751">
            <v>45361</v>
          </cell>
        </row>
        <row r="2752">
          <cell r="I2752" t="str">
            <v>EDI</v>
          </cell>
          <cell r="L2752">
            <v>2827</v>
          </cell>
          <cell r="N2752" t="str">
            <v>Production</v>
          </cell>
          <cell r="O2752" t="str">
            <v>No</v>
          </cell>
          <cell r="Q2752" t="str">
            <v>Live</v>
          </cell>
          <cell r="R2752">
            <v>45308.828333333331</v>
          </cell>
          <cell r="S2752" t="str">
            <v>Zeyad Khaled</v>
          </cell>
          <cell r="T2752">
            <v>45330</v>
          </cell>
          <cell r="U2752" t="str">
            <v>Hans De Grouw</v>
          </cell>
          <cell r="V2752">
            <v>45351</v>
          </cell>
          <cell r="W2752">
            <v>45741</v>
          </cell>
          <cell r="Y2752">
            <v>45313</v>
          </cell>
          <cell r="AC2752">
            <v>45740</v>
          </cell>
        </row>
        <row r="2753">
          <cell r="I2753" t="str">
            <v>EDI</v>
          </cell>
          <cell r="L2753">
            <v>2840</v>
          </cell>
          <cell r="N2753" t="str">
            <v>Production</v>
          </cell>
          <cell r="O2753" t="str">
            <v>No</v>
          </cell>
          <cell r="Q2753" t="str">
            <v>Cancelled</v>
          </cell>
          <cell r="R2753">
            <v>45308.826099537036</v>
          </cell>
          <cell r="S2753" t="str">
            <v>Hazem Rostom</v>
          </cell>
          <cell r="T2753">
            <v>45330</v>
          </cell>
          <cell r="U2753" t="str">
            <v>Hans De Grouw</v>
          </cell>
          <cell r="V2753">
            <v>45467</v>
          </cell>
          <cell r="W2753">
            <v>45587</v>
          </cell>
          <cell r="Y2753">
            <v>45313</v>
          </cell>
          <cell r="AC2753">
            <v>45581</v>
          </cell>
        </row>
        <row r="2754">
          <cell r="I2754" t="str">
            <v>EDI</v>
          </cell>
          <cell r="L2754">
            <v>2924</v>
          </cell>
          <cell r="N2754" t="str">
            <v>Production</v>
          </cell>
          <cell r="O2754" t="str">
            <v>No</v>
          </cell>
          <cell r="Q2754" t="str">
            <v>Cancelled</v>
          </cell>
          <cell r="R2754">
            <v>45308.822997685187</v>
          </cell>
          <cell r="S2754" t="str">
            <v>Noha Moustafa</v>
          </cell>
          <cell r="T2754">
            <v>45371</v>
          </cell>
          <cell r="U2754" t="str">
            <v>Miranda Naeem</v>
          </cell>
          <cell r="V2754">
            <v>45404</v>
          </cell>
          <cell r="W2754">
            <v>45475</v>
          </cell>
          <cell r="Y2754">
            <v>45368</v>
          </cell>
          <cell r="AC2754">
            <v>45474</v>
          </cell>
        </row>
        <row r="2755">
          <cell r="I2755" t="str">
            <v>EDI</v>
          </cell>
          <cell r="L2755">
            <v>2818</v>
          </cell>
          <cell r="N2755" t="str">
            <v>Production</v>
          </cell>
          <cell r="O2755" t="str">
            <v>No</v>
          </cell>
          <cell r="Q2755" t="str">
            <v>Live</v>
          </cell>
          <cell r="R2755">
            <v>45308.819143518522</v>
          </cell>
          <cell r="S2755" t="str">
            <v>Alaa Yehia</v>
          </cell>
          <cell r="T2755">
            <v>45546</v>
          </cell>
          <cell r="U2755" t="str">
            <v>Hans De Grouw</v>
          </cell>
          <cell r="V2755">
            <v>25569</v>
          </cell>
          <cell r="W2755">
            <v>45846</v>
          </cell>
          <cell r="Y2755">
            <v>45321</v>
          </cell>
          <cell r="AC2755">
            <v>45840</v>
          </cell>
        </row>
        <row r="2756">
          <cell r="I2756" t="str">
            <v>EDI</v>
          </cell>
          <cell r="L2756">
            <v>2821</v>
          </cell>
          <cell r="N2756" t="str">
            <v>Production</v>
          </cell>
          <cell r="O2756" t="str">
            <v>No</v>
          </cell>
          <cell r="Q2756" t="str">
            <v>Cancelled</v>
          </cell>
          <cell r="R2756">
            <v>45308.778321759259</v>
          </cell>
          <cell r="S2756" t="str">
            <v>Omnia Abdelaziz</v>
          </cell>
          <cell r="T2756">
            <v>45330</v>
          </cell>
          <cell r="U2756" t="str">
            <v>Tammy Davies</v>
          </cell>
          <cell r="V2756">
            <v>45365</v>
          </cell>
          <cell r="W2756">
            <v>45455</v>
          </cell>
          <cell r="Y2756">
            <v>45321</v>
          </cell>
          <cell r="AC2756">
            <v>45449</v>
          </cell>
        </row>
        <row r="2757">
          <cell r="I2757" t="str">
            <v>EDI</v>
          </cell>
          <cell r="L2757">
            <v>2909</v>
          </cell>
          <cell r="N2757" t="str">
            <v>Production</v>
          </cell>
          <cell r="O2757" t="str">
            <v>No</v>
          </cell>
          <cell r="Q2757" t="str">
            <v>Cancelled</v>
          </cell>
          <cell r="R2757">
            <v>45308.647349537037</v>
          </cell>
          <cell r="S2757" t="str">
            <v>Aya Fathy</v>
          </cell>
          <cell r="T2757">
            <v>45364</v>
          </cell>
          <cell r="U2757" t="str">
            <v>Trish Kalinczok</v>
          </cell>
          <cell r="V2757">
            <v>45373</v>
          </cell>
          <cell r="W2757">
            <v>45506</v>
          </cell>
          <cell r="Y2757">
            <v>45361</v>
          </cell>
          <cell r="AC2757">
            <v>45501</v>
          </cell>
        </row>
        <row r="2758">
          <cell r="I2758" t="str">
            <v>EDI</v>
          </cell>
          <cell r="L2758">
            <v>2829</v>
          </cell>
          <cell r="N2758" t="str">
            <v>Production</v>
          </cell>
          <cell r="O2758" t="str">
            <v>No</v>
          </cell>
          <cell r="Q2758" t="str">
            <v>Cancelled</v>
          </cell>
          <cell r="R2758">
            <v>45307.804583333331</v>
          </cell>
          <cell r="S2758" t="str">
            <v>Mina George</v>
          </cell>
          <cell r="T2758">
            <v>45330</v>
          </cell>
          <cell r="U2758" t="str">
            <v>Miranda Naeem</v>
          </cell>
          <cell r="V2758">
            <v>45341</v>
          </cell>
          <cell r="W2758">
            <v>45485</v>
          </cell>
          <cell r="Y2758">
            <v>45309</v>
          </cell>
          <cell r="AC2758">
            <v>45484</v>
          </cell>
        </row>
        <row r="2759">
          <cell r="I2759" t="str">
            <v>EDI</v>
          </cell>
          <cell r="L2759">
            <v>2752</v>
          </cell>
          <cell r="N2759" t="str">
            <v>Production</v>
          </cell>
          <cell r="O2759" t="str">
            <v>No</v>
          </cell>
          <cell r="Q2759" t="str">
            <v>Live</v>
          </cell>
          <cell r="R2759">
            <v>45307.775081018517</v>
          </cell>
          <cell r="S2759" t="str">
            <v>Andrew Ramy</v>
          </cell>
          <cell r="T2759">
            <v>45312</v>
          </cell>
          <cell r="U2759" t="str">
            <v>Hans De Grouw</v>
          </cell>
          <cell r="V2759">
            <v>45329</v>
          </cell>
          <cell r="W2759">
            <v>45372</v>
          </cell>
          <cell r="Y2759">
            <v>45311</v>
          </cell>
          <cell r="AC2759">
            <v>45370</v>
          </cell>
        </row>
        <row r="2760">
          <cell r="I2760" t="str">
            <v>EDI</v>
          </cell>
          <cell r="L2760">
            <v>2755</v>
          </cell>
          <cell r="N2760" t="str">
            <v>Production</v>
          </cell>
          <cell r="O2760" t="str">
            <v>Everything Benefits</v>
          </cell>
          <cell r="P2760" t="str">
            <v>Production</v>
          </cell>
          <cell r="Q2760" t="str">
            <v>Live</v>
          </cell>
          <cell r="R2760">
            <v>45307.749039351853</v>
          </cell>
          <cell r="S2760" t="str">
            <v>Mohamed Abdelhamed</v>
          </cell>
          <cell r="T2760">
            <v>45314</v>
          </cell>
          <cell r="U2760" t="str">
            <v>Ryan Cox</v>
          </cell>
          <cell r="V2760">
            <v>45348</v>
          </cell>
          <cell r="W2760">
            <v>25569</v>
          </cell>
          <cell r="Y2760">
            <v>45313</v>
          </cell>
          <cell r="AC2760">
            <v>45378</v>
          </cell>
        </row>
        <row r="2761">
          <cell r="I2761" t="str">
            <v>EDI</v>
          </cell>
          <cell r="L2761">
            <v>2756</v>
          </cell>
          <cell r="N2761" t="str">
            <v>Production</v>
          </cell>
          <cell r="O2761" t="str">
            <v>Everything Benefits</v>
          </cell>
          <cell r="P2761" t="str">
            <v>Production</v>
          </cell>
          <cell r="Q2761" t="str">
            <v>Live</v>
          </cell>
          <cell r="R2761">
            <v>45307.749027777783</v>
          </cell>
          <cell r="S2761" t="str">
            <v>Mohamed Abdelhamed</v>
          </cell>
          <cell r="T2761">
            <v>45314</v>
          </cell>
          <cell r="U2761" t="str">
            <v>Scott Henrehan</v>
          </cell>
          <cell r="V2761">
            <v>45349</v>
          </cell>
          <cell r="W2761">
            <v>45377</v>
          </cell>
          <cell r="Y2761">
            <v>45311</v>
          </cell>
          <cell r="AC2761">
            <v>45373</v>
          </cell>
        </row>
        <row r="2762">
          <cell r="I2762" t="str">
            <v>EDI</v>
          </cell>
          <cell r="L2762">
            <v>2745</v>
          </cell>
          <cell r="N2762" t="str">
            <v>Production</v>
          </cell>
          <cell r="O2762" t="str">
            <v>eBenefits Network</v>
          </cell>
          <cell r="P2762" t="str">
            <v>Production</v>
          </cell>
          <cell r="Q2762" t="str">
            <v>Live</v>
          </cell>
          <cell r="R2762">
            <v>45307.70820601852</v>
          </cell>
          <cell r="S2762" t="str">
            <v>Karim Tarek</v>
          </cell>
          <cell r="T2762">
            <v>45308</v>
          </cell>
          <cell r="U2762" t="str">
            <v>Matt Howell</v>
          </cell>
          <cell r="V2762">
            <v>45320</v>
          </cell>
          <cell r="W2762">
            <v>45355</v>
          </cell>
          <cell r="AC2762">
            <v>45355</v>
          </cell>
        </row>
        <row r="2763">
          <cell r="I2763" t="str">
            <v>EDI</v>
          </cell>
          <cell r="L2763">
            <v>2743</v>
          </cell>
          <cell r="N2763" t="str">
            <v>Production</v>
          </cell>
          <cell r="O2763" t="str">
            <v>eBenefits Network</v>
          </cell>
          <cell r="P2763" t="str">
            <v>Production</v>
          </cell>
          <cell r="Q2763" t="str">
            <v>Live</v>
          </cell>
          <cell r="R2763">
            <v>45307.70820601852</v>
          </cell>
          <cell r="S2763" t="str">
            <v>Karim Tarek</v>
          </cell>
          <cell r="T2763">
            <v>45308</v>
          </cell>
          <cell r="U2763" t="str">
            <v>Matt Howell</v>
          </cell>
          <cell r="V2763">
            <v>45324</v>
          </cell>
          <cell r="W2763">
            <v>45366</v>
          </cell>
          <cell r="AC2763">
            <v>45361</v>
          </cell>
        </row>
        <row r="2764">
          <cell r="I2764" t="str">
            <v>EDI</v>
          </cell>
          <cell r="L2764">
            <v>2742</v>
          </cell>
          <cell r="N2764" t="str">
            <v>Production</v>
          </cell>
          <cell r="O2764" t="str">
            <v>eBenefits Network</v>
          </cell>
          <cell r="P2764" t="str">
            <v>Production</v>
          </cell>
          <cell r="Q2764" t="str">
            <v>Cancelled</v>
          </cell>
          <cell r="R2764">
            <v>45307.70820601852</v>
          </cell>
          <cell r="S2764" t="str">
            <v>Karim Tarek</v>
          </cell>
          <cell r="T2764">
            <v>45308</v>
          </cell>
          <cell r="U2764" t="str">
            <v>Matt Howell</v>
          </cell>
          <cell r="V2764">
            <v>25569</v>
          </cell>
          <cell r="W2764">
            <v>45394</v>
          </cell>
          <cell r="AC2764">
            <v>45391</v>
          </cell>
        </row>
        <row r="2765">
          <cell r="I2765" t="str">
            <v>EDI</v>
          </cell>
          <cell r="L2765">
            <v>2822</v>
          </cell>
          <cell r="N2765" t="str">
            <v>Production</v>
          </cell>
          <cell r="O2765" t="str">
            <v>No</v>
          </cell>
          <cell r="Q2765" t="str">
            <v>Live</v>
          </cell>
          <cell r="R2765">
            <v>45307.684976851851</v>
          </cell>
          <cell r="S2765" t="str">
            <v>Aya Fathy</v>
          </cell>
          <cell r="T2765">
            <v>45330</v>
          </cell>
          <cell r="U2765" t="str">
            <v>Trish Kalinczok</v>
          </cell>
          <cell r="V2765">
            <v>45331</v>
          </cell>
          <cell r="W2765">
            <v>45348</v>
          </cell>
          <cell r="Y2765">
            <v>45313</v>
          </cell>
          <cell r="AC2765">
            <v>45347</v>
          </cell>
        </row>
        <row r="2766">
          <cell r="I2766" t="str">
            <v>EDI</v>
          </cell>
          <cell r="L2766">
            <v>2817</v>
          </cell>
          <cell r="N2766" t="str">
            <v>Testing</v>
          </cell>
          <cell r="O2766" t="str">
            <v>No</v>
          </cell>
          <cell r="Q2766" t="str">
            <v>Cancelled</v>
          </cell>
          <cell r="R2766">
            <v>45307.679432870369</v>
          </cell>
          <cell r="S2766" t="str">
            <v>Alaa Yehia</v>
          </cell>
          <cell r="T2766">
            <v>45328</v>
          </cell>
          <cell r="U2766" t="str">
            <v>Destinee Duncan</v>
          </cell>
          <cell r="V2766">
            <v>45383</v>
          </cell>
          <cell r="Y2766">
            <v>45308</v>
          </cell>
        </row>
        <row r="2767">
          <cell r="I2767" t="str">
            <v>EDI</v>
          </cell>
          <cell r="L2767">
            <v>2776</v>
          </cell>
          <cell r="N2767" t="str">
            <v>Testing</v>
          </cell>
          <cell r="O2767" t="str">
            <v>No</v>
          </cell>
          <cell r="Q2767" t="str">
            <v>Cancelled</v>
          </cell>
          <cell r="R2767">
            <v>45307.676782407398</v>
          </cell>
          <cell r="S2767" t="str">
            <v>Andrew Ramy</v>
          </cell>
          <cell r="T2767">
            <v>45315</v>
          </cell>
          <cell r="U2767" t="str">
            <v>Miranda Naeem</v>
          </cell>
          <cell r="V2767">
            <v>45350</v>
          </cell>
          <cell r="Y2767">
            <v>45314</v>
          </cell>
        </row>
        <row r="2768">
          <cell r="I2768" t="str">
            <v>EDI</v>
          </cell>
          <cell r="L2768">
            <v>2859</v>
          </cell>
          <cell r="N2768" t="str">
            <v>Production</v>
          </cell>
          <cell r="O2768" t="str">
            <v>No</v>
          </cell>
          <cell r="Q2768" t="str">
            <v>Live</v>
          </cell>
          <cell r="R2768">
            <v>45307.638483796298</v>
          </cell>
          <cell r="S2768" t="str">
            <v>Andrew Ramy</v>
          </cell>
          <cell r="T2768">
            <v>45340</v>
          </cell>
          <cell r="U2768" t="str">
            <v>Miranda Naeem</v>
          </cell>
          <cell r="V2768">
            <v>45370</v>
          </cell>
          <cell r="W2768">
            <v>45425</v>
          </cell>
          <cell r="Y2768">
            <v>45337</v>
          </cell>
          <cell r="AC2768">
            <v>45425</v>
          </cell>
        </row>
        <row r="2769">
          <cell r="I2769" t="str">
            <v>EDI</v>
          </cell>
          <cell r="L2769">
            <v>2763</v>
          </cell>
          <cell r="N2769" t="str">
            <v>Requirements Gathering</v>
          </cell>
          <cell r="O2769" t="str">
            <v>eBenefits Network</v>
          </cell>
          <cell r="P2769" t="str">
            <v>Phase 1 - Map Built</v>
          </cell>
          <cell r="Q2769" t="str">
            <v>Cancelled</v>
          </cell>
          <cell r="R2769">
            <v>45307.573692129627</v>
          </cell>
          <cell r="S2769" t="str">
            <v>Salma Yamani</v>
          </cell>
          <cell r="T2769">
            <v>45318</v>
          </cell>
          <cell r="U2769" t="str">
            <v>Peter Amoruso</v>
          </cell>
        </row>
        <row r="2770">
          <cell r="I2770" t="str">
            <v>EDI</v>
          </cell>
          <cell r="N2770" t="str">
            <v>Requirements Gathering</v>
          </cell>
          <cell r="O2770" t="str">
            <v>No</v>
          </cell>
          <cell r="Q2770" t="str">
            <v>Cancelled</v>
          </cell>
          <cell r="R2770">
            <v>45306.810520833344</v>
          </cell>
          <cell r="S2770" t="str">
            <v>Abdulrahman Tarek</v>
          </cell>
          <cell r="T2770">
            <v>45307</v>
          </cell>
          <cell r="U2770" t="str">
            <v>Hans De Grouw</v>
          </cell>
        </row>
        <row r="2771">
          <cell r="I2771" t="str">
            <v>EDI</v>
          </cell>
          <cell r="L2771">
            <v>2888</v>
          </cell>
          <cell r="N2771" t="str">
            <v>Production</v>
          </cell>
          <cell r="O2771" t="str">
            <v>No</v>
          </cell>
          <cell r="Q2771" t="str">
            <v>Live</v>
          </cell>
          <cell r="R2771">
            <v>45306.81050925926</v>
          </cell>
          <cell r="S2771" t="str">
            <v>Andrew Ramy</v>
          </cell>
          <cell r="T2771">
            <v>45349</v>
          </cell>
          <cell r="U2771" t="str">
            <v>Hans De Grouw</v>
          </cell>
          <cell r="V2771">
            <v>45414</v>
          </cell>
          <cell r="W2771">
            <v>45435</v>
          </cell>
          <cell r="Y2771">
            <v>45348</v>
          </cell>
          <cell r="AC2771">
            <v>45427</v>
          </cell>
        </row>
        <row r="2772">
          <cell r="I2772" t="str">
            <v>EDI</v>
          </cell>
          <cell r="L2772">
            <v>2835</v>
          </cell>
          <cell r="N2772" t="str">
            <v>Production</v>
          </cell>
          <cell r="O2772" t="str">
            <v>No</v>
          </cell>
          <cell r="Q2772" t="str">
            <v>Live</v>
          </cell>
          <cell r="R2772">
            <v>45302.970462962963</v>
          </cell>
          <cell r="S2772" t="str">
            <v>Dina Medhat</v>
          </cell>
          <cell r="T2772">
            <v>45307</v>
          </cell>
          <cell r="U2772" t="str">
            <v>Matt Howell</v>
          </cell>
          <cell r="V2772">
            <v>25569</v>
          </cell>
          <cell r="W2772">
            <v>45742</v>
          </cell>
          <cell r="AC2772">
            <v>45778</v>
          </cell>
        </row>
        <row r="2773">
          <cell r="I2773" t="str">
            <v>EDI</v>
          </cell>
          <cell r="L2773">
            <v>2835</v>
          </cell>
          <cell r="N2773" t="str">
            <v>Production</v>
          </cell>
          <cell r="O2773" t="str">
            <v>No</v>
          </cell>
          <cell r="Q2773" t="str">
            <v>Live</v>
          </cell>
          <cell r="R2773">
            <v>45302.96365740741</v>
          </cell>
          <cell r="S2773" t="str">
            <v>Dina Medhat</v>
          </cell>
          <cell r="T2773">
            <v>45307</v>
          </cell>
          <cell r="U2773" t="str">
            <v>Matt Howell</v>
          </cell>
          <cell r="V2773">
            <v>25569</v>
          </cell>
          <cell r="W2773">
            <v>45742</v>
          </cell>
          <cell r="AC2773">
            <v>45778</v>
          </cell>
        </row>
        <row r="2774">
          <cell r="I2774" t="str">
            <v>EDI</v>
          </cell>
          <cell r="L2774">
            <v>2835</v>
          </cell>
          <cell r="N2774" t="str">
            <v>Production</v>
          </cell>
          <cell r="O2774" t="str">
            <v>No</v>
          </cell>
          <cell r="Q2774" t="str">
            <v>Live</v>
          </cell>
          <cell r="R2774">
            <v>45302.960636574076</v>
          </cell>
          <cell r="S2774" t="str">
            <v>Dina Medhat</v>
          </cell>
          <cell r="T2774">
            <v>45307</v>
          </cell>
          <cell r="U2774" t="str">
            <v>Matt Howell</v>
          </cell>
          <cell r="V2774">
            <v>25569</v>
          </cell>
          <cell r="W2774">
            <v>45742</v>
          </cell>
          <cell r="AC2774">
            <v>45778</v>
          </cell>
        </row>
        <row r="2775">
          <cell r="I2775" t="str">
            <v>EDI</v>
          </cell>
          <cell r="N2775" t="str">
            <v>Mapping</v>
          </cell>
          <cell r="O2775" t="str">
            <v>No</v>
          </cell>
          <cell r="Q2775" t="str">
            <v>Cancelled</v>
          </cell>
          <cell r="R2775">
            <v>45302.95349537037</v>
          </cell>
          <cell r="S2775" t="str">
            <v>Dina Medhat</v>
          </cell>
          <cell r="T2775">
            <v>45307</v>
          </cell>
          <cell r="U2775" t="str">
            <v>Matt Howell</v>
          </cell>
        </row>
        <row r="2776">
          <cell r="I2776" t="str">
            <v>EDI</v>
          </cell>
          <cell r="L2776">
            <v>2835</v>
          </cell>
          <cell r="N2776" t="str">
            <v>Production</v>
          </cell>
          <cell r="O2776" t="str">
            <v>No</v>
          </cell>
          <cell r="Q2776" t="str">
            <v>Live</v>
          </cell>
          <cell r="R2776">
            <v>45302.951168981483</v>
          </cell>
          <cell r="S2776" t="str">
            <v>Dina Medhat</v>
          </cell>
          <cell r="T2776">
            <v>45307</v>
          </cell>
          <cell r="U2776" t="str">
            <v>Matt Howell</v>
          </cell>
          <cell r="V2776">
            <v>25569</v>
          </cell>
          <cell r="W2776">
            <v>45742</v>
          </cell>
          <cell r="AC2776">
            <v>45778</v>
          </cell>
        </row>
        <row r="2777">
          <cell r="I2777" t="str">
            <v>EDI</v>
          </cell>
          <cell r="L2777">
            <v>2835</v>
          </cell>
          <cell r="N2777" t="str">
            <v>Production</v>
          </cell>
          <cell r="O2777" t="str">
            <v>No</v>
          </cell>
          <cell r="Q2777" t="str">
            <v>Live</v>
          </cell>
          <cell r="R2777">
            <v>45302.948981481481</v>
          </cell>
          <cell r="S2777" t="str">
            <v>Dina Medhat</v>
          </cell>
          <cell r="T2777">
            <v>45307</v>
          </cell>
          <cell r="U2777" t="str">
            <v>Matt Howell</v>
          </cell>
          <cell r="V2777">
            <v>25569</v>
          </cell>
          <cell r="W2777">
            <v>45742</v>
          </cell>
          <cell r="AC2777">
            <v>45778</v>
          </cell>
        </row>
        <row r="2778">
          <cell r="I2778" t="str">
            <v>EDI</v>
          </cell>
          <cell r="L2778">
            <v>2835</v>
          </cell>
          <cell r="N2778" t="str">
            <v>Production</v>
          </cell>
          <cell r="O2778" t="str">
            <v>No</v>
          </cell>
          <cell r="Q2778" t="str">
            <v>Live</v>
          </cell>
          <cell r="R2778">
            <v>45302.941111111111</v>
          </cell>
          <cell r="S2778" t="str">
            <v>Aya Fathy</v>
          </cell>
          <cell r="T2778">
            <v>45335</v>
          </cell>
          <cell r="U2778" t="str">
            <v>Matt Howell</v>
          </cell>
          <cell r="V2778">
            <v>25569</v>
          </cell>
          <cell r="W2778">
            <v>45742</v>
          </cell>
          <cell r="Y2778">
            <v>45331</v>
          </cell>
          <cell r="AC2778">
            <v>45742</v>
          </cell>
        </row>
        <row r="2779">
          <cell r="I2779" t="str">
            <v>EDI</v>
          </cell>
          <cell r="L2779">
            <v>2825</v>
          </cell>
          <cell r="N2779" t="str">
            <v>Production</v>
          </cell>
          <cell r="O2779" t="str">
            <v>No</v>
          </cell>
          <cell r="Q2779" t="str">
            <v>Cancelled</v>
          </cell>
          <cell r="R2779">
            <v>45302.854027777779</v>
          </cell>
          <cell r="S2779" t="str">
            <v>Mina Kamil</v>
          </cell>
          <cell r="T2779">
            <v>45328</v>
          </cell>
          <cell r="U2779" t="str">
            <v>Robbie Schappell</v>
          </cell>
          <cell r="W2779">
            <v>45364</v>
          </cell>
          <cell r="Y2779">
            <v>45309</v>
          </cell>
          <cell r="AC2779">
            <v>45361</v>
          </cell>
        </row>
        <row r="2780">
          <cell r="I2780" t="str">
            <v>EDI</v>
          </cell>
          <cell r="L2780">
            <v>2812</v>
          </cell>
          <cell r="N2780" t="str">
            <v>Production</v>
          </cell>
          <cell r="O2780" t="str">
            <v>No</v>
          </cell>
          <cell r="Q2780" t="str">
            <v>Live</v>
          </cell>
          <cell r="R2780">
            <v>45302.654270833344</v>
          </cell>
          <cell r="S2780" t="str">
            <v>Omnia Abdelaziz</v>
          </cell>
          <cell r="T2780">
            <v>45328</v>
          </cell>
          <cell r="U2780" t="str">
            <v>Miranda Naeem</v>
          </cell>
          <cell r="V2780">
            <v>45335</v>
          </cell>
          <cell r="W2780">
            <v>45351</v>
          </cell>
          <cell r="Y2780">
            <v>45309</v>
          </cell>
          <cell r="AC2780">
            <v>45349</v>
          </cell>
        </row>
        <row r="2781">
          <cell r="I2781" t="str">
            <v>EDI</v>
          </cell>
          <cell r="L2781">
            <v>2831</v>
          </cell>
          <cell r="N2781" t="str">
            <v>Production</v>
          </cell>
          <cell r="O2781" t="str">
            <v>No</v>
          </cell>
          <cell r="Q2781" t="str">
            <v>Cancelled</v>
          </cell>
          <cell r="R2781">
            <v>45302.633645833332</v>
          </cell>
          <cell r="S2781" t="str">
            <v>Andrew Ramy</v>
          </cell>
          <cell r="T2781">
            <v>45328</v>
          </cell>
          <cell r="U2781" t="str">
            <v>Miranda Naeem</v>
          </cell>
          <cell r="V2781">
            <v>45362</v>
          </cell>
          <cell r="W2781">
            <v>25569</v>
          </cell>
          <cell r="Y2781">
            <v>45320</v>
          </cell>
          <cell r="AC2781">
            <v>45371</v>
          </cell>
        </row>
        <row r="2782">
          <cell r="I2782" t="str">
            <v>EDI</v>
          </cell>
          <cell r="L2782">
            <v>2824</v>
          </cell>
          <cell r="N2782" t="str">
            <v>Production</v>
          </cell>
          <cell r="O2782" t="str">
            <v>No</v>
          </cell>
          <cell r="Q2782" t="str">
            <v>Live</v>
          </cell>
          <cell r="R2782">
            <v>45301.928020833337</v>
          </cell>
          <cell r="S2782" t="str">
            <v>Mina Adel</v>
          </cell>
          <cell r="T2782">
            <v>45326</v>
          </cell>
          <cell r="U2782" t="str">
            <v>Hans De Grouw</v>
          </cell>
          <cell r="W2782">
            <v>45394</v>
          </cell>
          <cell r="Y2782">
            <v>45303</v>
          </cell>
          <cell r="AC2782">
            <v>45390</v>
          </cell>
        </row>
        <row r="2783">
          <cell r="I2783" t="str">
            <v>EDI</v>
          </cell>
          <cell r="L2783">
            <v>2808</v>
          </cell>
          <cell r="N2783" t="str">
            <v>Production</v>
          </cell>
          <cell r="O2783" t="str">
            <v>No</v>
          </cell>
          <cell r="Q2783" t="str">
            <v>Live</v>
          </cell>
          <cell r="R2783">
            <v>45301.928020833337</v>
          </cell>
          <cell r="S2783" t="str">
            <v>Omnia Abdelaziz</v>
          </cell>
          <cell r="T2783">
            <v>45326</v>
          </cell>
          <cell r="U2783" t="str">
            <v>Hans De Grouw</v>
          </cell>
          <cell r="V2783">
            <v>45351</v>
          </cell>
          <cell r="W2783">
            <v>45456</v>
          </cell>
          <cell r="Y2783">
            <v>45302</v>
          </cell>
          <cell r="AC2783">
            <v>45455</v>
          </cell>
        </row>
        <row r="2784">
          <cell r="I2784" t="str">
            <v>EDI</v>
          </cell>
          <cell r="L2784">
            <v>2746</v>
          </cell>
          <cell r="N2784" t="str">
            <v>Production</v>
          </cell>
          <cell r="O2784" t="str">
            <v>Everything Benefits</v>
          </cell>
          <cell r="P2784" t="str">
            <v>Production</v>
          </cell>
          <cell r="Q2784" t="str">
            <v>Live</v>
          </cell>
          <cell r="R2784">
            <v>45301.819756944453</v>
          </cell>
          <cell r="S2784" t="str">
            <v>Mohamed Abdelhamed</v>
          </cell>
          <cell r="T2784">
            <v>45323</v>
          </cell>
          <cell r="U2784" t="str">
            <v>Matt Howell</v>
          </cell>
          <cell r="V2784">
            <v>45337</v>
          </cell>
          <cell r="W2784">
            <v>25569</v>
          </cell>
          <cell r="Y2784">
            <v>45323</v>
          </cell>
          <cell r="AC2784">
            <v>45373</v>
          </cell>
        </row>
        <row r="2785">
          <cell r="I2785" t="str">
            <v>EDI</v>
          </cell>
          <cell r="L2785">
            <v>547</v>
          </cell>
          <cell r="N2785" t="str">
            <v>Production</v>
          </cell>
          <cell r="O2785" t="str">
            <v>No</v>
          </cell>
          <cell r="Q2785" t="str">
            <v>Cancelled</v>
          </cell>
          <cell r="R2785">
            <v>45301.798182870371</v>
          </cell>
          <cell r="S2785" t="str">
            <v>Dina Medhat</v>
          </cell>
          <cell r="T2785">
            <v>45305</v>
          </cell>
          <cell r="U2785" t="str">
            <v>Miranda Naeem</v>
          </cell>
          <cell r="V2785">
            <v>44633</v>
          </cell>
          <cell r="W2785">
            <v>44650</v>
          </cell>
          <cell r="Y2785">
            <v>45305</v>
          </cell>
          <cell r="AC2785">
            <v>45320</v>
          </cell>
        </row>
        <row r="2786">
          <cell r="I2786" t="str">
            <v>EDI</v>
          </cell>
          <cell r="L2786">
            <v>662</v>
          </cell>
          <cell r="N2786" t="str">
            <v>Production</v>
          </cell>
          <cell r="O2786" t="str">
            <v>No</v>
          </cell>
          <cell r="Q2786" t="str">
            <v>Cancelled</v>
          </cell>
          <cell r="R2786">
            <v>45301.798171296286</v>
          </cell>
          <cell r="S2786" t="str">
            <v>Dina Medhat</v>
          </cell>
          <cell r="T2786">
            <v>45305</v>
          </cell>
          <cell r="U2786" t="str">
            <v>Miranda Naeem</v>
          </cell>
          <cell r="V2786">
            <v>44691</v>
          </cell>
          <cell r="W2786">
            <v>44875</v>
          </cell>
          <cell r="Y2786">
            <v>45305</v>
          </cell>
          <cell r="AC2786">
            <v>45320</v>
          </cell>
        </row>
        <row r="2787">
          <cell r="I2787" t="str">
            <v>EDI</v>
          </cell>
          <cell r="L2787">
            <v>2819</v>
          </cell>
          <cell r="N2787" t="str">
            <v>Production</v>
          </cell>
          <cell r="O2787" t="str">
            <v>No</v>
          </cell>
          <cell r="Q2787" t="str">
            <v>Cancelled</v>
          </cell>
          <cell r="R2787">
            <v>45301.607754629629</v>
          </cell>
          <cell r="S2787" t="str">
            <v>Zeyad Khaled</v>
          </cell>
          <cell r="T2787">
            <v>45323</v>
          </cell>
          <cell r="U2787" t="str">
            <v>Robbie Schappell</v>
          </cell>
          <cell r="V2787">
            <v>45341</v>
          </cell>
          <cell r="W2787">
            <v>45384</v>
          </cell>
          <cell r="Y2787">
            <v>45305</v>
          </cell>
          <cell r="AC2787">
            <v>45380</v>
          </cell>
        </row>
        <row r="2788">
          <cell r="I2788" t="str">
            <v>EDI</v>
          </cell>
          <cell r="L2788">
            <v>2810</v>
          </cell>
          <cell r="N2788" t="str">
            <v>Testing</v>
          </cell>
          <cell r="O2788" t="str">
            <v>No</v>
          </cell>
          <cell r="Q2788" t="str">
            <v>Cancelled</v>
          </cell>
          <cell r="R2788">
            <v>45301.606493055559</v>
          </cell>
          <cell r="S2788" t="str">
            <v>Hazem Rostom</v>
          </cell>
          <cell r="T2788">
            <v>45323</v>
          </cell>
          <cell r="U2788" t="str">
            <v>Tammy Davies</v>
          </cell>
          <cell r="Y2788">
            <v>45315</v>
          </cell>
        </row>
        <row r="2789">
          <cell r="I2789" t="str">
            <v>EDI</v>
          </cell>
          <cell r="L2789">
            <v>2801</v>
          </cell>
          <cell r="N2789" t="str">
            <v>Production</v>
          </cell>
          <cell r="O2789" t="str">
            <v>No</v>
          </cell>
          <cell r="Q2789" t="str">
            <v>Live</v>
          </cell>
          <cell r="R2789">
            <v>45300.949571759258</v>
          </cell>
          <cell r="S2789" t="str">
            <v>Alaa Yehia</v>
          </cell>
          <cell r="T2789">
            <v>45323</v>
          </cell>
          <cell r="U2789" t="str">
            <v>Tammy Davies</v>
          </cell>
          <cell r="V2789">
            <v>45368</v>
          </cell>
          <cell r="W2789">
            <v>45397</v>
          </cell>
          <cell r="Y2789">
            <v>45312</v>
          </cell>
          <cell r="AC2789">
            <v>45397</v>
          </cell>
        </row>
        <row r="2790">
          <cell r="I2790" t="str">
            <v>EDI</v>
          </cell>
          <cell r="L2790">
            <v>2834</v>
          </cell>
          <cell r="N2790" t="str">
            <v>Production</v>
          </cell>
          <cell r="O2790" t="str">
            <v>No</v>
          </cell>
          <cell r="Q2790" t="str">
            <v>Cancelled</v>
          </cell>
          <cell r="R2790">
            <v>45300.856249999997</v>
          </cell>
          <cell r="S2790" t="str">
            <v>Andrew Ramy</v>
          </cell>
          <cell r="T2790">
            <v>45330</v>
          </cell>
          <cell r="U2790" t="str">
            <v>Robbie Schappell</v>
          </cell>
          <cell r="V2790">
            <v>45345</v>
          </cell>
          <cell r="W2790">
            <v>45397</v>
          </cell>
          <cell r="Y2790">
            <v>45329</v>
          </cell>
          <cell r="AC2790">
            <v>45390</v>
          </cell>
        </row>
        <row r="2791">
          <cell r="I2791" t="str">
            <v>EDI</v>
          </cell>
          <cell r="N2791" t="str">
            <v>Requirements Gathering</v>
          </cell>
          <cell r="O2791" t="str">
            <v>No</v>
          </cell>
          <cell r="Q2791" t="str">
            <v>Cancelled</v>
          </cell>
          <cell r="R2791">
            <v>45300.856249999997</v>
          </cell>
          <cell r="S2791" t="str">
            <v>Sandra Adel</v>
          </cell>
          <cell r="T2791">
            <v>45301</v>
          </cell>
          <cell r="U2791" t="str">
            <v>Robbie Schappell</v>
          </cell>
        </row>
        <row r="2792">
          <cell r="I2792" t="str">
            <v>EDI</v>
          </cell>
          <cell r="L2792">
            <v>2823</v>
          </cell>
          <cell r="N2792" t="str">
            <v>Production</v>
          </cell>
          <cell r="O2792" t="str">
            <v>No</v>
          </cell>
          <cell r="Q2792" t="str">
            <v>Live</v>
          </cell>
          <cell r="R2792">
            <v>45300.856238425928</v>
          </cell>
          <cell r="S2792" t="str">
            <v>Mina George</v>
          </cell>
          <cell r="T2792">
            <v>45323</v>
          </cell>
          <cell r="U2792" t="str">
            <v>Robbie Schappell</v>
          </cell>
          <cell r="V2792">
            <v>45412</v>
          </cell>
          <cell r="W2792">
            <v>45600</v>
          </cell>
          <cell r="Y2792">
            <v>45303</v>
          </cell>
          <cell r="AC2792">
            <v>45600</v>
          </cell>
        </row>
        <row r="2793">
          <cell r="I2793" t="str">
            <v>EDI</v>
          </cell>
          <cell r="L2793">
            <v>2844</v>
          </cell>
          <cell r="N2793" t="str">
            <v>Production</v>
          </cell>
          <cell r="O2793" t="str">
            <v>No</v>
          </cell>
          <cell r="Q2793" t="str">
            <v>Cancelled</v>
          </cell>
          <cell r="R2793">
            <v>45300.734768518523</v>
          </cell>
          <cell r="S2793" t="str">
            <v>Joseph Atef</v>
          </cell>
          <cell r="T2793">
            <v>45323</v>
          </cell>
          <cell r="U2793" t="str">
            <v>Miranda Naeem</v>
          </cell>
          <cell r="V2793">
            <v>45404</v>
          </cell>
          <cell r="W2793">
            <v>45421</v>
          </cell>
          <cell r="Y2793">
            <v>45320</v>
          </cell>
          <cell r="AC2793">
            <v>45420</v>
          </cell>
        </row>
        <row r="2794">
          <cell r="I2794" t="str">
            <v>EDI</v>
          </cell>
          <cell r="L2794">
            <v>2815</v>
          </cell>
          <cell r="N2794" t="str">
            <v>Testing</v>
          </cell>
          <cell r="O2794" t="str">
            <v>No</v>
          </cell>
          <cell r="Q2794" t="str">
            <v>Cancelled</v>
          </cell>
          <cell r="R2794">
            <v>45300.718981481477</v>
          </cell>
          <cell r="S2794" t="str">
            <v>Andrew Ramy</v>
          </cell>
          <cell r="T2794">
            <v>45323</v>
          </cell>
          <cell r="U2794" t="str">
            <v>Tammy Davies</v>
          </cell>
          <cell r="V2794">
            <v>45349</v>
          </cell>
          <cell r="Y2794">
            <v>45302</v>
          </cell>
        </row>
        <row r="2795">
          <cell r="I2795" t="str">
            <v>EDI</v>
          </cell>
          <cell r="L2795">
            <v>2791</v>
          </cell>
          <cell r="N2795" t="str">
            <v>Production</v>
          </cell>
          <cell r="O2795" t="str">
            <v>No</v>
          </cell>
          <cell r="Q2795" t="str">
            <v>Cancelled</v>
          </cell>
          <cell r="R2795">
            <v>45300.643611111111</v>
          </cell>
          <cell r="S2795" t="str">
            <v>Zeyad Khaled</v>
          </cell>
          <cell r="T2795">
            <v>45321</v>
          </cell>
          <cell r="U2795" t="str">
            <v>Miranda Naeem</v>
          </cell>
          <cell r="V2795">
            <v>45341</v>
          </cell>
          <cell r="W2795">
            <v>25569</v>
          </cell>
          <cell r="Y2795">
            <v>45310</v>
          </cell>
          <cell r="AC2795">
            <v>45351</v>
          </cell>
        </row>
        <row r="2796">
          <cell r="I2796" t="str">
            <v>EDI</v>
          </cell>
          <cell r="L2796">
            <v>2811</v>
          </cell>
          <cell r="N2796" t="str">
            <v>Production</v>
          </cell>
          <cell r="O2796" t="str">
            <v>No</v>
          </cell>
          <cell r="Q2796" t="str">
            <v>Cancelled</v>
          </cell>
          <cell r="R2796">
            <v>45300.643611111111</v>
          </cell>
          <cell r="S2796" t="str">
            <v>Hazem Rostom</v>
          </cell>
          <cell r="T2796">
            <v>45321</v>
          </cell>
          <cell r="U2796" t="str">
            <v>Tyler  Raposa</v>
          </cell>
          <cell r="V2796">
            <v>45419</v>
          </cell>
          <cell r="W2796">
            <v>45580</v>
          </cell>
          <cell r="Y2796">
            <v>45313</v>
          </cell>
          <cell r="AC2796">
            <v>45575</v>
          </cell>
        </row>
        <row r="2797">
          <cell r="I2797" t="str">
            <v>EDI</v>
          </cell>
          <cell r="L2797">
            <v>2789</v>
          </cell>
          <cell r="N2797" t="str">
            <v>Production</v>
          </cell>
          <cell r="O2797" t="str">
            <v>No</v>
          </cell>
          <cell r="Q2797" t="str">
            <v>Cancelled</v>
          </cell>
          <cell r="R2797">
            <v>45300.62195601852</v>
          </cell>
          <cell r="S2797" t="str">
            <v>Alaa Yehia</v>
          </cell>
          <cell r="T2797">
            <v>45321</v>
          </cell>
          <cell r="U2797" t="str">
            <v>Miranda Naeem</v>
          </cell>
          <cell r="V2797">
            <v>45337</v>
          </cell>
          <cell r="W2797">
            <v>45351</v>
          </cell>
          <cell r="Y2797">
            <v>45305</v>
          </cell>
          <cell r="AC2797">
            <v>45349</v>
          </cell>
        </row>
        <row r="2798">
          <cell r="I2798" t="str">
            <v>EDI</v>
          </cell>
          <cell r="L2798">
            <v>2799</v>
          </cell>
          <cell r="N2798" t="str">
            <v>Production</v>
          </cell>
          <cell r="O2798" t="str">
            <v>No</v>
          </cell>
          <cell r="Q2798" t="str">
            <v>Cancelled</v>
          </cell>
          <cell r="R2798">
            <v>45300.62195601852</v>
          </cell>
          <cell r="S2798" t="str">
            <v>Mina Kamil</v>
          </cell>
          <cell r="T2798">
            <v>45321</v>
          </cell>
          <cell r="U2798" t="str">
            <v>Miranda Naeem</v>
          </cell>
          <cell r="W2798">
            <v>45398</v>
          </cell>
          <cell r="Y2798">
            <v>45311</v>
          </cell>
          <cell r="AC2798">
            <v>45391</v>
          </cell>
        </row>
        <row r="2799">
          <cell r="I2799" t="str">
            <v>EDI</v>
          </cell>
          <cell r="L2799">
            <v>2793</v>
          </cell>
          <cell r="N2799" t="str">
            <v>Production</v>
          </cell>
          <cell r="O2799" t="str">
            <v>No</v>
          </cell>
          <cell r="Q2799" t="str">
            <v>Cancelled</v>
          </cell>
          <cell r="R2799">
            <v>45299.740787037037</v>
          </cell>
          <cell r="S2799" t="str">
            <v>Omnia Abdelaziz</v>
          </cell>
          <cell r="T2799">
            <v>45321</v>
          </cell>
          <cell r="U2799" t="str">
            <v>Tammy Davies</v>
          </cell>
          <cell r="W2799">
            <v>45357</v>
          </cell>
          <cell r="Y2799">
            <v>45307</v>
          </cell>
          <cell r="AC2799">
            <v>45355</v>
          </cell>
        </row>
        <row r="2800">
          <cell r="I2800" t="str">
            <v>EDI</v>
          </cell>
          <cell r="L2800">
            <v>2785</v>
          </cell>
          <cell r="N2800" t="str">
            <v>Production</v>
          </cell>
          <cell r="O2800" t="str">
            <v>No</v>
          </cell>
          <cell r="Q2800" t="str">
            <v>Cancelled</v>
          </cell>
          <cell r="R2800">
            <v>45299.726400462961</v>
          </cell>
          <cell r="S2800" t="str">
            <v>Aya Fathy</v>
          </cell>
          <cell r="T2800">
            <v>45321</v>
          </cell>
          <cell r="U2800" t="str">
            <v>Matt Howell</v>
          </cell>
          <cell r="V2800">
            <v>25569</v>
          </cell>
          <cell r="W2800">
            <v>45398</v>
          </cell>
          <cell r="Y2800">
            <v>45302</v>
          </cell>
          <cell r="AC2800">
            <v>45397</v>
          </cell>
        </row>
        <row r="2801">
          <cell r="I2801" t="str">
            <v>EDI</v>
          </cell>
          <cell r="L2801">
            <v>2786</v>
          </cell>
          <cell r="N2801" t="str">
            <v>Production</v>
          </cell>
          <cell r="O2801" t="str">
            <v>No</v>
          </cell>
          <cell r="Q2801" t="str">
            <v>Live</v>
          </cell>
          <cell r="R2801">
            <v>45299.724016203712</v>
          </cell>
          <cell r="S2801" t="str">
            <v>Alaa Yehia</v>
          </cell>
          <cell r="T2801">
            <v>45319</v>
          </cell>
          <cell r="U2801" t="str">
            <v>Tammy Davies</v>
          </cell>
          <cell r="V2801">
            <v>45350</v>
          </cell>
          <cell r="W2801">
            <v>45426</v>
          </cell>
          <cell r="Y2801">
            <v>45302</v>
          </cell>
          <cell r="AC2801">
            <v>45420</v>
          </cell>
        </row>
        <row r="2802">
          <cell r="I2802" t="str">
            <v>EDI</v>
          </cell>
          <cell r="L2802">
            <v>2777</v>
          </cell>
          <cell r="N2802" t="str">
            <v>Testing</v>
          </cell>
          <cell r="O2802" t="str">
            <v>No</v>
          </cell>
          <cell r="Q2802" t="str">
            <v>Cancelled</v>
          </cell>
          <cell r="R2802">
            <v>45299.697442129633</v>
          </cell>
          <cell r="S2802" t="str">
            <v>Aya Fathy</v>
          </cell>
          <cell r="T2802">
            <v>45319</v>
          </cell>
          <cell r="U2802" t="str">
            <v>Hans De Grouw</v>
          </cell>
          <cell r="V2802">
            <v>45428</v>
          </cell>
          <cell r="Y2802">
            <v>45300</v>
          </cell>
        </row>
        <row r="2803">
          <cell r="I2803" t="str">
            <v>EDI</v>
          </cell>
          <cell r="L2803">
            <v>2787</v>
          </cell>
          <cell r="N2803" t="str">
            <v>Production</v>
          </cell>
          <cell r="O2803" t="str">
            <v>No</v>
          </cell>
          <cell r="Q2803" t="str">
            <v>Live</v>
          </cell>
          <cell r="R2803">
            <v>45299.697442129633</v>
          </cell>
          <cell r="S2803" t="str">
            <v>Hazem Rostom</v>
          </cell>
          <cell r="T2803">
            <v>45319</v>
          </cell>
          <cell r="U2803" t="str">
            <v>Hans De Grouw</v>
          </cell>
          <cell r="V2803">
            <v>45391</v>
          </cell>
          <cell r="W2803">
            <v>45414</v>
          </cell>
          <cell r="Y2803">
            <v>45304</v>
          </cell>
          <cell r="AC2803">
            <v>45412</v>
          </cell>
        </row>
        <row r="2804">
          <cell r="I2804" t="str">
            <v>EDI</v>
          </cell>
          <cell r="L2804">
            <v>2757</v>
          </cell>
          <cell r="N2804" t="str">
            <v>Production</v>
          </cell>
          <cell r="O2804" t="str">
            <v>No</v>
          </cell>
          <cell r="Q2804" t="str">
            <v>Live</v>
          </cell>
          <cell r="R2804">
            <v>45298.808263888888</v>
          </cell>
          <cell r="S2804" t="str">
            <v>Omnia Abdelaziz</v>
          </cell>
          <cell r="T2804">
            <v>45314</v>
          </cell>
          <cell r="U2804" t="str">
            <v>Trish Kalinczok</v>
          </cell>
          <cell r="V2804">
            <v>45326</v>
          </cell>
          <cell r="W2804">
            <v>45341</v>
          </cell>
          <cell r="Y2804">
            <v>45304</v>
          </cell>
          <cell r="AC2804">
            <v>45337</v>
          </cell>
        </row>
        <row r="2805">
          <cell r="I2805" t="str">
            <v>EDI</v>
          </cell>
          <cell r="L2805">
            <v>2780</v>
          </cell>
          <cell r="N2805" t="str">
            <v>Production</v>
          </cell>
          <cell r="O2805" t="str">
            <v>No</v>
          </cell>
          <cell r="Q2805" t="str">
            <v>Live</v>
          </cell>
          <cell r="R2805">
            <v>45296.708796296298</v>
          </cell>
          <cell r="S2805" t="str">
            <v>Mina Kamil</v>
          </cell>
          <cell r="T2805">
            <v>45319</v>
          </cell>
          <cell r="U2805" t="str">
            <v>Miranda Naeem</v>
          </cell>
          <cell r="W2805">
            <v>45363</v>
          </cell>
          <cell r="Y2805">
            <v>45318</v>
          </cell>
          <cell r="AC2805">
            <v>45361</v>
          </cell>
        </row>
        <row r="2806">
          <cell r="I2806" t="str">
            <v>EDI</v>
          </cell>
          <cell r="L2806">
            <v>2782</v>
          </cell>
          <cell r="N2806" t="str">
            <v>Production</v>
          </cell>
          <cell r="O2806" t="str">
            <v>No</v>
          </cell>
          <cell r="Q2806" t="str">
            <v>Cancelled</v>
          </cell>
          <cell r="R2806">
            <v>45296.659166666657</v>
          </cell>
          <cell r="S2806" t="str">
            <v>Zeyad Khaled</v>
          </cell>
          <cell r="T2806">
            <v>45314</v>
          </cell>
          <cell r="U2806" t="str">
            <v>Miranda Naeem</v>
          </cell>
          <cell r="W2806">
            <v>45351</v>
          </cell>
          <cell r="Y2806">
            <v>45311</v>
          </cell>
          <cell r="AC2806">
            <v>45349</v>
          </cell>
        </row>
        <row r="2807">
          <cell r="I2807" t="str">
            <v>EDI</v>
          </cell>
          <cell r="L2807">
            <v>2760</v>
          </cell>
          <cell r="N2807" t="str">
            <v>Production</v>
          </cell>
          <cell r="O2807" t="str">
            <v>No</v>
          </cell>
          <cell r="Q2807" t="str">
            <v>Cancelled</v>
          </cell>
          <cell r="R2807">
            <v>45296.659166666657</v>
          </cell>
          <cell r="S2807" t="str">
            <v>Mina Adel</v>
          </cell>
          <cell r="T2807">
            <v>45314</v>
          </cell>
          <cell r="U2807" t="str">
            <v>Hans De Grouw</v>
          </cell>
          <cell r="V2807">
            <v>45342</v>
          </cell>
          <cell r="W2807">
            <v>45540</v>
          </cell>
          <cell r="Y2807">
            <v>45311</v>
          </cell>
          <cell r="AC2807">
            <v>45533</v>
          </cell>
        </row>
        <row r="2808">
          <cell r="I2808" t="str">
            <v>EDI</v>
          </cell>
          <cell r="L2808">
            <v>2796</v>
          </cell>
          <cell r="N2808" t="str">
            <v>Production</v>
          </cell>
          <cell r="O2808" t="str">
            <v>No</v>
          </cell>
          <cell r="Q2808" t="str">
            <v>Cancelled</v>
          </cell>
          <cell r="R2808">
            <v>45296.617430555547</v>
          </cell>
          <cell r="S2808" t="str">
            <v>Mina Adel</v>
          </cell>
          <cell r="T2808">
            <v>45321</v>
          </cell>
          <cell r="U2808" t="str">
            <v>Miranda Naeem</v>
          </cell>
          <cell r="V2808">
            <v>45342</v>
          </cell>
          <cell r="W2808">
            <v>45419</v>
          </cell>
          <cell r="Y2808">
            <v>45319</v>
          </cell>
          <cell r="AC2808">
            <v>45419</v>
          </cell>
        </row>
        <row r="2809">
          <cell r="I2809" t="str">
            <v>EDI</v>
          </cell>
          <cell r="L2809">
            <v>2769</v>
          </cell>
          <cell r="N2809" t="str">
            <v>Production</v>
          </cell>
          <cell r="O2809" t="str">
            <v>No</v>
          </cell>
          <cell r="Q2809" t="str">
            <v>Cancelled</v>
          </cell>
          <cell r="R2809">
            <v>45296.592175925929</v>
          </cell>
          <cell r="S2809" t="str">
            <v>Mirna Azmy</v>
          </cell>
          <cell r="T2809">
            <v>45314</v>
          </cell>
          <cell r="U2809" t="str">
            <v>Jene Hamm</v>
          </cell>
          <cell r="V2809">
            <v>45358</v>
          </cell>
          <cell r="W2809">
            <v>45490</v>
          </cell>
          <cell r="Y2809">
            <v>45306</v>
          </cell>
          <cell r="AC2809">
            <v>45489</v>
          </cell>
        </row>
        <row r="2810">
          <cell r="I2810" t="str">
            <v>EDI</v>
          </cell>
          <cell r="L2810">
            <v>2758</v>
          </cell>
          <cell r="N2810" t="str">
            <v>Production</v>
          </cell>
          <cell r="O2810" t="str">
            <v>No</v>
          </cell>
          <cell r="Q2810" t="str">
            <v>Live</v>
          </cell>
          <cell r="R2810">
            <v>45295.770428240743</v>
          </cell>
          <cell r="S2810" t="str">
            <v>Aya Fathy</v>
          </cell>
          <cell r="T2810">
            <v>45419</v>
          </cell>
          <cell r="U2810" t="str">
            <v>Amy Bergstrom</v>
          </cell>
          <cell r="V2810">
            <v>45336</v>
          </cell>
          <cell r="W2810">
            <v>45523</v>
          </cell>
          <cell r="Y2810">
            <v>45308</v>
          </cell>
          <cell r="AC2810">
            <v>45518</v>
          </cell>
        </row>
        <row r="2811">
          <cell r="I2811" t="str">
            <v>EDI</v>
          </cell>
          <cell r="L2811">
            <v>2761</v>
          </cell>
          <cell r="N2811" t="str">
            <v>Production</v>
          </cell>
          <cell r="O2811" t="str">
            <v>No</v>
          </cell>
          <cell r="Q2811" t="str">
            <v>Cancelled</v>
          </cell>
          <cell r="R2811">
            <v>45295.640694444453</v>
          </cell>
          <cell r="S2811" t="str">
            <v>Mina George</v>
          </cell>
          <cell r="T2811">
            <v>45314</v>
          </cell>
          <cell r="U2811" t="str">
            <v>Hans De Grouw</v>
          </cell>
          <cell r="V2811">
            <v>45355</v>
          </cell>
          <cell r="W2811">
            <v>45566</v>
          </cell>
          <cell r="Y2811">
            <v>45299</v>
          </cell>
          <cell r="AC2811">
            <v>45566</v>
          </cell>
        </row>
        <row r="2812">
          <cell r="I2812" t="str">
            <v>EDI</v>
          </cell>
          <cell r="L2812">
            <v>2790</v>
          </cell>
          <cell r="N2812" t="str">
            <v>Production</v>
          </cell>
          <cell r="O2812" t="str">
            <v>No</v>
          </cell>
          <cell r="Q2812" t="str">
            <v>Cancelled</v>
          </cell>
          <cell r="R2812">
            <v>45295.639664351853</v>
          </cell>
          <cell r="S2812" t="str">
            <v>Mina George</v>
          </cell>
          <cell r="T2812">
            <v>45319</v>
          </cell>
          <cell r="U2812" t="str">
            <v>Hans De Grouw</v>
          </cell>
          <cell r="V2812">
            <v>45355</v>
          </cell>
          <cell r="W2812">
            <v>45567</v>
          </cell>
          <cell r="Y2812">
            <v>45299</v>
          </cell>
          <cell r="AC2812">
            <v>45566</v>
          </cell>
        </row>
        <row r="2813">
          <cell r="I2813" t="str">
            <v>EDI</v>
          </cell>
          <cell r="L2813">
            <v>2798</v>
          </cell>
          <cell r="N2813" t="str">
            <v>Production</v>
          </cell>
          <cell r="O2813" t="str">
            <v>No</v>
          </cell>
          <cell r="Q2813" t="str">
            <v>Cancelled</v>
          </cell>
          <cell r="R2813">
            <v>45294.73846064815</v>
          </cell>
          <cell r="S2813" t="str">
            <v>Aya Fathy</v>
          </cell>
          <cell r="T2813">
            <v>45323</v>
          </cell>
          <cell r="U2813" t="str">
            <v>Robbie Schappell</v>
          </cell>
          <cell r="V2813">
            <v>45329</v>
          </cell>
          <cell r="W2813">
            <v>45344</v>
          </cell>
          <cell r="Y2813">
            <v>45321</v>
          </cell>
          <cell r="AC2813">
            <v>45342</v>
          </cell>
        </row>
        <row r="2814">
          <cell r="I2814" t="str">
            <v>EDI</v>
          </cell>
          <cell r="L2814">
            <v>2773</v>
          </cell>
          <cell r="N2814" t="str">
            <v>Production</v>
          </cell>
          <cell r="O2814" t="str">
            <v>No</v>
          </cell>
          <cell r="Q2814" t="str">
            <v>Live</v>
          </cell>
          <cell r="R2814">
            <v>45294.73846064815</v>
          </cell>
          <cell r="S2814" t="str">
            <v>Omnia Abdelaziz</v>
          </cell>
          <cell r="T2814">
            <v>45319</v>
          </cell>
          <cell r="U2814" t="str">
            <v>Robbie Schappell</v>
          </cell>
          <cell r="V2814">
            <v>45348</v>
          </cell>
          <cell r="W2814">
            <v>45358</v>
          </cell>
          <cell r="Y2814">
            <v>45303</v>
          </cell>
          <cell r="AC2814">
            <v>45351</v>
          </cell>
        </row>
        <row r="2815">
          <cell r="I2815" t="str">
            <v>EDI</v>
          </cell>
          <cell r="N2815" t="str">
            <v>Requirements Gathering</v>
          </cell>
          <cell r="O2815" t="str">
            <v>No</v>
          </cell>
          <cell r="Q2815" t="str">
            <v>Cancelled</v>
          </cell>
          <cell r="R2815">
            <v>45294.680312500001</v>
          </cell>
          <cell r="S2815" t="str">
            <v>Abdulrahman Tarek</v>
          </cell>
          <cell r="T2815">
            <v>45295</v>
          </cell>
          <cell r="U2815" t="str">
            <v>Miranda Naeem</v>
          </cell>
        </row>
        <row r="2816">
          <cell r="I2816" t="str">
            <v>EDI</v>
          </cell>
          <cell r="N2816" t="str">
            <v>Requirements Gathering</v>
          </cell>
          <cell r="O2816" t="str">
            <v>No</v>
          </cell>
          <cell r="Q2816" t="str">
            <v>Cancelled</v>
          </cell>
          <cell r="R2816">
            <v>45294.680312500001</v>
          </cell>
          <cell r="S2816" t="str">
            <v>Sandra Adel</v>
          </cell>
          <cell r="T2816">
            <v>45295</v>
          </cell>
          <cell r="U2816" t="str">
            <v>Miranda Naeem</v>
          </cell>
        </row>
        <row r="2817">
          <cell r="I2817" t="str">
            <v>EDI</v>
          </cell>
          <cell r="L2817">
            <v>2753</v>
          </cell>
          <cell r="N2817" t="str">
            <v>Production</v>
          </cell>
          <cell r="O2817" t="str">
            <v>No</v>
          </cell>
          <cell r="Q2817" t="str">
            <v>Live</v>
          </cell>
          <cell r="R2817">
            <v>45294.680300925917</v>
          </cell>
          <cell r="S2817" t="str">
            <v>Zeyad Khaled</v>
          </cell>
          <cell r="T2817">
            <v>45309</v>
          </cell>
          <cell r="U2817" t="str">
            <v>Miranda Naeem</v>
          </cell>
          <cell r="V2817">
            <v>45349</v>
          </cell>
          <cell r="W2817">
            <v>45364</v>
          </cell>
          <cell r="Y2817">
            <v>45308</v>
          </cell>
          <cell r="AC2817">
            <v>45364</v>
          </cell>
        </row>
        <row r="2818">
          <cell r="I2818" t="str">
            <v>EDI</v>
          </cell>
          <cell r="L2818">
            <v>2843</v>
          </cell>
          <cell r="N2818" t="str">
            <v>Production</v>
          </cell>
          <cell r="O2818" t="str">
            <v>No</v>
          </cell>
          <cell r="Q2818" t="str">
            <v>Cancelled</v>
          </cell>
          <cell r="R2818">
            <v>45293.796446759261</v>
          </cell>
          <cell r="S2818" t="str">
            <v>Joseph Atef</v>
          </cell>
          <cell r="T2818">
            <v>45312</v>
          </cell>
          <cell r="U2818" t="str">
            <v>Hans De Grouw</v>
          </cell>
          <cell r="V2818">
            <v>45413</v>
          </cell>
          <cell r="W2818">
            <v>45442</v>
          </cell>
          <cell r="Y2818">
            <v>45309</v>
          </cell>
          <cell r="AC2818">
            <v>45439</v>
          </cell>
        </row>
        <row r="2819">
          <cell r="I2819" t="str">
            <v>EDI</v>
          </cell>
          <cell r="L2819">
            <v>2940</v>
          </cell>
          <cell r="N2819" t="str">
            <v>Production</v>
          </cell>
          <cell r="O2819" t="str">
            <v>No</v>
          </cell>
          <cell r="Q2819" t="str">
            <v>Live</v>
          </cell>
          <cell r="R2819">
            <v>45293.796446759261</v>
          </cell>
          <cell r="S2819" t="str">
            <v>Omnia Abdelaziz</v>
          </cell>
          <cell r="T2819">
            <v>45375</v>
          </cell>
          <cell r="U2819" t="str">
            <v>Hans De Grouw</v>
          </cell>
          <cell r="V2819">
            <v>45385</v>
          </cell>
          <cell r="W2819">
            <v>45463</v>
          </cell>
          <cell r="Y2819">
            <v>45373</v>
          </cell>
          <cell r="AC2819">
            <v>45456</v>
          </cell>
        </row>
        <row r="2820">
          <cell r="I2820" t="str">
            <v>EDI</v>
          </cell>
          <cell r="L2820">
            <v>2934</v>
          </cell>
          <cell r="N2820" t="str">
            <v>Production</v>
          </cell>
          <cell r="O2820" t="str">
            <v>No</v>
          </cell>
          <cell r="Q2820" t="str">
            <v>Live</v>
          </cell>
          <cell r="R2820">
            <v>45293.796435185177</v>
          </cell>
          <cell r="S2820" t="str">
            <v>Aya Fathy</v>
          </cell>
          <cell r="T2820">
            <v>45375</v>
          </cell>
          <cell r="U2820" t="str">
            <v>Hans De Grouw</v>
          </cell>
          <cell r="V2820">
            <v>25569</v>
          </cell>
          <cell r="W2820">
            <v>45603</v>
          </cell>
          <cell r="Y2820">
            <v>45373</v>
          </cell>
          <cell r="AC2820">
            <v>45600</v>
          </cell>
        </row>
        <row r="2821">
          <cell r="I2821" t="str">
            <v>EDI</v>
          </cell>
          <cell r="L2821">
            <v>2751</v>
          </cell>
          <cell r="N2821" t="str">
            <v>Production</v>
          </cell>
          <cell r="O2821" t="str">
            <v>No</v>
          </cell>
          <cell r="Q2821" t="str">
            <v>Cancelled</v>
          </cell>
          <cell r="R2821">
            <v>45293.796435185177</v>
          </cell>
          <cell r="S2821" t="str">
            <v>Mina Kamil</v>
          </cell>
          <cell r="T2821">
            <v>45309</v>
          </cell>
          <cell r="U2821" t="str">
            <v>Hans De Grouw</v>
          </cell>
          <cell r="W2821">
            <v>45491</v>
          </cell>
          <cell r="Y2821">
            <v>45307</v>
          </cell>
          <cell r="AC2821">
            <v>45488</v>
          </cell>
        </row>
        <row r="2822">
          <cell r="I2822" t="str">
            <v>EDI</v>
          </cell>
          <cell r="L2822">
            <v>2771</v>
          </cell>
          <cell r="N2822" t="str">
            <v>Production</v>
          </cell>
          <cell r="O2822" t="str">
            <v>No</v>
          </cell>
          <cell r="Q2822" t="str">
            <v>Cancelled</v>
          </cell>
          <cell r="R2822">
            <v>45293.696250000001</v>
          </cell>
          <cell r="S2822" t="str">
            <v>Hazem Rostom</v>
          </cell>
          <cell r="T2822">
            <v>45309</v>
          </cell>
          <cell r="U2822" t="str">
            <v>Miranda Naeem</v>
          </cell>
          <cell r="V2822">
            <v>45374</v>
          </cell>
          <cell r="W2822">
            <v>45427</v>
          </cell>
          <cell r="Y2822">
            <v>45296</v>
          </cell>
          <cell r="AC2822">
            <v>45421</v>
          </cell>
        </row>
        <row r="2823">
          <cell r="I2823" t="str">
            <v>EDI</v>
          </cell>
          <cell r="L2823">
            <v>2754</v>
          </cell>
          <cell r="N2823" t="str">
            <v>Production</v>
          </cell>
          <cell r="O2823" t="str">
            <v>No</v>
          </cell>
          <cell r="Q2823" t="str">
            <v>Live</v>
          </cell>
          <cell r="R2823">
            <v>45293.696238425917</v>
          </cell>
          <cell r="S2823" t="str">
            <v>Alaa Yehia</v>
          </cell>
          <cell r="T2823">
            <v>45309</v>
          </cell>
          <cell r="U2823" t="str">
            <v>Robbie Schappell</v>
          </cell>
          <cell r="V2823">
            <v>45364</v>
          </cell>
          <cell r="W2823">
            <v>45582</v>
          </cell>
          <cell r="Y2823">
            <v>45299</v>
          </cell>
          <cell r="AC2823">
            <v>45580</v>
          </cell>
        </row>
        <row r="2824">
          <cell r="I2824" t="str">
            <v>EDI</v>
          </cell>
          <cell r="L2824">
            <v>2750</v>
          </cell>
          <cell r="N2824" t="str">
            <v>Mapping</v>
          </cell>
          <cell r="O2824" t="str">
            <v>No</v>
          </cell>
          <cell r="Q2824" t="str">
            <v>Cancelled</v>
          </cell>
          <cell r="R2824">
            <v>45288.713263888887</v>
          </cell>
          <cell r="S2824" t="str">
            <v>Mina George</v>
          </cell>
          <cell r="T2824">
            <v>45309</v>
          </cell>
          <cell r="U2824" t="str">
            <v>Hans De Grouw</v>
          </cell>
          <cell r="Y2824">
            <v>45302</v>
          </cell>
        </row>
        <row r="2825">
          <cell r="I2825" t="str">
            <v>EDI</v>
          </cell>
          <cell r="L2825">
            <v>2813</v>
          </cell>
          <cell r="N2825" t="str">
            <v>Dataset Validation</v>
          </cell>
          <cell r="O2825" t="str">
            <v>No</v>
          </cell>
          <cell r="Q2825" t="str">
            <v>Cancelled</v>
          </cell>
          <cell r="R2825">
            <v>45288.711064814823</v>
          </cell>
          <cell r="S2825" t="str">
            <v>Aya Fathy</v>
          </cell>
          <cell r="T2825">
            <v>45328</v>
          </cell>
          <cell r="U2825" t="str">
            <v>Hans De Grouw</v>
          </cell>
          <cell r="Y2825">
            <v>45327</v>
          </cell>
        </row>
        <row r="2826">
          <cell r="I2826" t="str">
            <v>EDI</v>
          </cell>
          <cell r="L2826">
            <v>2868</v>
          </cell>
          <cell r="N2826" t="str">
            <v>Production</v>
          </cell>
          <cell r="O2826" t="str">
            <v>No</v>
          </cell>
          <cell r="Q2826" t="str">
            <v>Live</v>
          </cell>
          <cell r="R2826">
            <v>45287.852638888893</v>
          </cell>
          <cell r="S2826" t="str">
            <v>Andrew Ramy</v>
          </cell>
          <cell r="T2826">
            <v>45344</v>
          </cell>
          <cell r="U2826" t="str">
            <v>Hans De Grouw</v>
          </cell>
          <cell r="V2826">
            <v>45383</v>
          </cell>
          <cell r="W2826">
            <v>45568</v>
          </cell>
          <cell r="Y2826">
            <v>45343</v>
          </cell>
          <cell r="AC2826">
            <v>45567</v>
          </cell>
        </row>
        <row r="2827">
          <cell r="I2827" t="str">
            <v>EDI</v>
          </cell>
          <cell r="N2827" t="str">
            <v>Resource Assignment</v>
          </cell>
          <cell r="O2827" t="str">
            <v>No</v>
          </cell>
          <cell r="Q2827" t="str">
            <v>Cancelled</v>
          </cell>
          <cell r="R2827">
            <v>45287.775138888886</v>
          </cell>
          <cell r="S2827" t="str">
            <v>Dina Medhat</v>
          </cell>
          <cell r="T2827">
            <v>45296</v>
          </cell>
          <cell r="U2827" t="str">
            <v>Miranda Naeem</v>
          </cell>
          <cell r="Y2827">
            <v>45296</v>
          </cell>
        </row>
        <row r="2828">
          <cell r="I2828" t="str">
            <v>EDI</v>
          </cell>
          <cell r="N2828" t="str">
            <v>Resource Assignment</v>
          </cell>
          <cell r="O2828" t="str">
            <v>No</v>
          </cell>
          <cell r="Q2828" t="str">
            <v>Cancelled</v>
          </cell>
          <cell r="R2828">
            <v>45287.775138888886</v>
          </cell>
          <cell r="S2828" t="str">
            <v>Dina Medhat</v>
          </cell>
          <cell r="T2828">
            <v>45294</v>
          </cell>
          <cell r="U2828" t="str">
            <v>Miranda Naeem</v>
          </cell>
          <cell r="Y2828">
            <v>45294</v>
          </cell>
        </row>
        <row r="2829">
          <cell r="I2829" t="str">
            <v>EDI</v>
          </cell>
          <cell r="L2829">
            <v>2748</v>
          </cell>
          <cell r="N2829" t="str">
            <v>Production</v>
          </cell>
          <cell r="O2829" t="str">
            <v>No</v>
          </cell>
          <cell r="Q2829" t="str">
            <v>Cancelled</v>
          </cell>
          <cell r="R2829">
            <v>45287.703229166669</v>
          </cell>
          <cell r="S2829" t="str">
            <v>Aya Fathy</v>
          </cell>
          <cell r="T2829">
            <v>45309</v>
          </cell>
          <cell r="U2829" t="str">
            <v>Trish Kalinczok</v>
          </cell>
          <cell r="V2829">
            <v>45319</v>
          </cell>
          <cell r="W2829">
            <v>45330</v>
          </cell>
          <cell r="Y2829">
            <v>45294</v>
          </cell>
          <cell r="AC2829">
            <v>45326</v>
          </cell>
        </row>
        <row r="2830">
          <cell r="I2830" t="str">
            <v>EDI</v>
          </cell>
          <cell r="L2830">
            <v>2809</v>
          </cell>
          <cell r="N2830" t="str">
            <v>Production</v>
          </cell>
          <cell r="O2830" t="str">
            <v>No</v>
          </cell>
          <cell r="Q2830" t="str">
            <v>Live</v>
          </cell>
          <cell r="R2830">
            <v>45287.688298611109</v>
          </cell>
          <cell r="S2830" t="str">
            <v>Andrew Ramy</v>
          </cell>
          <cell r="T2830">
            <v>45419</v>
          </cell>
          <cell r="U2830" t="str">
            <v>Trish Kalinczok</v>
          </cell>
          <cell r="V2830">
            <v>45363</v>
          </cell>
          <cell r="W2830">
            <v>25569</v>
          </cell>
          <cell r="Y2830">
            <v>45327</v>
          </cell>
          <cell r="AC2830">
            <v>45566</v>
          </cell>
        </row>
        <row r="2831">
          <cell r="I2831" t="str">
            <v>EDI</v>
          </cell>
          <cell r="L2831">
            <v>2772</v>
          </cell>
          <cell r="N2831" t="str">
            <v>Production</v>
          </cell>
          <cell r="O2831" t="str">
            <v>No</v>
          </cell>
          <cell r="Q2831" t="str">
            <v>Live</v>
          </cell>
          <cell r="R2831">
            <v>45282.779340277782</v>
          </cell>
          <cell r="S2831" t="str">
            <v>Hazem Rostom</v>
          </cell>
          <cell r="T2831">
            <v>45315</v>
          </cell>
          <cell r="U2831" t="str">
            <v>Matt Howell</v>
          </cell>
          <cell r="V2831">
            <v>45371</v>
          </cell>
          <cell r="W2831">
            <v>45405</v>
          </cell>
          <cell r="Y2831">
            <v>45314</v>
          </cell>
          <cell r="AC2831">
            <v>45398</v>
          </cell>
        </row>
        <row r="2832">
          <cell r="I2832" t="str">
            <v>EDI</v>
          </cell>
          <cell r="L2832">
            <v>2778</v>
          </cell>
          <cell r="N2832" t="str">
            <v>Production</v>
          </cell>
          <cell r="O2832" t="str">
            <v>No</v>
          </cell>
          <cell r="Q2832" t="str">
            <v>Live</v>
          </cell>
          <cell r="R2832">
            <v>45282.779328703713</v>
          </cell>
          <cell r="S2832" t="str">
            <v>Mina Adel</v>
          </cell>
          <cell r="T2832">
            <v>45309</v>
          </cell>
          <cell r="U2832" t="str">
            <v>Matt Howell</v>
          </cell>
          <cell r="V2832">
            <v>45321</v>
          </cell>
          <cell r="W2832">
            <v>45330</v>
          </cell>
          <cell r="Y2832">
            <v>45294</v>
          </cell>
          <cell r="AC2832">
            <v>45326</v>
          </cell>
        </row>
        <row r="2833">
          <cell r="I2833" t="str">
            <v>EDI</v>
          </cell>
          <cell r="N2833" t="str">
            <v>Requirements Gathering</v>
          </cell>
          <cell r="O2833" t="str">
            <v>No</v>
          </cell>
          <cell r="Q2833" t="str">
            <v>Cancelled</v>
          </cell>
          <cell r="R2833">
            <v>45282.709166666667</v>
          </cell>
          <cell r="S2833" t="str">
            <v>Lourina Edmon</v>
          </cell>
          <cell r="T2833">
            <v>45284</v>
          </cell>
          <cell r="U2833" t="str">
            <v>Jene Hamm</v>
          </cell>
        </row>
        <row r="2834">
          <cell r="I2834" t="str">
            <v>EDI</v>
          </cell>
          <cell r="L2834">
            <v>2741</v>
          </cell>
          <cell r="N2834" t="str">
            <v>Production</v>
          </cell>
          <cell r="O2834" t="str">
            <v>No</v>
          </cell>
          <cell r="Q2834" t="str">
            <v>Live</v>
          </cell>
          <cell r="R2834">
            <v>45281.872152777767</v>
          </cell>
          <cell r="S2834" t="str">
            <v>Omnia Abdelaziz</v>
          </cell>
          <cell r="T2834">
            <v>45308</v>
          </cell>
          <cell r="U2834" t="str">
            <v>Jene Hamm</v>
          </cell>
          <cell r="V2834">
            <v>45320</v>
          </cell>
          <cell r="W2834">
            <v>45327</v>
          </cell>
          <cell r="Y2834">
            <v>45291</v>
          </cell>
          <cell r="AC2834">
            <v>45323</v>
          </cell>
        </row>
        <row r="2835">
          <cell r="I2835" t="str">
            <v>EDI</v>
          </cell>
          <cell r="L2835">
            <v>2738</v>
          </cell>
          <cell r="N2835" t="str">
            <v>Production</v>
          </cell>
          <cell r="O2835" t="str">
            <v>No</v>
          </cell>
          <cell r="Q2835" t="str">
            <v>Live</v>
          </cell>
          <cell r="R2835">
            <v>45281.775995370372</v>
          </cell>
          <cell r="S2835" t="str">
            <v>Mirna Azmy</v>
          </cell>
          <cell r="T2835">
            <v>45307</v>
          </cell>
          <cell r="U2835" t="str">
            <v>Hans De Grouw</v>
          </cell>
          <cell r="V2835">
            <v>45314</v>
          </cell>
          <cell r="W2835">
            <v>45328</v>
          </cell>
          <cell r="Y2835">
            <v>45288</v>
          </cell>
          <cell r="AC2835">
            <v>45322</v>
          </cell>
        </row>
        <row r="2836">
          <cell r="I2836" t="str">
            <v>EDI</v>
          </cell>
          <cell r="L2836">
            <v>2734</v>
          </cell>
          <cell r="N2836" t="str">
            <v>Production</v>
          </cell>
          <cell r="O2836" t="str">
            <v>No</v>
          </cell>
          <cell r="Q2836" t="str">
            <v>Cancelled</v>
          </cell>
          <cell r="R2836">
            <v>45281.718460648153</v>
          </cell>
          <cell r="S2836" t="str">
            <v>Mirna Azmy</v>
          </cell>
          <cell r="T2836">
            <v>45307</v>
          </cell>
          <cell r="U2836" t="str">
            <v>Jene Hamm</v>
          </cell>
          <cell r="V2836">
            <v>45312</v>
          </cell>
          <cell r="W2836">
            <v>45355</v>
          </cell>
          <cell r="Y2836">
            <v>45301</v>
          </cell>
          <cell r="AC2836">
            <v>45349</v>
          </cell>
        </row>
        <row r="2837">
          <cell r="I2837" t="str">
            <v>EDI</v>
          </cell>
          <cell r="L2837">
            <v>2740</v>
          </cell>
          <cell r="N2837" t="str">
            <v>Production</v>
          </cell>
          <cell r="O2837" t="str">
            <v>No</v>
          </cell>
          <cell r="Q2837" t="str">
            <v>Cancelled</v>
          </cell>
          <cell r="R2837">
            <v>45281.7108912037</v>
          </cell>
          <cell r="S2837" t="str">
            <v>Peter Fayez</v>
          </cell>
          <cell r="T2837">
            <v>45307</v>
          </cell>
          <cell r="U2837" t="str">
            <v>Miranda Naeem</v>
          </cell>
          <cell r="V2837">
            <v>25569</v>
          </cell>
          <cell r="W2837">
            <v>45349</v>
          </cell>
          <cell r="Y2837">
            <v>45300</v>
          </cell>
          <cell r="AC2837">
            <v>45345</v>
          </cell>
        </row>
        <row r="2838">
          <cell r="I2838" t="str">
            <v>EDI</v>
          </cell>
          <cell r="L2838">
            <v>2731</v>
          </cell>
          <cell r="N2838" t="str">
            <v>Production</v>
          </cell>
          <cell r="O2838" t="str">
            <v>No</v>
          </cell>
          <cell r="Q2838" t="str">
            <v>Live</v>
          </cell>
          <cell r="R2838">
            <v>45281.648506944453</v>
          </cell>
          <cell r="S2838" t="str">
            <v>Mirna Azmy</v>
          </cell>
          <cell r="T2838">
            <v>45307</v>
          </cell>
          <cell r="U2838" t="str">
            <v>Miranda Naeem</v>
          </cell>
          <cell r="V2838">
            <v>45319</v>
          </cell>
          <cell r="W2838">
            <v>45363</v>
          </cell>
          <cell r="Y2838">
            <v>45294</v>
          </cell>
          <cell r="AC2838">
            <v>45358</v>
          </cell>
        </row>
        <row r="2839">
          <cell r="I2839" t="str">
            <v>EDI</v>
          </cell>
          <cell r="L2839">
            <v>2730</v>
          </cell>
          <cell r="N2839" t="str">
            <v>Production</v>
          </cell>
          <cell r="O2839" t="str">
            <v>No</v>
          </cell>
          <cell r="Q2839" t="str">
            <v>Live</v>
          </cell>
          <cell r="R2839">
            <v>45281.590138888889</v>
          </cell>
          <cell r="S2839" t="str">
            <v>Peter Fayez</v>
          </cell>
          <cell r="T2839">
            <v>45305</v>
          </cell>
          <cell r="U2839" t="str">
            <v>Jene Hamm</v>
          </cell>
          <cell r="V2839">
            <v>45335</v>
          </cell>
          <cell r="W2839">
            <v>45412</v>
          </cell>
          <cell r="Y2839">
            <v>45294</v>
          </cell>
          <cell r="AC2839">
            <v>45408</v>
          </cell>
        </row>
        <row r="2840">
          <cell r="I2840" t="str">
            <v>EDI</v>
          </cell>
          <cell r="L2840">
            <v>2733</v>
          </cell>
          <cell r="N2840" t="str">
            <v>Production</v>
          </cell>
          <cell r="O2840" t="str">
            <v>No</v>
          </cell>
          <cell r="Q2840" t="str">
            <v>Live</v>
          </cell>
          <cell r="R2840">
            <v>45281.590138888889</v>
          </cell>
          <cell r="S2840" t="str">
            <v>Omnia Abdelaziz</v>
          </cell>
          <cell r="T2840">
            <v>45305</v>
          </cell>
          <cell r="U2840" t="str">
            <v>Jene Hamm</v>
          </cell>
          <cell r="V2840">
            <v>45397</v>
          </cell>
          <cell r="W2840">
            <v>45608</v>
          </cell>
          <cell r="Y2840">
            <v>45291</v>
          </cell>
          <cell r="AC2840">
            <v>45603</v>
          </cell>
        </row>
        <row r="2841">
          <cell r="I2841" t="str">
            <v>EDI</v>
          </cell>
          <cell r="L2841">
            <v>2732</v>
          </cell>
          <cell r="N2841" t="str">
            <v>Testing</v>
          </cell>
          <cell r="O2841" t="str">
            <v>No</v>
          </cell>
          <cell r="Q2841" t="str">
            <v>Cancelled</v>
          </cell>
          <cell r="R2841">
            <v>45280.846701388888</v>
          </cell>
          <cell r="S2841" t="str">
            <v>Mina Adel</v>
          </cell>
          <cell r="T2841">
            <v>45305</v>
          </cell>
          <cell r="U2841" t="str">
            <v>Trish Kalinczok</v>
          </cell>
          <cell r="Y2841">
            <v>45281</v>
          </cell>
        </row>
        <row r="2842">
          <cell r="I2842" t="str">
            <v>EDI</v>
          </cell>
          <cell r="L2842">
            <v>2781</v>
          </cell>
          <cell r="N2842" t="str">
            <v>Production</v>
          </cell>
          <cell r="O2842" t="str">
            <v>No</v>
          </cell>
          <cell r="Q2842" t="str">
            <v>Cancelled</v>
          </cell>
          <cell r="R2842">
            <v>45280.585729166669</v>
          </cell>
          <cell r="S2842" t="str">
            <v>Zeyad Khaled</v>
          </cell>
          <cell r="T2842">
            <v>45315</v>
          </cell>
          <cell r="U2842" t="str">
            <v>Jene Hamm</v>
          </cell>
          <cell r="V2842">
            <v>45348</v>
          </cell>
          <cell r="W2842">
            <v>45376</v>
          </cell>
          <cell r="Y2842">
            <v>45314</v>
          </cell>
          <cell r="AC2842">
            <v>45372</v>
          </cell>
        </row>
        <row r="2843">
          <cell r="I2843" t="str">
            <v>EDI</v>
          </cell>
          <cell r="L2843">
            <v>2728</v>
          </cell>
          <cell r="N2843" t="str">
            <v>Production</v>
          </cell>
          <cell r="O2843" t="str">
            <v>No</v>
          </cell>
          <cell r="Q2843" t="str">
            <v>Live</v>
          </cell>
          <cell r="R2843">
            <v>45280.580416666657</v>
          </cell>
          <cell r="S2843" t="str">
            <v>Mina George</v>
          </cell>
          <cell r="T2843">
            <v>45305</v>
          </cell>
          <cell r="U2843" t="str">
            <v>Jene Hamm</v>
          </cell>
          <cell r="V2843">
            <v>45316</v>
          </cell>
          <cell r="W2843">
            <v>45334</v>
          </cell>
          <cell r="Y2843">
            <v>45282</v>
          </cell>
          <cell r="AC2843">
            <v>45327</v>
          </cell>
        </row>
        <row r="2844">
          <cell r="I2844" t="str">
            <v>EDI</v>
          </cell>
          <cell r="L2844">
            <v>2774</v>
          </cell>
          <cell r="N2844" t="str">
            <v>Production</v>
          </cell>
          <cell r="O2844" t="str">
            <v>No</v>
          </cell>
          <cell r="Q2844" t="str">
            <v>Cancelled</v>
          </cell>
          <cell r="R2844">
            <v>45279.957384259258</v>
          </cell>
          <cell r="S2844" t="str">
            <v>Joseph Atef</v>
          </cell>
          <cell r="T2844">
            <v>45305</v>
          </cell>
          <cell r="U2844" t="str">
            <v>Tammy Davies</v>
          </cell>
          <cell r="V2844">
            <v>45347</v>
          </cell>
          <cell r="W2844">
            <v>45504</v>
          </cell>
          <cell r="Y2844">
            <v>45294</v>
          </cell>
          <cell r="AC2844">
            <v>45502</v>
          </cell>
        </row>
        <row r="2845">
          <cell r="I2845" t="str">
            <v>EDI</v>
          </cell>
          <cell r="L2845">
            <v>2794</v>
          </cell>
          <cell r="N2845" t="str">
            <v>Production</v>
          </cell>
          <cell r="O2845" t="str">
            <v>No</v>
          </cell>
          <cell r="Q2845" t="str">
            <v>Cancelled</v>
          </cell>
          <cell r="R2845">
            <v>45279.957372685189</v>
          </cell>
          <cell r="S2845" t="str">
            <v>Alaa Yehia</v>
          </cell>
          <cell r="T2845">
            <v>45328</v>
          </cell>
          <cell r="U2845" t="str">
            <v>Tammy Davies</v>
          </cell>
          <cell r="V2845">
            <v>45354</v>
          </cell>
          <cell r="W2845">
            <v>45558</v>
          </cell>
          <cell r="Y2845">
            <v>45294</v>
          </cell>
          <cell r="AC2845">
            <v>45557</v>
          </cell>
        </row>
        <row r="2846">
          <cell r="I2846" t="str">
            <v>EDI</v>
          </cell>
          <cell r="L2846">
            <v>2725</v>
          </cell>
          <cell r="N2846" t="str">
            <v>Production</v>
          </cell>
          <cell r="O2846" t="str">
            <v>No</v>
          </cell>
          <cell r="Q2846" t="str">
            <v>Cancelled</v>
          </cell>
          <cell r="R2846">
            <v>45279.893645833326</v>
          </cell>
          <cell r="S2846" t="str">
            <v>Aya Fathy</v>
          </cell>
          <cell r="T2846">
            <v>45305</v>
          </cell>
          <cell r="U2846" t="str">
            <v>Matt Howell</v>
          </cell>
          <cell r="V2846">
            <v>45319</v>
          </cell>
          <cell r="W2846">
            <v>45405</v>
          </cell>
          <cell r="Y2846">
            <v>45291</v>
          </cell>
          <cell r="AC2846">
            <v>45405</v>
          </cell>
        </row>
        <row r="2847">
          <cell r="I2847" t="str">
            <v>EDI</v>
          </cell>
          <cell r="L2847">
            <v>2832</v>
          </cell>
          <cell r="N2847" t="str">
            <v>Production</v>
          </cell>
          <cell r="O2847" t="str">
            <v>No</v>
          </cell>
          <cell r="Q2847" t="str">
            <v>Cancelled</v>
          </cell>
          <cell r="R2847">
            <v>45279.893634259257</v>
          </cell>
          <cell r="S2847" t="str">
            <v>Joseph Atef</v>
          </cell>
          <cell r="T2847">
            <v>45335</v>
          </cell>
          <cell r="U2847" t="str">
            <v>Matt Howell</v>
          </cell>
          <cell r="V2847">
            <v>45538</v>
          </cell>
          <cell r="W2847">
            <v>45561</v>
          </cell>
          <cell r="Y2847">
            <v>45334</v>
          </cell>
          <cell r="AC2847">
            <v>45560</v>
          </cell>
        </row>
        <row r="2848">
          <cell r="I2848" t="str">
            <v>EDI</v>
          </cell>
          <cell r="L2848">
            <v>2747</v>
          </cell>
          <cell r="N2848" t="str">
            <v>Testing</v>
          </cell>
          <cell r="O2848" t="str">
            <v>No</v>
          </cell>
          <cell r="Q2848" t="str">
            <v>Cancelled</v>
          </cell>
          <cell r="R2848">
            <v>45279.692835648151</v>
          </cell>
          <cell r="S2848" t="str">
            <v>Andrew Ramy</v>
          </cell>
          <cell r="T2848">
            <v>45305</v>
          </cell>
          <cell r="U2848" t="str">
            <v>Miranda Naeem</v>
          </cell>
          <cell r="V2848">
            <v>45312</v>
          </cell>
          <cell r="Y2848">
            <v>45299</v>
          </cell>
        </row>
        <row r="2849">
          <cell r="I2849" t="str">
            <v>EDI</v>
          </cell>
          <cell r="L2849">
            <v>2854</v>
          </cell>
          <cell r="N2849" t="str">
            <v>Production</v>
          </cell>
          <cell r="O2849" t="str">
            <v>No</v>
          </cell>
          <cell r="Q2849" t="str">
            <v>Cancelled</v>
          </cell>
          <cell r="R2849">
            <v>45278.634305555563</v>
          </cell>
          <cell r="S2849" t="str">
            <v>Andrew Ramy</v>
          </cell>
          <cell r="T2849">
            <v>45335</v>
          </cell>
          <cell r="U2849" t="str">
            <v>Jene Hamm</v>
          </cell>
          <cell r="V2849">
            <v>45350</v>
          </cell>
          <cell r="W2849">
            <v>45419</v>
          </cell>
          <cell r="Y2849">
            <v>45335</v>
          </cell>
          <cell r="AC2849">
            <v>45413</v>
          </cell>
        </row>
        <row r="2850">
          <cell r="I2850" t="str">
            <v>EDI</v>
          </cell>
          <cell r="L2850">
            <v>2779</v>
          </cell>
          <cell r="N2850" t="str">
            <v>Production</v>
          </cell>
          <cell r="O2850" t="str">
            <v>No</v>
          </cell>
          <cell r="Q2850" t="str">
            <v>Cancelled</v>
          </cell>
          <cell r="R2850">
            <v>45278.634305555563</v>
          </cell>
          <cell r="S2850" t="str">
            <v>Mina Kamil</v>
          </cell>
          <cell r="T2850">
            <v>45315</v>
          </cell>
          <cell r="U2850" t="str">
            <v>Jene Hamm</v>
          </cell>
          <cell r="W2850">
            <v>45475</v>
          </cell>
          <cell r="Y2850">
            <v>45313</v>
          </cell>
          <cell r="AC2850">
            <v>45474</v>
          </cell>
        </row>
        <row r="2851">
          <cell r="I2851" t="str">
            <v>EDI</v>
          </cell>
          <cell r="L2851">
            <v>2914</v>
          </cell>
          <cell r="N2851" t="str">
            <v>Production</v>
          </cell>
          <cell r="O2851" t="str">
            <v>No</v>
          </cell>
          <cell r="Q2851" t="str">
            <v>Cancelled</v>
          </cell>
          <cell r="R2851">
            <v>45278.634305555563</v>
          </cell>
          <cell r="S2851" t="str">
            <v>Andrew Ramy</v>
          </cell>
          <cell r="T2851">
            <v>45364</v>
          </cell>
          <cell r="U2851" t="str">
            <v>Jene Hamm</v>
          </cell>
          <cell r="V2851">
            <v>45414</v>
          </cell>
          <cell r="W2851">
            <v>45559</v>
          </cell>
          <cell r="Y2851">
            <v>45363</v>
          </cell>
          <cell r="AC2851">
            <v>45553</v>
          </cell>
        </row>
        <row r="2852">
          <cell r="I2852" t="str">
            <v>EDI</v>
          </cell>
          <cell r="N2852" t="str">
            <v>Requirements Gathering</v>
          </cell>
          <cell r="O2852" t="str">
            <v>No</v>
          </cell>
          <cell r="Q2852" t="str">
            <v>Cancelled</v>
          </cell>
          <cell r="R2852">
            <v>45278.634305555563</v>
          </cell>
          <cell r="S2852" t="str">
            <v>Sandra Adel</v>
          </cell>
          <cell r="T2852">
            <v>45279</v>
          </cell>
          <cell r="U2852" t="str">
            <v>Jene Hamm</v>
          </cell>
        </row>
        <row r="2853">
          <cell r="I2853" t="str">
            <v>EDI</v>
          </cell>
          <cell r="L2853">
            <v>2721</v>
          </cell>
          <cell r="N2853" t="str">
            <v>Production</v>
          </cell>
          <cell r="O2853" t="str">
            <v>No</v>
          </cell>
          <cell r="Q2853" t="str">
            <v>Cancelled</v>
          </cell>
          <cell r="R2853">
            <v>45278.568645833337</v>
          </cell>
          <cell r="S2853" t="str">
            <v>Aya Fathy</v>
          </cell>
          <cell r="T2853">
            <v>45301</v>
          </cell>
          <cell r="U2853" t="str">
            <v>Jene Hamm</v>
          </cell>
          <cell r="V2853">
            <v>45321</v>
          </cell>
          <cell r="W2853">
            <v>45428</v>
          </cell>
          <cell r="Y2853">
            <v>45281</v>
          </cell>
          <cell r="AC2853">
            <v>45427</v>
          </cell>
        </row>
        <row r="2854">
          <cell r="I2854" t="str">
            <v>EDI</v>
          </cell>
          <cell r="L2854">
            <v>2724</v>
          </cell>
          <cell r="N2854" t="str">
            <v>Production</v>
          </cell>
          <cell r="O2854" t="str">
            <v>No</v>
          </cell>
          <cell r="Q2854" t="str">
            <v>Cancelled</v>
          </cell>
          <cell r="R2854">
            <v>45278.568645833337</v>
          </cell>
          <cell r="S2854" t="str">
            <v>Mirna Azmy</v>
          </cell>
          <cell r="T2854">
            <v>45301</v>
          </cell>
          <cell r="U2854" t="str">
            <v>Jene Hamm</v>
          </cell>
          <cell r="V2854">
            <v>45336</v>
          </cell>
          <cell r="W2854">
            <v>45425</v>
          </cell>
          <cell r="Y2854">
            <v>45281</v>
          </cell>
          <cell r="AC2854">
            <v>45421</v>
          </cell>
        </row>
        <row r="2855">
          <cell r="I2855" t="str">
            <v>EDI</v>
          </cell>
          <cell r="L2855">
            <v>2705</v>
          </cell>
          <cell r="N2855" t="str">
            <v>Production</v>
          </cell>
          <cell r="O2855" t="str">
            <v>No</v>
          </cell>
          <cell r="Q2855" t="str">
            <v>Cancelled</v>
          </cell>
          <cell r="R2855">
            <v>45278.56863425926</v>
          </cell>
          <cell r="S2855" t="str">
            <v>Zeyad Khaled</v>
          </cell>
          <cell r="T2855">
            <v>45295</v>
          </cell>
          <cell r="U2855" t="str">
            <v>Jene Hamm</v>
          </cell>
          <cell r="V2855">
            <v>45321</v>
          </cell>
          <cell r="W2855">
            <v>45383</v>
          </cell>
          <cell r="Y2855">
            <v>45281</v>
          </cell>
          <cell r="AC2855">
            <v>45380</v>
          </cell>
        </row>
        <row r="2856">
          <cell r="I2856" t="str">
            <v>EDI</v>
          </cell>
          <cell r="L2856">
            <v>3076</v>
          </cell>
          <cell r="N2856" t="str">
            <v>Production</v>
          </cell>
          <cell r="O2856" t="str">
            <v>No</v>
          </cell>
          <cell r="Q2856" t="str">
            <v>Cancelled</v>
          </cell>
          <cell r="R2856">
            <v>45278.56863425926</v>
          </cell>
          <cell r="S2856" t="str">
            <v>Joseph Atef</v>
          </cell>
          <cell r="T2856">
            <v>45427</v>
          </cell>
          <cell r="U2856" t="str">
            <v>Jene Hamm</v>
          </cell>
          <cell r="V2856">
            <v>45475</v>
          </cell>
          <cell r="W2856">
            <v>45503</v>
          </cell>
          <cell r="Y2856">
            <v>45427</v>
          </cell>
          <cell r="AC2856">
            <v>45503</v>
          </cell>
        </row>
        <row r="2857">
          <cell r="I2857" t="str">
            <v>EDI</v>
          </cell>
          <cell r="L2857">
            <v>2722</v>
          </cell>
          <cell r="N2857" t="str">
            <v>Production</v>
          </cell>
          <cell r="O2857" t="str">
            <v>No</v>
          </cell>
          <cell r="Q2857" t="str">
            <v>Live</v>
          </cell>
          <cell r="R2857">
            <v>45274.904328703713</v>
          </cell>
          <cell r="S2857" t="str">
            <v>Salma Yamani</v>
          </cell>
          <cell r="T2857">
            <v>45295</v>
          </cell>
          <cell r="U2857" t="str">
            <v>Matt Howell</v>
          </cell>
          <cell r="V2857">
            <v>45403</v>
          </cell>
          <cell r="W2857">
            <v>25569</v>
          </cell>
          <cell r="Y2857">
            <v>45280</v>
          </cell>
          <cell r="AC2857">
            <v>45531</v>
          </cell>
        </row>
        <row r="2858">
          <cell r="I2858" t="str">
            <v>EDI</v>
          </cell>
          <cell r="L2858">
            <v>2714</v>
          </cell>
          <cell r="N2858" t="str">
            <v>Production</v>
          </cell>
          <cell r="O2858" t="str">
            <v>No</v>
          </cell>
          <cell r="Q2858" t="str">
            <v>Live</v>
          </cell>
          <cell r="R2858">
            <v>45274.904328703713</v>
          </cell>
          <cell r="S2858" t="str">
            <v>Mirna Azmy</v>
          </cell>
          <cell r="T2858">
            <v>45295</v>
          </cell>
          <cell r="U2858" t="str">
            <v>Matt Howell</v>
          </cell>
          <cell r="W2858">
            <v>45364</v>
          </cell>
          <cell r="Y2858">
            <v>45280</v>
          </cell>
          <cell r="AC2858">
            <v>45359</v>
          </cell>
        </row>
        <row r="2859">
          <cell r="I2859" t="str">
            <v>EDI</v>
          </cell>
          <cell r="L2859">
            <v>2718</v>
          </cell>
          <cell r="N2859" t="str">
            <v>Production</v>
          </cell>
          <cell r="O2859" t="str">
            <v>No</v>
          </cell>
          <cell r="Q2859" t="str">
            <v>Cancelled</v>
          </cell>
          <cell r="R2859">
            <v>45274.904328703713</v>
          </cell>
          <cell r="S2859" t="str">
            <v>Omnia Abdelaziz</v>
          </cell>
          <cell r="T2859">
            <v>45299</v>
          </cell>
          <cell r="U2859" t="str">
            <v>Matt Howell</v>
          </cell>
          <cell r="V2859">
            <v>45309</v>
          </cell>
          <cell r="W2859">
            <v>45316</v>
          </cell>
          <cell r="Y2859">
            <v>45284</v>
          </cell>
          <cell r="AC2859">
            <v>45312</v>
          </cell>
        </row>
        <row r="2860">
          <cell r="I2860" t="str">
            <v>EDI</v>
          </cell>
          <cell r="N2860" t="str">
            <v>Pending Start</v>
          </cell>
          <cell r="O2860" t="str">
            <v>No</v>
          </cell>
          <cell r="Q2860" t="str">
            <v>Cancelled</v>
          </cell>
          <cell r="R2860">
            <v>45274.869849537034</v>
          </cell>
          <cell r="U2860" t="str">
            <v>Matt Howell</v>
          </cell>
        </row>
        <row r="2861">
          <cell r="I2861" t="str">
            <v>EDI</v>
          </cell>
          <cell r="N2861" t="str">
            <v>Pending Start</v>
          </cell>
          <cell r="O2861" t="str">
            <v>No</v>
          </cell>
          <cell r="Q2861" t="str">
            <v>Cancelled</v>
          </cell>
          <cell r="R2861">
            <v>45274.869849537034</v>
          </cell>
          <cell r="U2861" t="str">
            <v>Matt Howell</v>
          </cell>
        </row>
        <row r="2862">
          <cell r="I2862" t="str">
            <v>EDI</v>
          </cell>
          <cell r="N2862" t="str">
            <v>Pending Start</v>
          </cell>
          <cell r="O2862" t="str">
            <v>No</v>
          </cell>
          <cell r="Q2862" t="str">
            <v>Cancelled</v>
          </cell>
          <cell r="R2862">
            <v>45274.869837962957</v>
          </cell>
          <cell r="U2862" t="str">
            <v>Matt Howell</v>
          </cell>
        </row>
        <row r="2863">
          <cell r="I2863" t="str">
            <v>EDI</v>
          </cell>
          <cell r="N2863" t="str">
            <v>Pending Start</v>
          </cell>
          <cell r="O2863" t="str">
            <v>No</v>
          </cell>
          <cell r="Q2863" t="str">
            <v>Cancelled</v>
          </cell>
          <cell r="R2863">
            <v>45274.866076388891</v>
          </cell>
          <cell r="U2863" t="str">
            <v>Matt Howell</v>
          </cell>
        </row>
        <row r="2864">
          <cell r="I2864" t="str">
            <v>EDI</v>
          </cell>
          <cell r="N2864" t="str">
            <v>Pending Start</v>
          </cell>
          <cell r="O2864" t="str">
            <v>No</v>
          </cell>
          <cell r="Q2864" t="str">
            <v>Cancelled</v>
          </cell>
          <cell r="R2864">
            <v>45274.866064814807</v>
          </cell>
          <cell r="U2864" t="str">
            <v>Matt Howell</v>
          </cell>
        </row>
        <row r="2865">
          <cell r="I2865" t="str">
            <v>EDI</v>
          </cell>
          <cell r="N2865" t="str">
            <v>Pending Start</v>
          </cell>
          <cell r="O2865" t="str">
            <v>No</v>
          </cell>
          <cell r="Q2865" t="str">
            <v>Cancelled</v>
          </cell>
          <cell r="R2865">
            <v>45274.866064814807</v>
          </cell>
          <cell r="U2865" t="str">
            <v>Matt Howell</v>
          </cell>
        </row>
        <row r="2866">
          <cell r="I2866" t="str">
            <v>EDI</v>
          </cell>
          <cell r="L2866">
            <v>2739</v>
          </cell>
          <cell r="N2866" t="str">
            <v>Production</v>
          </cell>
          <cell r="O2866" t="str">
            <v>No</v>
          </cell>
          <cell r="Q2866" t="str">
            <v>Live</v>
          </cell>
          <cell r="R2866">
            <v>45273.987546296303</v>
          </cell>
          <cell r="S2866" t="str">
            <v>Joseph Atef</v>
          </cell>
          <cell r="T2866">
            <v>45295</v>
          </cell>
          <cell r="U2866" t="str">
            <v>Matt Howell</v>
          </cell>
          <cell r="V2866">
            <v>45378</v>
          </cell>
          <cell r="W2866">
            <v>45442</v>
          </cell>
          <cell r="Y2866">
            <v>45282</v>
          </cell>
          <cell r="AC2866">
            <v>45431</v>
          </cell>
        </row>
        <row r="2867">
          <cell r="I2867" t="str">
            <v>EDI</v>
          </cell>
          <cell r="L2867">
            <v>2707</v>
          </cell>
          <cell r="N2867" t="str">
            <v>Production</v>
          </cell>
          <cell r="O2867" t="str">
            <v>No</v>
          </cell>
          <cell r="Q2867" t="str">
            <v>Live</v>
          </cell>
          <cell r="R2867">
            <v>45273.845219907409</v>
          </cell>
          <cell r="S2867" t="str">
            <v>Andrew Ramy</v>
          </cell>
          <cell r="T2867">
            <v>45288</v>
          </cell>
          <cell r="U2867" t="str">
            <v>Trish Kalinczok</v>
          </cell>
          <cell r="V2867">
            <v>45327</v>
          </cell>
          <cell r="W2867">
            <v>45523</v>
          </cell>
          <cell r="Y2867">
            <v>45274</v>
          </cell>
          <cell r="AC2867">
            <v>45523</v>
          </cell>
        </row>
        <row r="2868">
          <cell r="I2868" t="str">
            <v>EDI</v>
          </cell>
          <cell r="L2868">
            <v>2712</v>
          </cell>
          <cell r="N2868" t="str">
            <v>Production</v>
          </cell>
          <cell r="O2868" t="str">
            <v>No</v>
          </cell>
          <cell r="Q2868" t="str">
            <v>Cancelled</v>
          </cell>
          <cell r="R2868">
            <v>45272.735972222217</v>
          </cell>
          <cell r="S2868" t="str">
            <v>Mina George</v>
          </cell>
          <cell r="T2868">
            <v>45295</v>
          </cell>
          <cell r="U2868" t="str">
            <v>Trish Kalinczok</v>
          </cell>
          <cell r="V2868">
            <v>45330</v>
          </cell>
          <cell r="W2868">
            <v>25569</v>
          </cell>
          <cell r="Y2868">
            <v>45282</v>
          </cell>
          <cell r="AC2868">
            <v>45355</v>
          </cell>
        </row>
        <row r="2869">
          <cell r="I2869" t="str">
            <v>EDI</v>
          </cell>
          <cell r="L2869">
            <v>2792</v>
          </cell>
          <cell r="N2869" t="str">
            <v>Production</v>
          </cell>
          <cell r="O2869" t="str">
            <v>No</v>
          </cell>
          <cell r="Q2869" t="str">
            <v>Cancelled</v>
          </cell>
          <cell r="R2869">
            <v>45272.722615740742</v>
          </cell>
          <cell r="S2869" t="str">
            <v>Mina Adel</v>
          </cell>
          <cell r="T2869">
            <v>45319</v>
          </cell>
          <cell r="U2869" t="str">
            <v>Miranda Naeem</v>
          </cell>
          <cell r="V2869">
            <v>45350</v>
          </cell>
          <cell r="W2869">
            <v>45419</v>
          </cell>
          <cell r="Y2869">
            <v>45316</v>
          </cell>
          <cell r="AC2869">
            <v>45418</v>
          </cell>
        </row>
        <row r="2870">
          <cell r="I2870" t="str">
            <v>EDI</v>
          </cell>
          <cell r="L2870">
            <v>2711</v>
          </cell>
          <cell r="N2870" t="str">
            <v>Production</v>
          </cell>
          <cell r="O2870" t="str">
            <v>No</v>
          </cell>
          <cell r="Q2870" t="str">
            <v>Cancelled</v>
          </cell>
          <cell r="R2870">
            <v>45272.716944444437</v>
          </cell>
          <cell r="S2870" t="str">
            <v>Fady Maged</v>
          </cell>
          <cell r="T2870">
            <v>45295</v>
          </cell>
          <cell r="U2870" t="str">
            <v>Trish Kalinczok</v>
          </cell>
          <cell r="V2870">
            <v>45349</v>
          </cell>
          <cell r="W2870">
            <v>45397</v>
          </cell>
          <cell r="Y2870">
            <v>45277</v>
          </cell>
          <cell r="AC2870">
            <v>45397</v>
          </cell>
        </row>
        <row r="2871">
          <cell r="I2871" t="str">
            <v>EDI</v>
          </cell>
          <cell r="L2871">
            <v>2715</v>
          </cell>
          <cell r="N2871" t="str">
            <v>Production</v>
          </cell>
          <cell r="O2871" t="str">
            <v>No</v>
          </cell>
          <cell r="Q2871" t="str">
            <v>Live</v>
          </cell>
          <cell r="R2871">
            <v>45271.891446759262</v>
          </cell>
          <cell r="S2871" t="str">
            <v>Andrew Ramy</v>
          </cell>
          <cell r="T2871">
            <v>45295</v>
          </cell>
          <cell r="U2871" t="str">
            <v>Robbie Schappell</v>
          </cell>
          <cell r="V2871">
            <v>45305</v>
          </cell>
          <cell r="W2871">
            <v>45357</v>
          </cell>
          <cell r="Y2871">
            <v>45276</v>
          </cell>
          <cell r="AC2871">
            <v>45356</v>
          </cell>
        </row>
        <row r="2872">
          <cell r="I2872" t="str">
            <v>EDI</v>
          </cell>
          <cell r="L2872">
            <v>2717</v>
          </cell>
          <cell r="N2872" t="str">
            <v>Production</v>
          </cell>
          <cell r="O2872" t="str">
            <v>No</v>
          </cell>
          <cell r="Q2872" t="str">
            <v>Live</v>
          </cell>
          <cell r="R2872">
            <v>45271.891435185193</v>
          </cell>
          <cell r="S2872" t="str">
            <v>Peter Fayez</v>
          </cell>
          <cell r="T2872">
            <v>45299</v>
          </cell>
          <cell r="U2872" t="str">
            <v>Robbie Schappell</v>
          </cell>
          <cell r="V2872">
            <v>45327</v>
          </cell>
          <cell r="W2872">
            <v>45390</v>
          </cell>
          <cell r="Y2872">
            <v>45296</v>
          </cell>
          <cell r="AC2872">
            <v>45388</v>
          </cell>
        </row>
        <row r="2873">
          <cell r="I2873" t="str">
            <v>EDI</v>
          </cell>
          <cell r="N2873" t="str">
            <v>Requirements Gathering</v>
          </cell>
          <cell r="O2873" t="str">
            <v>No</v>
          </cell>
          <cell r="Q2873" t="str">
            <v>Cancelled</v>
          </cell>
          <cell r="R2873">
            <v>45271.723958333343</v>
          </cell>
          <cell r="S2873" t="str">
            <v>Lourina Edmon</v>
          </cell>
          <cell r="T2873">
            <v>45272</v>
          </cell>
          <cell r="U2873" t="str">
            <v>Miranda Naeem</v>
          </cell>
        </row>
        <row r="2874">
          <cell r="I2874" t="str">
            <v>EDI</v>
          </cell>
          <cell r="L2874">
            <v>2729</v>
          </cell>
          <cell r="N2874" t="str">
            <v>Production</v>
          </cell>
          <cell r="O2874" t="str">
            <v>No</v>
          </cell>
          <cell r="Q2874" t="str">
            <v>Live</v>
          </cell>
          <cell r="R2874">
            <v>45267.779016203713</v>
          </cell>
          <cell r="S2874" t="str">
            <v>Aya Fathy</v>
          </cell>
          <cell r="T2874">
            <v>45312</v>
          </cell>
          <cell r="U2874" t="str">
            <v>Hans De Grouw</v>
          </cell>
          <cell r="V2874">
            <v>45319</v>
          </cell>
          <cell r="W2874">
            <v>45341</v>
          </cell>
          <cell r="Y2874">
            <v>45310</v>
          </cell>
          <cell r="AC2874">
            <v>45331</v>
          </cell>
        </row>
        <row r="2875">
          <cell r="I2875" t="str">
            <v>EDI</v>
          </cell>
          <cell r="L2875">
            <v>2704</v>
          </cell>
          <cell r="N2875" t="str">
            <v>Production</v>
          </cell>
          <cell r="O2875" t="str">
            <v>No</v>
          </cell>
          <cell r="Q2875" t="str">
            <v>Cancelled</v>
          </cell>
          <cell r="R2875">
            <v>45267.642384259263</v>
          </cell>
          <cell r="S2875" t="str">
            <v>Aya Fathy</v>
          </cell>
          <cell r="T2875">
            <v>45288</v>
          </cell>
          <cell r="U2875" t="str">
            <v>Robbie Schappell</v>
          </cell>
          <cell r="V2875">
            <v>45299</v>
          </cell>
          <cell r="W2875">
            <v>45313</v>
          </cell>
          <cell r="Y2875">
            <v>45273</v>
          </cell>
          <cell r="AC2875">
            <v>45310</v>
          </cell>
        </row>
        <row r="2876">
          <cell r="I2876" t="str">
            <v>EDI</v>
          </cell>
          <cell r="L2876">
            <v>2775</v>
          </cell>
          <cell r="N2876" t="str">
            <v>Production</v>
          </cell>
          <cell r="O2876" t="str">
            <v>No</v>
          </cell>
          <cell r="Q2876" t="str">
            <v>Cancelled</v>
          </cell>
          <cell r="R2876">
            <v>45267.620219907411</v>
          </cell>
          <cell r="S2876" t="str">
            <v>Andrew Ramy</v>
          </cell>
          <cell r="T2876">
            <v>45314</v>
          </cell>
          <cell r="U2876" t="str">
            <v>Robbie Schappell</v>
          </cell>
          <cell r="V2876">
            <v>45320</v>
          </cell>
          <cell r="W2876">
            <v>45362</v>
          </cell>
          <cell r="Y2876">
            <v>45291</v>
          </cell>
          <cell r="AC2876">
            <v>45362</v>
          </cell>
        </row>
        <row r="2877">
          <cell r="I2877" t="str">
            <v>EDI</v>
          </cell>
          <cell r="N2877" t="str">
            <v>Pending Start</v>
          </cell>
          <cell r="O2877" t="str">
            <v>No</v>
          </cell>
          <cell r="Q2877" t="str">
            <v>Cancelled</v>
          </cell>
          <cell r="R2877">
            <v>45267.604131944441</v>
          </cell>
          <cell r="U2877" t="str">
            <v>Robbie Schappell</v>
          </cell>
        </row>
        <row r="2878">
          <cell r="I2878" t="str">
            <v>EDI</v>
          </cell>
          <cell r="L2878">
            <v>2666</v>
          </cell>
          <cell r="N2878" t="str">
            <v>Pending Start</v>
          </cell>
          <cell r="O2878" t="str">
            <v>Everything Benefits</v>
          </cell>
          <cell r="P2878" t="str">
            <v>Phase 1 - Map Built</v>
          </cell>
          <cell r="Q2878" t="str">
            <v>Cancelled</v>
          </cell>
          <cell r="R2878">
            <v>45267.359756944446</v>
          </cell>
          <cell r="U2878" t="str">
            <v>Jene Hamm</v>
          </cell>
        </row>
        <row r="2879">
          <cell r="I2879" t="str">
            <v>EDI</v>
          </cell>
          <cell r="L2879">
            <v>2701</v>
          </cell>
          <cell r="N2879" t="str">
            <v>Production</v>
          </cell>
          <cell r="O2879" t="str">
            <v>No</v>
          </cell>
          <cell r="Q2879" t="str">
            <v>Cancelled</v>
          </cell>
          <cell r="R2879">
            <v>45266.88958333333</v>
          </cell>
          <cell r="S2879" t="str">
            <v>Peter Fayez</v>
          </cell>
          <cell r="T2879">
            <v>45285</v>
          </cell>
          <cell r="U2879" t="str">
            <v>Hans De Grouw</v>
          </cell>
          <cell r="V2879">
            <v>45303</v>
          </cell>
          <cell r="W2879">
            <v>45323</v>
          </cell>
          <cell r="Y2879">
            <v>45274</v>
          </cell>
          <cell r="AC2879">
            <v>45322</v>
          </cell>
        </row>
        <row r="2880">
          <cell r="I2880" t="str">
            <v>EDI</v>
          </cell>
          <cell r="N2880" t="str">
            <v>Requirements Gathering</v>
          </cell>
          <cell r="O2880" t="str">
            <v>No</v>
          </cell>
          <cell r="Q2880" t="str">
            <v>Cancelled</v>
          </cell>
          <cell r="R2880">
            <v>45266.883634259262</v>
          </cell>
          <cell r="S2880" t="str">
            <v>Abdulrahman Tarek</v>
          </cell>
          <cell r="T2880">
            <v>45267</v>
          </cell>
          <cell r="U2880" t="str">
            <v>Hans De Grouw</v>
          </cell>
        </row>
        <row r="2881">
          <cell r="I2881" t="str">
            <v>EDI</v>
          </cell>
          <cell r="L2881">
            <v>2716</v>
          </cell>
          <cell r="N2881" t="str">
            <v>Production</v>
          </cell>
          <cell r="O2881" t="str">
            <v>No</v>
          </cell>
          <cell r="Q2881" t="str">
            <v>Live</v>
          </cell>
          <cell r="R2881">
            <v>45266.871759259258</v>
          </cell>
          <cell r="S2881" t="str">
            <v>Mina Adel</v>
          </cell>
          <cell r="T2881">
            <v>45293</v>
          </cell>
          <cell r="U2881" t="str">
            <v>Matt Howell</v>
          </cell>
          <cell r="V2881">
            <v>25569</v>
          </cell>
          <cell r="W2881">
            <v>45456</v>
          </cell>
          <cell r="Y2881">
            <v>45282</v>
          </cell>
          <cell r="AC2881">
            <v>45455</v>
          </cell>
        </row>
        <row r="2882">
          <cell r="I2882" t="str">
            <v>EDI</v>
          </cell>
          <cell r="L2882">
            <v>2833</v>
          </cell>
          <cell r="N2882" t="str">
            <v>Production</v>
          </cell>
          <cell r="O2882" t="str">
            <v>No</v>
          </cell>
          <cell r="Q2882" t="str">
            <v>Live</v>
          </cell>
          <cell r="R2882">
            <v>45266.829918981479</v>
          </cell>
          <cell r="S2882" t="str">
            <v>Zeyad Khaled</v>
          </cell>
          <cell r="T2882">
            <v>45419</v>
          </cell>
          <cell r="U2882" t="str">
            <v>Matt Howell</v>
          </cell>
          <cell r="V2882">
            <v>45343</v>
          </cell>
          <cell r="W2882">
            <v>45525</v>
          </cell>
          <cell r="Y2882">
            <v>45335</v>
          </cell>
          <cell r="AC2882">
            <v>45517</v>
          </cell>
        </row>
        <row r="2883">
          <cell r="I2883" t="str">
            <v>EDI</v>
          </cell>
          <cell r="L2883">
            <v>2726</v>
          </cell>
          <cell r="N2883" t="str">
            <v>Production</v>
          </cell>
          <cell r="O2883" t="str">
            <v>No</v>
          </cell>
          <cell r="Q2883" t="str">
            <v>Live</v>
          </cell>
          <cell r="R2883">
            <v>45266.829918981479</v>
          </cell>
          <cell r="S2883" t="str">
            <v>Zeyad Khaled</v>
          </cell>
          <cell r="T2883">
            <v>45285</v>
          </cell>
          <cell r="U2883" t="str">
            <v>Matt Howell</v>
          </cell>
          <cell r="V2883">
            <v>45330</v>
          </cell>
          <cell r="W2883">
            <v>45344</v>
          </cell>
          <cell r="Y2883">
            <v>45280</v>
          </cell>
          <cell r="AC2883">
            <v>45336</v>
          </cell>
        </row>
        <row r="2884">
          <cell r="I2884" t="str">
            <v>EDI</v>
          </cell>
          <cell r="L2884">
            <v>2727</v>
          </cell>
          <cell r="N2884" t="str">
            <v>Production</v>
          </cell>
          <cell r="O2884" t="str">
            <v>No</v>
          </cell>
          <cell r="Q2884" t="str">
            <v>Live</v>
          </cell>
          <cell r="R2884">
            <v>45266.829918981479</v>
          </cell>
          <cell r="S2884" t="str">
            <v>Alaa Yehia</v>
          </cell>
          <cell r="T2884">
            <v>45326</v>
          </cell>
          <cell r="U2884" t="str">
            <v>Matt Howell</v>
          </cell>
          <cell r="V2884">
            <v>45337</v>
          </cell>
          <cell r="W2884">
            <v>45358</v>
          </cell>
          <cell r="Y2884">
            <v>45281</v>
          </cell>
          <cell r="AC2884">
            <v>45357</v>
          </cell>
        </row>
        <row r="2885">
          <cell r="I2885" t="str">
            <v>EDI</v>
          </cell>
          <cell r="L2885">
            <v>3059</v>
          </cell>
          <cell r="N2885" t="str">
            <v>Production</v>
          </cell>
          <cell r="O2885" t="str">
            <v>No</v>
          </cell>
          <cell r="Q2885" t="str">
            <v>Live</v>
          </cell>
          <cell r="R2885">
            <v>45266.829907407409</v>
          </cell>
          <cell r="S2885" t="str">
            <v>Mina Kamil</v>
          </cell>
          <cell r="T2885">
            <v>45412</v>
          </cell>
          <cell r="U2885" t="str">
            <v>Matt Howell</v>
          </cell>
          <cell r="W2885">
            <v>45484</v>
          </cell>
          <cell r="Y2885">
            <v>45406</v>
          </cell>
          <cell r="AC2885">
            <v>45482</v>
          </cell>
        </row>
        <row r="2886">
          <cell r="I2886" t="str">
            <v>EDI</v>
          </cell>
          <cell r="L2886">
            <v>2684</v>
          </cell>
          <cell r="N2886" t="str">
            <v>Production</v>
          </cell>
          <cell r="O2886" t="str">
            <v>Everything Benefits</v>
          </cell>
          <cell r="P2886" t="str">
            <v>Production</v>
          </cell>
          <cell r="Q2886" t="str">
            <v>Live</v>
          </cell>
          <cell r="R2886">
            <v>45266.72384259259</v>
          </cell>
          <cell r="S2886" t="str">
            <v>Alaa Yehia</v>
          </cell>
          <cell r="T2886">
            <v>45274</v>
          </cell>
          <cell r="U2886" t="str">
            <v>Ian Dodd</v>
          </cell>
          <cell r="V2886">
            <v>45307</v>
          </cell>
          <cell r="W2886">
            <v>45330</v>
          </cell>
          <cell r="Y2886">
            <v>45271</v>
          </cell>
          <cell r="AC2886">
            <v>45326</v>
          </cell>
        </row>
        <row r="2887">
          <cell r="I2887" t="str">
            <v>EDI</v>
          </cell>
          <cell r="L2887">
            <v>2736</v>
          </cell>
          <cell r="N2887" t="str">
            <v>Production</v>
          </cell>
          <cell r="O2887" t="str">
            <v>Everything Benefits</v>
          </cell>
          <cell r="P2887" t="str">
            <v>Production</v>
          </cell>
          <cell r="Q2887" t="str">
            <v>Cancelled</v>
          </cell>
          <cell r="R2887">
            <v>45266.72383101852</v>
          </cell>
          <cell r="S2887" t="str">
            <v>Alaa Yehia</v>
          </cell>
          <cell r="T2887">
            <v>45295</v>
          </cell>
          <cell r="U2887" t="str">
            <v>Ian Dodd</v>
          </cell>
          <cell r="V2887">
            <v>45317</v>
          </cell>
          <cell r="W2887">
            <v>45401</v>
          </cell>
          <cell r="Y2887">
            <v>45291</v>
          </cell>
          <cell r="AC2887">
            <v>45400</v>
          </cell>
        </row>
        <row r="2888">
          <cell r="I2888" t="str">
            <v>EDI</v>
          </cell>
          <cell r="L2888">
            <v>2686</v>
          </cell>
          <cell r="N2888" t="str">
            <v>Production</v>
          </cell>
          <cell r="O2888" t="str">
            <v>Everything Benefits</v>
          </cell>
          <cell r="P2888" t="str">
            <v>Production</v>
          </cell>
          <cell r="Q2888" t="str">
            <v>Live</v>
          </cell>
          <cell r="R2888">
            <v>45266.72383101852</v>
          </cell>
          <cell r="S2888" t="str">
            <v>Alaa Yehia</v>
          </cell>
          <cell r="T2888">
            <v>45278</v>
          </cell>
          <cell r="U2888" t="str">
            <v>Ian Dodd</v>
          </cell>
          <cell r="V2888">
            <v>45309</v>
          </cell>
          <cell r="W2888">
            <v>45337</v>
          </cell>
          <cell r="Y2888">
            <v>45274</v>
          </cell>
          <cell r="AC2888">
            <v>45332</v>
          </cell>
        </row>
        <row r="2889">
          <cell r="I2889" t="str">
            <v>EDI</v>
          </cell>
          <cell r="L2889">
            <v>2770</v>
          </cell>
          <cell r="N2889" t="str">
            <v>Production</v>
          </cell>
          <cell r="O2889" t="str">
            <v>No</v>
          </cell>
          <cell r="Q2889" t="str">
            <v>Cancelled</v>
          </cell>
          <cell r="R2889">
            <v>45266.191608796304</v>
          </cell>
          <cell r="S2889" t="str">
            <v>Alaa Yehia</v>
          </cell>
          <cell r="T2889">
            <v>45314</v>
          </cell>
          <cell r="U2889" t="str">
            <v>Hans De Grouw</v>
          </cell>
          <cell r="V2889">
            <v>45327</v>
          </cell>
          <cell r="W2889">
            <v>45435</v>
          </cell>
          <cell r="Y2889">
            <v>45314</v>
          </cell>
          <cell r="AC2889">
            <v>45426</v>
          </cell>
        </row>
        <row r="2890">
          <cell r="I2890" t="str">
            <v>EDI</v>
          </cell>
          <cell r="L2890">
            <v>2708</v>
          </cell>
          <cell r="N2890" t="str">
            <v>Production</v>
          </cell>
          <cell r="O2890" t="str">
            <v>No</v>
          </cell>
          <cell r="Q2890" t="str">
            <v>Live</v>
          </cell>
          <cell r="R2890">
            <v>45265.961018518523</v>
          </cell>
          <cell r="S2890" t="str">
            <v>Joseph Atef</v>
          </cell>
          <cell r="T2890">
            <v>45285</v>
          </cell>
          <cell r="U2890" t="str">
            <v>Trish Kalinczok</v>
          </cell>
          <cell r="W2890">
            <v>45453</v>
          </cell>
          <cell r="Y2890">
            <v>45283</v>
          </cell>
          <cell r="AC2890">
            <v>45452</v>
          </cell>
        </row>
        <row r="2891">
          <cell r="I2891" t="str">
            <v>EDI</v>
          </cell>
          <cell r="L2891">
            <v>2695</v>
          </cell>
          <cell r="N2891" t="str">
            <v>Production</v>
          </cell>
          <cell r="O2891" t="str">
            <v>No</v>
          </cell>
          <cell r="Q2891" t="str">
            <v>Cancelled</v>
          </cell>
          <cell r="R2891">
            <v>45265.950555555559</v>
          </cell>
          <cell r="S2891" t="str">
            <v>Peter Fayez</v>
          </cell>
          <cell r="T2891">
            <v>45280</v>
          </cell>
          <cell r="U2891" t="str">
            <v>Trish Kalinczok</v>
          </cell>
          <cell r="V2891">
            <v>45300</v>
          </cell>
          <cell r="W2891">
            <v>45397</v>
          </cell>
          <cell r="Y2891">
            <v>45278</v>
          </cell>
          <cell r="AC2891">
            <v>45394</v>
          </cell>
        </row>
        <row r="2892">
          <cell r="I2892" t="str">
            <v>EDI</v>
          </cell>
          <cell r="L2892">
            <v>2699</v>
          </cell>
          <cell r="N2892" t="str">
            <v>Production</v>
          </cell>
          <cell r="O2892" t="str">
            <v>No</v>
          </cell>
          <cell r="Q2892" t="str">
            <v>Cancelled</v>
          </cell>
          <cell r="R2892">
            <v>45265.91615740741</v>
          </cell>
          <cell r="S2892" t="str">
            <v>Aya Fathy</v>
          </cell>
          <cell r="T2892">
            <v>45326</v>
          </cell>
          <cell r="U2892" t="str">
            <v>Matt Howell</v>
          </cell>
          <cell r="V2892">
            <v>45323</v>
          </cell>
          <cell r="W2892">
            <v>45358</v>
          </cell>
          <cell r="Y2892">
            <v>45274</v>
          </cell>
          <cell r="AC2892">
            <v>45358</v>
          </cell>
        </row>
        <row r="2893">
          <cell r="I2893" t="str">
            <v>EDI</v>
          </cell>
          <cell r="L2893">
            <v>2663</v>
          </cell>
          <cell r="N2893" t="str">
            <v>Production</v>
          </cell>
          <cell r="O2893" t="str">
            <v>eBenefits Network</v>
          </cell>
          <cell r="P2893" t="str">
            <v>Production</v>
          </cell>
          <cell r="Q2893" t="str">
            <v>Live</v>
          </cell>
          <cell r="R2893">
            <v>45265.759791666656</v>
          </cell>
          <cell r="S2893" t="str">
            <v>Karim Tarek</v>
          </cell>
          <cell r="T2893">
            <v>45266</v>
          </cell>
          <cell r="U2893" t="str">
            <v>Matt Howell</v>
          </cell>
          <cell r="V2893">
            <v>25569</v>
          </cell>
          <cell r="W2893">
            <v>45364</v>
          </cell>
          <cell r="AC2893">
            <v>45361</v>
          </cell>
        </row>
        <row r="2894">
          <cell r="I2894" t="str">
            <v>EDI</v>
          </cell>
          <cell r="L2894">
            <v>2691</v>
          </cell>
          <cell r="N2894" t="str">
            <v>Production</v>
          </cell>
          <cell r="O2894" t="str">
            <v>No</v>
          </cell>
          <cell r="Q2894" t="str">
            <v>Live</v>
          </cell>
          <cell r="R2894">
            <v>45265.758483796293</v>
          </cell>
          <cell r="S2894" t="str">
            <v>Alaa Yehia</v>
          </cell>
          <cell r="T2894">
            <v>45277</v>
          </cell>
          <cell r="U2894" t="str">
            <v>Trish Kalinczok</v>
          </cell>
          <cell r="V2894">
            <v>45307</v>
          </cell>
          <cell r="W2894">
            <v>45320</v>
          </cell>
          <cell r="Y2894">
            <v>45268</v>
          </cell>
          <cell r="AC2894">
            <v>45315</v>
          </cell>
        </row>
        <row r="2895">
          <cell r="I2895" t="str">
            <v>EDI</v>
          </cell>
          <cell r="L2895">
            <v>2703</v>
          </cell>
          <cell r="N2895" t="str">
            <v>Production</v>
          </cell>
          <cell r="O2895" t="str">
            <v>No</v>
          </cell>
          <cell r="Q2895" t="str">
            <v>Live</v>
          </cell>
          <cell r="R2895">
            <v>45265.676747685182</v>
          </cell>
          <cell r="S2895" t="str">
            <v>Omnia Abdelaziz</v>
          </cell>
          <cell r="T2895">
            <v>45280</v>
          </cell>
          <cell r="U2895" t="str">
            <v>Trish Kalinczok</v>
          </cell>
          <cell r="V2895">
            <v>45337</v>
          </cell>
          <cell r="W2895">
            <v>45369</v>
          </cell>
          <cell r="Y2895">
            <v>45278</v>
          </cell>
          <cell r="AC2895">
            <v>45368</v>
          </cell>
        </row>
        <row r="2896">
          <cell r="I2896" t="str">
            <v>EDI</v>
          </cell>
          <cell r="L2896">
            <v>2706</v>
          </cell>
          <cell r="N2896" t="str">
            <v>Production</v>
          </cell>
          <cell r="O2896" t="str">
            <v>No</v>
          </cell>
          <cell r="Q2896" t="str">
            <v>Live</v>
          </cell>
          <cell r="R2896">
            <v>45264.826782407406</v>
          </cell>
          <cell r="S2896" t="str">
            <v>Mina Adel</v>
          </cell>
          <cell r="T2896">
            <v>45280</v>
          </cell>
          <cell r="U2896" t="str">
            <v>Tammy Davies</v>
          </cell>
          <cell r="V2896">
            <v>45306</v>
          </cell>
          <cell r="W2896">
            <v>45343</v>
          </cell>
          <cell r="Y2896">
            <v>45268</v>
          </cell>
          <cell r="AC2896">
            <v>45341</v>
          </cell>
        </row>
        <row r="2897">
          <cell r="I2897" t="str">
            <v>EDI</v>
          </cell>
          <cell r="L2897">
            <v>2696</v>
          </cell>
          <cell r="N2897" t="str">
            <v>Production</v>
          </cell>
          <cell r="O2897" t="str">
            <v>No</v>
          </cell>
          <cell r="Q2897" t="str">
            <v>Live</v>
          </cell>
          <cell r="R2897">
            <v>45264.685185185182</v>
          </cell>
          <cell r="S2897" t="str">
            <v>Nada Ashraf</v>
          </cell>
          <cell r="T2897">
            <v>45335</v>
          </cell>
          <cell r="U2897" t="str">
            <v>Hans De Grouw</v>
          </cell>
          <cell r="V2897">
            <v>45323</v>
          </cell>
          <cell r="W2897">
            <v>45799</v>
          </cell>
          <cell r="Y2897">
            <v>45266</v>
          </cell>
          <cell r="AC2897">
            <v>45791</v>
          </cell>
        </row>
        <row r="2898">
          <cell r="I2898" t="str">
            <v>EDI</v>
          </cell>
          <cell r="L2898">
            <v>2694</v>
          </cell>
          <cell r="N2898" t="str">
            <v>Production</v>
          </cell>
          <cell r="O2898" t="str">
            <v>No</v>
          </cell>
          <cell r="Q2898" t="str">
            <v>Live</v>
          </cell>
          <cell r="R2898">
            <v>45264.685173611113</v>
          </cell>
          <cell r="S2898" t="str">
            <v>Aya Fathy</v>
          </cell>
          <cell r="T2898">
            <v>45280</v>
          </cell>
          <cell r="U2898" t="str">
            <v>Hans De Grouw</v>
          </cell>
          <cell r="V2898">
            <v>45362</v>
          </cell>
          <cell r="W2898">
            <v>45491</v>
          </cell>
          <cell r="Y2898">
            <v>45274</v>
          </cell>
          <cell r="AC2898">
            <v>45485</v>
          </cell>
        </row>
        <row r="2899">
          <cell r="I2899" t="str">
            <v>EDI</v>
          </cell>
          <cell r="L2899">
            <v>2690</v>
          </cell>
          <cell r="N2899" t="str">
            <v>Production</v>
          </cell>
          <cell r="O2899" t="str">
            <v>No</v>
          </cell>
          <cell r="Q2899" t="str">
            <v>Cancelled</v>
          </cell>
          <cell r="R2899">
            <v>45261.75640046296</v>
          </cell>
          <cell r="S2899" t="str">
            <v>Mirna Azmy</v>
          </cell>
          <cell r="T2899">
            <v>45280</v>
          </cell>
          <cell r="U2899" t="str">
            <v>Robbie Schappell</v>
          </cell>
          <cell r="V2899">
            <v>45302</v>
          </cell>
          <cell r="W2899">
            <v>45372</v>
          </cell>
          <cell r="Y2899">
            <v>45268</v>
          </cell>
          <cell r="AC2899">
            <v>45365</v>
          </cell>
        </row>
        <row r="2900">
          <cell r="I2900" t="str">
            <v>EDI</v>
          </cell>
          <cell r="L2900">
            <v>2689</v>
          </cell>
          <cell r="N2900" t="str">
            <v>Production</v>
          </cell>
          <cell r="O2900" t="str">
            <v>No</v>
          </cell>
          <cell r="Q2900" t="str">
            <v>Cancelled</v>
          </cell>
          <cell r="R2900">
            <v>45260.887430555558</v>
          </cell>
          <cell r="S2900" t="str">
            <v>Hazem Rostom</v>
          </cell>
          <cell r="T2900">
            <v>45326</v>
          </cell>
          <cell r="U2900" t="str">
            <v>Hans De Grouw</v>
          </cell>
          <cell r="V2900">
            <v>45322</v>
          </cell>
          <cell r="W2900">
            <v>45428</v>
          </cell>
          <cell r="Y2900">
            <v>45268</v>
          </cell>
          <cell r="AC2900">
            <v>45425</v>
          </cell>
        </row>
        <row r="2901">
          <cell r="I2901" t="str">
            <v>EDI</v>
          </cell>
          <cell r="L2901">
            <v>2702</v>
          </cell>
          <cell r="N2901" t="str">
            <v>Production</v>
          </cell>
          <cell r="O2901" t="str">
            <v>Everything Benefits</v>
          </cell>
          <cell r="P2901" t="str">
            <v>Production</v>
          </cell>
          <cell r="Q2901" t="str">
            <v>Live</v>
          </cell>
          <cell r="R2901">
            <v>45260.852916666663</v>
          </cell>
          <cell r="S2901" t="str">
            <v>Mohamed Abdelhamed</v>
          </cell>
          <cell r="T2901">
            <v>45284</v>
          </cell>
          <cell r="U2901" t="str">
            <v>Scott Henrehan</v>
          </cell>
          <cell r="V2901">
            <v>45330</v>
          </cell>
          <cell r="W2901">
            <v>45337</v>
          </cell>
          <cell r="Y2901">
            <v>45281</v>
          </cell>
          <cell r="AC2901">
            <v>45332</v>
          </cell>
        </row>
        <row r="2902">
          <cell r="I2902" t="str">
            <v>EDI</v>
          </cell>
          <cell r="L2902">
            <v>2907</v>
          </cell>
          <cell r="N2902" t="str">
            <v>Production</v>
          </cell>
          <cell r="O2902" t="str">
            <v>Everything Benefits</v>
          </cell>
          <cell r="P2902" t="str">
            <v>Production</v>
          </cell>
          <cell r="Q2902" t="str">
            <v>Live</v>
          </cell>
          <cell r="R2902">
            <v>45260.848807870367</v>
          </cell>
          <cell r="S2902" t="str">
            <v>Mohamed Abdelhamed</v>
          </cell>
          <cell r="T2902">
            <v>45358</v>
          </cell>
          <cell r="U2902" t="str">
            <v>Scott Henrehan</v>
          </cell>
          <cell r="V2902">
            <v>45377</v>
          </cell>
          <cell r="W2902">
            <v>45449</v>
          </cell>
          <cell r="Y2902">
            <v>45356</v>
          </cell>
          <cell r="AC2902">
            <v>45447</v>
          </cell>
        </row>
        <row r="2903">
          <cell r="I2903" t="str">
            <v>EDI</v>
          </cell>
          <cell r="L2903">
            <v>2681</v>
          </cell>
          <cell r="N2903" t="str">
            <v>Production</v>
          </cell>
          <cell r="O2903" t="str">
            <v>Everything Benefits</v>
          </cell>
          <cell r="P2903" t="str">
            <v>Production</v>
          </cell>
          <cell r="Q2903" t="str">
            <v>Live</v>
          </cell>
          <cell r="R2903">
            <v>45260.848807870367</v>
          </cell>
          <cell r="S2903" t="str">
            <v>Mohamed Abdelhamed</v>
          </cell>
          <cell r="T2903">
            <v>45274</v>
          </cell>
          <cell r="U2903" t="str">
            <v>Scott Henrehan</v>
          </cell>
          <cell r="W2903">
            <v>45330</v>
          </cell>
          <cell r="Y2903">
            <v>45272</v>
          </cell>
          <cell r="AC2903">
            <v>45326</v>
          </cell>
        </row>
        <row r="2904">
          <cell r="I2904" t="str">
            <v>EDI</v>
          </cell>
          <cell r="L2904">
            <v>2675</v>
          </cell>
          <cell r="N2904" t="str">
            <v>Production</v>
          </cell>
          <cell r="O2904" t="str">
            <v>Everything Benefits</v>
          </cell>
          <cell r="P2904" t="str">
            <v>Production</v>
          </cell>
          <cell r="Q2904" t="str">
            <v>Live</v>
          </cell>
          <cell r="R2904">
            <v>45260.848807870367</v>
          </cell>
          <cell r="S2904" t="str">
            <v>Mohamed Abdelhamed</v>
          </cell>
          <cell r="T2904">
            <v>45271</v>
          </cell>
          <cell r="U2904" t="str">
            <v>Scott Henrehan</v>
          </cell>
          <cell r="V2904">
            <v>45344</v>
          </cell>
          <cell r="W2904">
            <v>45421</v>
          </cell>
          <cell r="Y2904">
            <v>45267</v>
          </cell>
          <cell r="AC2904">
            <v>45419</v>
          </cell>
        </row>
        <row r="2905">
          <cell r="I2905" t="str">
            <v>EDI</v>
          </cell>
          <cell r="L2905">
            <v>2749</v>
          </cell>
          <cell r="N2905" t="str">
            <v>Production</v>
          </cell>
          <cell r="O2905" t="str">
            <v>Everything Benefits</v>
          </cell>
          <cell r="P2905" t="str">
            <v>Production</v>
          </cell>
          <cell r="Q2905" t="str">
            <v>Live</v>
          </cell>
          <cell r="R2905">
            <v>45260.848807870367</v>
          </cell>
          <cell r="S2905" t="str">
            <v>Salma Yamani</v>
          </cell>
          <cell r="T2905">
            <v>45295</v>
          </cell>
          <cell r="U2905" t="str">
            <v>Scott Henrehan</v>
          </cell>
          <cell r="V2905">
            <v>45328</v>
          </cell>
          <cell r="W2905">
            <v>45364</v>
          </cell>
          <cell r="Y2905">
            <v>45281</v>
          </cell>
          <cell r="AC2905">
            <v>45361</v>
          </cell>
        </row>
        <row r="2906">
          <cell r="I2906" t="str">
            <v>EDI</v>
          </cell>
          <cell r="L2906">
            <v>2670</v>
          </cell>
          <cell r="N2906" t="str">
            <v>Production</v>
          </cell>
          <cell r="O2906" t="str">
            <v>No</v>
          </cell>
          <cell r="Q2906" t="str">
            <v>Cancelled</v>
          </cell>
          <cell r="R2906">
            <v>45260.847268518519</v>
          </cell>
          <cell r="S2906" t="str">
            <v>Mina Adel</v>
          </cell>
          <cell r="T2906">
            <v>45271</v>
          </cell>
          <cell r="U2906" t="str">
            <v>Matt Howell</v>
          </cell>
          <cell r="V2906">
            <v>45306</v>
          </cell>
          <cell r="W2906">
            <v>25569</v>
          </cell>
          <cell r="Y2906">
            <v>45269</v>
          </cell>
          <cell r="AC2906">
            <v>45348</v>
          </cell>
        </row>
        <row r="2907">
          <cell r="I2907" t="str">
            <v>EDI</v>
          </cell>
          <cell r="N2907" t="str">
            <v>Resource Assignment</v>
          </cell>
          <cell r="O2907" t="str">
            <v>No</v>
          </cell>
          <cell r="Q2907" t="str">
            <v>Cancelled</v>
          </cell>
          <cell r="R2907">
            <v>45260.76357638889</v>
          </cell>
          <cell r="S2907" t="str">
            <v>Dina Medhat</v>
          </cell>
          <cell r="T2907">
            <v>45267</v>
          </cell>
          <cell r="U2907" t="str">
            <v>SheKas Grimes</v>
          </cell>
          <cell r="Y2907">
            <v>45267</v>
          </cell>
        </row>
        <row r="2908">
          <cell r="I2908" t="str">
            <v>EDI</v>
          </cell>
          <cell r="L2908">
            <v>2687</v>
          </cell>
          <cell r="N2908" t="str">
            <v>Production</v>
          </cell>
          <cell r="O2908" t="str">
            <v>No</v>
          </cell>
          <cell r="Q2908" t="str">
            <v>Live</v>
          </cell>
          <cell r="R2908">
            <v>45260.717557870368</v>
          </cell>
          <cell r="S2908" t="str">
            <v>Peter Fayez</v>
          </cell>
          <cell r="T2908">
            <v>45277</v>
          </cell>
          <cell r="U2908" t="str">
            <v>Matt Howell</v>
          </cell>
          <cell r="V2908">
            <v>45282</v>
          </cell>
          <cell r="W2908">
            <v>45330</v>
          </cell>
          <cell r="Y2908">
            <v>45270</v>
          </cell>
          <cell r="AC2908">
            <v>45328</v>
          </cell>
        </row>
        <row r="2909">
          <cell r="I2909" t="str">
            <v>EDI</v>
          </cell>
          <cell r="L2909">
            <v>2700</v>
          </cell>
          <cell r="N2909" t="str">
            <v>Production</v>
          </cell>
          <cell r="O2909" t="str">
            <v>No</v>
          </cell>
          <cell r="Q2909" t="str">
            <v>Cancelled</v>
          </cell>
          <cell r="R2909">
            <v>45260.687777777777</v>
          </cell>
          <cell r="S2909" t="str">
            <v>Mina George</v>
          </cell>
          <cell r="T2909">
            <v>45277</v>
          </cell>
          <cell r="U2909" t="str">
            <v>Jene Hamm</v>
          </cell>
          <cell r="V2909">
            <v>45334</v>
          </cell>
          <cell r="W2909">
            <v>25569</v>
          </cell>
          <cell r="Y2909">
            <v>45274</v>
          </cell>
          <cell r="AC2909">
            <v>45421</v>
          </cell>
        </row>
        <row r="2910">
          <cell r="I2910" t="str">
            <v>EDI</v>
          </cell>
          <cell r="L2910">
            <v>2683</v>
          </cell>
          <cell r="N2910" t="str">
            <v>Production</v>
          </cell>
          <cell r="O2910" t="str">
            <v>No</v>
          </cell>
          <cell r="Q2910" t="str">
            <v>Cancelled</v>
          </cell>
          <cell r="R2910">
            <v>45260.079131944447</v>
          </cell>
          <cell r="S2910" t="str">
            <v>Aya Fathy</v>
          </cell>
          <cell r="T2910">
            <v>45277</v>
          </cell>
          <cell r="U2910" t="str">
            <v>Hans De Grouw</v>
          </cell>
          <cell r="V2910">
            <v>45390</v>
          </cell>
          <cell r="W2910">
            <v>45477</v>
          </cell>
          <cell r="Y2910">
            <v>45264</v>
          </cell>
          <cell r="AC2910">
            <v>45468</v>
          </cell>
        </row>
        <row r="2911">
          <cell r="I2911" t="str">
            <v>EDI</v>
          </cell>
          <cell r="L2911">
            <v>2698</v>
          </cell>
          <cell r="N2911" t="str">
            <v>Production</v>
          </cell>
          <cell r="O2911" t="str">
            <v>No</v>
          </cell>
          <cell r="Q2911" t="str">
            <v>Live</v>
          </cell>
          <cell r="R2911">
            <v>45260.079131944447</v>
          </cell>
          <cell r="S2911" t="str">
            <v>Joseph Atef</v>
          </cell>
          <cell r="T2911">
            <v>45277</v>
          </cell>
          <cell r="U2911" t="str">
            <v>Hans De Grouw</v>
          </cell>
          <cell r="V2911">
            <v>45314</v>
          </cell>
          <cell r="W2911">
            <v>45323</v>
          </cell>
          <cell r="Y2911">
            <v>45263</v>
          </cell>
          <cell r="AC2911">
            <v>45323</v>
          </cell>
        </row>
        <row r="2912">
          <cell r="I2912" t="str">
            <v>EDI</v>
          </cell>
          <cell r="L2912">
            <v>2709</v>
          </cell>
          <cell r="N2912" t="str">
            <v>Production</v>
          </cell>
          <cell r="O2912" t="str">
            <v>No</v>
          </cell>
          <cell r="Q2912" t="str">
            <v>Live</v>
          </cell>
          <cell r="R2912">
            <v>45260.07912037037</v>
          </cell>
          <cell r="S2912" t="str">
            <v>Omnia Abdelaziz</v>
          </cell>
          <cell r="T2912">
            <v>45288</v>
          </cell>
          <cell r="U2912" t="str">
            <v>Hans De Grouw</v>
          </cell>
          <cell r="V2912">
            <v>45328</v>
          </cell>
          <cell r="W2912">
            <v>45337</v>
          </cell>
          <cell r="Y2912">
            <v>45286</v>
          </cell>
          <cell r="AC2912">
            <v>45335</v>
          </cell>
        </row>
        <row r="2913">
          <cell r="I2913" t="str">
            <v>EDI</v>
          </cell>
          <cell r="L2913">
            <v>2669</v>
          </cell>
          <cell r="N2913" t="str">
            <v>Production</v>
          </cell>
          <cell r="O2913" t="str">
            <v>No</v>
          </cell>
          <cell r="Q2913" t="str">
            <v>Live</v>
          </cell>
          <cell r="R2913">
            <v>45259.872013888889</v>
          </cell>
          <cell r="S2913" t="str">
            <v>Alaa Yehia</v>
          </cell>
          <cell r="T2913">
            <v>45273</v>
          </cell>
          <cell r="U2913" t="str">
            <v>Robbie Schappell</v>
          </cell>
          <cell r="V2913">
            <v>45342</v>
          </cell>
          <cell r="W2913">
            <v>45490</v>
          </cell>
          <cell r="Y2913">
            <v>45270</v>
          </cell>
          <cell r="AC2913">
            <v>45489</v>
          </cell>
        </row>
        <row r="2914">
          <cell r="I2914" t="str">
            <v>EDI</v>
          </cell>
          <cell r="L2914">
            <v>2692</v>
          </cell>
          <cell r="N2914" t="str">
            <v>Production</v>
          </cell>
          <cell r="O2914" t="str">
            <v>No</v>
          </cell>
          <cell r="Q2914" t="str">
            <v>Cancelled</v>
          </cell>
          <cell r="R2914">
            <v>45259.805289351847</v>
          </cell>
          <cell r="S2914" t="str">
            <v>Zeyad Khaled</v>
          </cell>
          <cell r="T2914">
            <v>45273</v>
          </cell>
          <cell r="U2914" t="str">
            <v>Tammy Davies</v>
          </cell>
          <cell r="V2914">
            <v>45315</v>
          </cell>
          <cell r="W2914">
            <v>45343</v>
          </cell>
          <cell r="Y2914">
            <v>45264</v>
          </cell>
          <cell r="AC2914">
            <v>45337</v>
          </cell>
        </row>
        <row r="2915">
          <cell r="I2915" t="str">
            <v>EDI</v>
          </cell>
          <cell r="L2915">
            <v>2668</v>
          </cell>
          <cell r="N2915" t="str">
            <v>Production</v>
          </cell>
          <cell r="O2915" t="str">
            <v>No</v>
          </cell>
          <cell r="Q2915" t="str">
            <v>Live</v>
          </cell>
          <cell r="R2915">
            <v>45259.743784722217</v>
          </cell>
          <cell r="S2915" t="str">
            <v>Mirna Azmy</v>
          </cell>
          <cell r="T2915">
            <v>45271</v>
          </cell>
          <cell r="U2915" t="str">
            <v>Tammy Davies</v>
          </cell>
          <cell r="V2915">
            <v>45302</v>
          </cell>
          <cell r="W2915">
            <v>45383</v>
          </cell>
          <cell r="Y2915">
            <v>45269</v>
          </cell>
          <cell r="AC2915">
            <v>45382</v>
          </cell>
        </row>
        <row r="2916">
          <cell r="I2916" t="str">
            <v>EDI</v>
          </cell>
          <cell r="N2916" t="str">
            <v>Requirements Gathering</v>
          </cell>
          <cell r="O2916" t="str">
            <v>No</v>
          </cell>
          <cell r="Q2916" t="str">
            <v>Cancelled</v>
          </cell>
          <cell r="R2916">
            <v>45259.664155092592</v>
          </cell>
          <cell r="S2916" t="str">
            <v>Sandra Adel</v>
          </cell>
          <cell r="T2916">
            <v>45260</v>
          </cell>
          <cell r="U2916" t="str">
            <v>Hans De Grouw</v>
          </cell>
        </row>
        <row r="2917">
          <cell r="I2917" t="str">
            <v>EDI</v>
          </cell>
          <cell r="L2917">
            <v>2672</v>
          </cell>
          <cell r="N2917" t="str">
            <v>Production</v>
          </cell>
          <cell r="O2917" t="str">
            <v>No</v>
          </cell>
          <cell r="Q2917" t="str">
            <v>Cancelled</v>
          </cell>
          <cell r="R2917">
            <v>45258.802812499998</v>
          </cell>
          <cell r="S2917" t="str">
            <v>Dina Medhat</v>
          </cell>
          <cell r="T2917">
            <v>45259</v>
          </cell>
          <cell r="U2917" t="str">
            <v>Robbie Schappell</v>
          </cell>
          <cell r="V2917">
            <v>45315</v>
          </cell>
          <cell r="W2917">
            <v>45397</v>
          </cell>
          <cell r="AC2917">
            <v>45407</v>
          </cell>
        </row>
        <row r="2918">
          <cell r="I2918" t="str">
            <v>EDI</v>
          </cell>
          <cell r="L2918">
            <v>2672</v>
          </cell>
          <cell r="N2918" t="str">
            <v>Production</v>
          </cell>
          <cell r="O2918" t="str">
            <v>No</v>
          </cell>
          <cell r="Q2918" t="str">
            <v>Cancelled</v>
          </cell>
          <cell r="R2918">
            <v>45258.800787037027</v>
          </cell>
          <cell r="S2918" t="str">
            <v>Mina Adel</v>
          </cell>
          <cell r="T2918">
            <v>45271</v>
          </cell>
          <cell r="U2918" t="str">
            <v>Robbie Schappell</v>
          </cell>
          <cell r="V2918">
            <v>45315</v>
          </cell>
          <cell r="W2918">
            <v>45397</v>
          </cell>
          <cell r="Y2918">
            <v>45269</v>
          </cell>
          <cell r="AC2918">
            <v>45391</v>
          </cell>
        </row>
        <row r="2919">
          <cell r="I2919" t="str">
            <v>EDI</v>
          </cell>
          <cell r="L2919">
            <v>2679</v>
          </cell>
          <cell r="N2919" t="str">
            <v>Production</v>
          </cell>
          <cell r="O2919" t="str">
            <v>No</v>
          </cell>
          <cell r="Q2919" t="str">
            <v>Live</v>
          </cell>
          <cell r="R2919">
            <v>45258.792685185188</v>
          </cell>
          <cell r="S2919" t="str">
            <v>Omnia Abdelaziz</v>
          </cell>
          <cell r="T2919">
            <v>45271</v>
          </cell>
          <cell r="U2919" t="str">
            <v>Trish Kalinczok</v>
          </cell>
          <cell r="W2919">
            <v>45320</v>
          </cell>
          <cell r="Y2919">
            <v>45265</v>
          </cell>
          <cell r="AC2919">
            <v>45319</v>
          </cell>
        </row>
        <row r="2920">
          <cell r="I2920" t="str">
            <v>EDI</v>
          </cell>
          <cell r="L2920">
            <v>2671</v>
          </cell>
          <cell r="N2920" t="str">
            <v>Production</v>
          </cell>
          <cell r="O2920" t="str">
            <v>No</v>
          </cell>
          <cell r="Q2920" t="str">
            <v>Live</v>
          </cell>
          <cell r="R2920">
            <v>45258.783402777779</v>
          </cell>
          <cell r="S2920" t="str">
            <v>Mina George</v>
          </cell>
          <cell r="T2920">
            <v>45266</v>
          </cell>
          <cell r="U2920" t="str">
            <v>Miranda Naeem</v>
          </cell>
          <cell r="V2920">
            <v>45293</v>
          </cell>
          <cell r="W2920">
            <v>45335</v>
          </cell>
          <cell r="Y2920">
            <v>45260</v>
          </cell>
          <cell r="AC2920">
            <v>45335</v>
          </cell>
        </row>
        <row r="2921">
          <cell r="I2921" t="str">
            <v>EDI</v>
          </cell>
          <cell r="L2921">
            <v>2688</v>
          </cell>
          <cell r="N2921" t="str">
            <v>Production</v>
          </cell>
          <cell r="O2921" t="str">
            <v>No</v>
          </cell>
          <cell r="Q2921" t="str">
            <v>Cancelled</v>
          </cell>
          <cell r="R2921">
            <v>45257.843553240738</v>
          </cell>
          <cell r="S2921" t="str">
            <v>Andrew Ramy</v>
          </cell>
          <cell r="T2921">
            <v>45277</v>
          </cell>
          <cell r="U2921" t="str">
            <v>Hans De Grouw</v>
          </cell>
          <cell r="V2921">
            <v>45350</v>
          </cell>
          <cell r="W2921">
            <v>45568</v>
          </cell>
          <cell r="Y2921">
            <v>45276</v>
          </cell>
          <cell r="AC2921">
            <v>45567</v>
          </cell>
        </row>
        <row r="2922">
          <cell r="I2922" t="str">
            <v>EDI</v>
          </cell>
          <cell r="L2922">
            <v>2680</v>
          </cell>
          <cell r="N2922" t="str">
            <v>Production</v>
          </cell>
          <cell r="O2922" t="str">
            <v>No</v>
          </cell>
          <cell r="Q2922" t="str">
            <v>Live</v>
          </cell>
          <cell r="R2922">
            <v>45257.682013888887</v>
          </cell>
          <cell r="S2922" t="str">
            <v>Peter Fayez</v>
          </cell>
          <cell r="T2922">
            <v>45273</v>
          </cell>
          <cell r="U2922" t="str">
            <v>Miranda Naeem</v>
          </cell>
          <cell r="W2922">
            <v>45307</v>
          </cell>
          <cell r="Y2922">
            <v>45271</v>
          </cell>
          <cell r="AC2922">
            <v>45307</v>
          </cell>
        </row>
        <row r="2923">
          <cell r="I2923" t="str">
            <v>EDI</v>
          </cell>
          <cell r="L2923">
            <v>2759</v>
          </cell>
          <cell r="N2923" t="str">
            <v>Production</v>
          </cell>
          <cell r="O2923" t="str">
            <v>No</v>
          </cell>
          <cell r="Q2923" t="str">
            <v>Cancelled</v>
          </cell>
          <cell r="R2923">
            <v>45255.920289351852</v>
          </cell>
          <cell r="S2923" t="str">
            <v>Mina Adel</v>
          </cell>
          <cell r="T2923">
            <v>45312</v>
          </cell>
          <cell r="U2923" t="str">
            <v>Hans De Grouw</v>
          </cell>
          <cell r="V2923">
            <v>45326</v>
          </cell>
          <cell r="W2923">
            <v>45827</v>
          </cell>
          <cell r="Y2923">
            <v>45309</v>
          </cell>
          <cell r="AC2923">
            <v>45494</v>
          </cell>
        </row>
        <row r="2924">
          <cell r="I2924" t="str">
            <v>EDI</v>
          </cell>
          <cell r="L2924">
            <v>2784</v>
          </cell>
          <cell r="N2924" t="str">
            <v>Production</v>
          </cell>
          <cell r="O2924" t="str">
            <v>No</v>
          </cell>
          <cell r="Q2924" t="str">
            <v>Live</v>
          </cell>
          <cell r="R2924">
            <v>45252.63453703704</v>
          </cell>
          <cell r="S2924" t="str">
            <v>Andrew Ramy</v>
          </cell>
          <cell r="T2924">
            <v>45321</v>
          </cell>
          <cell r="U2924" t="str">
            <v>Robbie Schappell</v>
          </cell>
          <cell r="V2924">
            <v>45323</v>
          </cell>
          <cell r="W2924">
            <v>45355</v>
          </cell>
          <cell r="Y2924">
            <v>45320</v>
          </cell>
          <cell r="AC2924">
            <v>45791</v>
          </cell>
        </row>
        <row r="2925">
          <cell r="I2925" t="str">
            <v>EDI</v>
          </cell>
          <cell r="L2925">
            <v>2649</v>
          </cell>
          <cell r="N2925" t="str">
            <v>Production</v>
          </cell>
          <cell r="O2925" t="str">
            <v>No</v>
          </cell>
          <cell r="Q2925" t="str">
            <v>Live</v>
          </cell>
          <cell r="R2925">
            <v>45251.938368055547</v>
          </cell>
          <cell r="S2925" t="str">
            <v>Omnia Abdelaziz</v>
          </cell>
          <cell r="T2925">
            <v>45252</v>
          </cell>
          <cell r="U2925" t="str">
            <v>Hans De Grouw</v>
          </cell>
          <cell r="V2925">
            <v>45272</v>
          </cell>
          <cell r="W2925">
            <v>45316</v>
          </cell>
          <cell r="Y2925">
            <v>45252</v>
          </cell>
          <cell r="AC2925">
            <v>45312</v>
          </cell>
        </row>
        <row r="2926">
          <cell r="I2926" t="str">
            <v>EDI</v>
          </cell>
          <cell r="L2926">
            <v>2673</v>
          </cell>
          <cell r="N2926" t="str">
            <v>Production</v>
          </cell>
          <cell r="O2926" t="str">
            <v>No</v>
          </cell>
          <cell r="Q2926" t="str">
            <v>Cancelled</v>
          </cell>
          <cell r="R2926">
            <v>45251.911678240736</v>
          </cell>
          <cell r="S2926" t="str">
            <v>Aya Fathy</v>
          </cell>
          <cell r="T2926">
            <v>45271</v>
          </cell>
          <cell r="U2926" t="str">
            <v>Trish Kalinczok</v>
          </cell>
          <cell r="V2926">
            <v>45337</v>
          </cell>
          <cell r="W2926">
            <v>45390</v>
          </cell>
          <cell r="Y2926">
            <v>45267</v>
          </cell>
          <cell r="AC2926">
            <v>45390</v>
          </cell>
        </row>
        <row r="2927">
          <cell r="I2927" t="str">
            <v>EDI</v>
          </cell>
          <cell r="L2927">
            <v>2665</v>
          </cell>
          <cell r="N2927" t="str">
            <v>Production</v>
          </cell>
          <cell r="O2927" t="str">
            <v>Everything Benefits</v>
          </cell>
          <cell r="P2927" t="str">
            <v>Production</v>
          </cell>
          <cell r="Q2927" t="str">
            <v>Live</v>
          </cell>
          <cell r="R2927">
            <v>45251.886400462958</v>
          </cell>
          <cell r="S2927" t="str">
            <v>Mina Kamil</v>
          </cell>
          <cell r="T2927">
            <v>45265</v>
          </cell>
          <cell r="U2927" t="str">
            <v>Matt Howell</v>
          </cell>
          <cell r="V2927">
            <v>45314</v>
          </cell>
          <cell r="W2927">
            <v>45342</v>
          </cell>
          <cell r="Y2927">
            <v>45258</v>
          </cell>
          <cell r="AC2927">
            <v>45340</v>
          </cell>
        </row>
        <row r="2928">
          <cell r="I2928" t="str">
            <v>EDI</v>
          </cell>
          <cell r="L2928">
            <v>2710</v>
          </cell>
          <cell r="N2928" t="str">
            <v>Production</v>
          </cell>
          <cell r="O2928" t="str">
            <v>No</v>
          </cell>
          <cell r="Q2928" t="str">
            <v>Cancelled</v>
          </cell>
          <cell r="R2928">
            <v>45251.053379629629</v>
          </cell>
          <cell r="S2928" t="str">
            <v>Omnia Abdelaziz</v>
          </cell>
          <cell r="T2928">
            <v>45293</v>
          </cell>
          <cell r="U2928" t="str">
            <v>Hans De Grouw</v>
          </cell>
          <cell r="V2928">
            <v>45342</v>
          </cell>
          <cell r="W2928">
            <v>45412</v>
          </cell>
          <cell r="Y2928">
            <v>45291</v>
          </cell>
          <cell r="AC2928">
            <v>45412</v>
          </cell>
        </row>
        <row r="2929">
          <cell r="I2929" t="str">
            <v>EDI</v>
          </cell>
          <cell r="L2929">
            <v>2677</v>
          </cell>
          <cell r="N2929" t="str">
            <v>Production</v>
          </cell>
          <cell r="O2929" t="str">
            <v>No</v>
          </cell>
          <cell r="Q2929" t="str">
            <v>Live</v>
          </cell>
          <cell r="R2929">
            <v>45251.053379629629</v>
          </cell>
          <cell r="S2929" t="str">
            <v>Mina Adel</v>
          </cell>
          <cell r="T2929">
            <v>45266</v>
          </cell>
          <cell r="U2929" t="str">
            <v>Hans De Grouw</v>
          </cell>
          <cell r="V2929">
            <v>25569</v>
          </cell>
          <cell r="W2929">
            <v>45631</v>
          </cell>
          <cell r="Y2929">
            <v>45263</v>
          </cell>
          <cell r="AC2929">
            <v>45622</v>
          </cell>
        </row>
        <row r="2930">
          <cell r="I2930" t="str">
            <v>EDI</v>
          </cell>
          <cell r="L2930">
            <v>2630</v>
          </cell>
          <cell r="N2930" t="str">
            <v>Production</v>
          </cell>
          <cell r="O2930" t="str">
            <v>No</v>
          </cell>
          <cell r="Q2930" t="str">
            <v>Live</v>
          </cell>
          <cell r="R2930">
            <v>45250.735856481479</v>
          </cell>
          <cell r="S2930" t="str">
            <v>Mirna Azmy</v>
          </cell>
          <cell r="T2930">
            <v>45252</v>
          </cell>
          <cell r="U2930" t="str">
            <v>Miranda Naeem</v>
          </cell>
          <cell r="V2930">
            <v>45322</v>
          </cell>
          <cell r="W2930">
            <v>45377</v>
          </cell>
          <cell r="Y2930">
            <v>45251</v>
          </cell>
          <cell r="AC2930">
            <v>45372</v>
          </cell>
        </row>
        <row r="2931">
          <cell r="I2931" t="str">
            <v>EDI</v>
          </cell>
          <cell r="L2931">
            <v>2693</v>
          </cell>
          <cell r="N2931" t="str">
            <v>Production</v>
          </cell>
          <cell r="O2931" t="str">
            <v>No</v>
          </cell>
          <cell r="Q2931" t="str">
            <v>Cancelled</v>
          </cell>
          <cell r="R2931">
            <v>45250.674178240741</v>
          </cell>
          <cell r="S2931" t="str">
            <v>Andrew Ramy</v>
          </cell>
          <cell r="T2931">
            <v>45280</v>
          </cell>
          <cell r="U2931" t="str">
            <v>Tammy Davies</v>
          </cell>
          <cell r="V2931">
            <v>45281</v>
          </cell>
          <cell r="W2931">
            <v>45330</v>
          </cell>
          <cell r="Y2931">
            <v>45278</v>
          </cell>
          <cell r="AC2931">
            <v>45329</v>
          </cell>
        </row>
        <row r="2932">
          <cell r="I2932" t="str">
            <v>EDI</v>
          </cell>
          <cell r="N2932" t="str">
            <v>Requirements Gathering</v>
          </cell>
          <cell r="O2932" t="str">
            <v>Everything Benefits</v>
          </cell>
          <cell r="P2932" t="str">
            <v>Phase 1 - Map Built</v>
          </cell>
          <cell r="Q2932" t="str">
            <v>Cancelled</v>
          </cell>
          <cell r="R2932">
            <v>45247.84302083333</v>
          </cell>
          <cell r="S2932" t="str">
            <v>Abdulrahman Tarek</v>
          </cell>
          <cell r="T2932">
            <v>45249</v>
          </cell>
          <cell r="U2932" t="str">
            <v>Peter Amoruso</v>
          </cell>
        </row>
        <row r="2933">
          <cell r="I2933" t="str">
            <v>EDI</v>
          </cell>
          <cell r="L2933">
            <v>2662</v>
          </cell>
          <cell r="N2933" t="str">
            <v>Production</v>
          </cell>
          <cell r="O2933" t="str">
            <v>No</v>
          </cell>
          <cell r="Q2933" t="str">
            <v>Live</v>
          </cell>
          <cell r="R2933">
            <v>45247.775810185187</v>
          </cell>
          <cell r="S2933" t="str">
            <v>Aya Fathy</v>
          </cell>
          <cell r="T2933">
            <v>45266</v>
          </cell>
          <cell r="U2933" t="str">
            <v>Miranda Naeem</v>
          </cell>
          <cell r="V2933">
            <v>45277</v>
          </cell>
          <cell r="W2933">
            <v>45300</v>
          </cell>
          <cell r="Y2933">
            <v>45257</v>
          </cell>
          <cell r="AC2933">
            <v>45299</v>
          </cell>
        </row>
        <row r="2934">
          <cell r="I2934" t="str">
            <v>EDI</v>
          </cell>
          <cell r="N2934" t="str">
            <v>Requirements Gathering</v>
          </cell>
          <cell r="O2934" t="str">
            <v>No</v>
          </cell>
          <cell r="Q2934" t="str">
            <v>Cancelled</v>
          </cell>
          <cell r="R2934">
            <v>45247.603182870371</v>
          </cell>
          <cell r="S2934" t="str">
            <v>Lourina Edmon</v>
          </cell>
          <cell r="T2934">
            <v>45249</v>
          </cell>
          <cell r="U2934" t="str">
            <v>Jay Karas</v>
          </cell>
        </row>
        <row r="2935">
          <cell r="I2935" t="str">
            <v>EDI</v>
          </cell>
          <cell r="L2935">
            <v>2667</v>
          </cell>
          <cell r="N2935" t="str">
            <v>Production</v>
          </cell>
          <cell r="O2935" t="str">
            <v>No</v>
          </cell>
          <cell r="Q2935" t="str">
            <v>Cancelled</v>
          </cell>
          <cell r="R2935">
            <v>45246.649826388893</v>
          </cell>
          <cell r="S2935" t="str">
            <v>Peter Fayez</v>
          </cell>
          <cell r="T2935">
            <v>45265</v>
          </cell>
          <cell r="U2935" t="str">
            <v>Miranda Naeem</v>
          </cell>
          <cell r="V2935">
            <v>45274</v>
          </cell>
          <cell r="W2935">
            <v>45335</v>
          </cell>
          <cell r="Y2935">
            <v>45257</v>
          </cell>
          <cell r="AC2935">
            <v>45335</v>
          </cell>
        </row>
        <row r="2936">
          <cell r="I2936" t="str">
            <v>EDI</v>
          </cell>
          <cell r="L2936">
            <v>2660</v>
          </cell>
          <cell r="N2936" t="str">
            <v>Production</v>
          </cell>
          <cell r="O2936" t="str">
            <v>No</v>
          </cell>
          <cell r="Q2936" t="str">
            <v>Cancelled</v>
          </cell>
          <cell r="R2936">
            <v>45245.692986111113</v>
          </cell>
          <cell r="S2936" t="str">
            <v>Aya Fathy</v>
          </cell>
          <cell r="T2936">
            <v>45265</v>
          </cell>
          <cell r="U2936" t="str">
            <v>Miranda Naeem</v>
          </cell>
          <cell r="V2936">
            <v>45288</v>
          </cell>
          <cell r="W2936">
            <v>45358</v>
          </cell>
          <cell r="Y2936">
            <v>45252</v>
          </cell>
          <cell r="AC2936">
            <v>45329</v>
          </cell>
        </row>
        <row r="2937">
          <cell r="I2937" t="str">
            <v>EDI</v>
          </cell>
          <cell r="N2937" t="str">
            <v>Requirements Gathering</v>
          </cell>
          <cell r="O2937" t="str">
            <v>No</v>
          </cell>
          <cell r="Q2937" t="str">
            <v>Cancelled</v>
          </cell>
          <cell r="R2937">
            <v>45244.945925925917</v>
          </cell>
          <cell r="S2937" t="str">
            <v>Abdulrahman Tarek</v>
          </cell>
          <cell r="T2937">
            <v>45245</v>
          </cell>
          <cell r="U2937" t="str">
            <v>Trish Kalinczok</v>
          </cell>
        </row>
        <row r="2938">
          <cell r="I2938" t="str">
            <v>EDI</v>
          </cell>
          <cell r="L2938">
            <v>2720</v>
          </cell>
          <cell r="N2938" t="str">
            <v>Production</v>
          </cell>
          <cell r="O2938" t="str">
            <v>No</v>
          </cell>
          <cell r="Q2938" t="str">
            <v>Live</v>
          </cell>
          <cell r="R2938">
            <v>45244.928993055553</v>
          </cell>
          <cell r="S2938" t="str">
            <v>Zeyad Khaled</v>
          </cell>
          <cell r="T2938">
            <v>45295</v>
          </cell>
          <cell r="U2938" t="str">
            <v>Trish Kalinczok</v>
          </cell>
          <cell r="V2938">
            <v>45314</v>
          </cell>
          <cell r="W2938">
            <v>45362</v>
          </cell>
          <cell r="Y2938">
            <v>45294</v>
          </cell>
          <cell r="AC2938">
            <v>45356</v>
          </cell>
        </row>
        <row r="2939">
          <cell r="I2939" t="str">
            <v>EDI</v>
          </cell>
          <cell r="L2939">
            <v>2650</v>
          </cell>
          <cell r="N2939" t="str">
            <v>Production</v>
          </cell>
          <cell r="O2939" t="str">
            <v>No</v>
          </cell>
          <cell r="Q2939" t="str">
            <v>Live</v>
          </cell>
          <cell r="R2939">
            <v>45244.858263888891</v>
          </cell>
          <cell r="S2939" t="str">
            <v>Zeyad Khaled</v>
          </cell>
          <cell r="T2939">
            <v>45260</v>
          </cell>
          <cell r="U2939" t="str">
            <v>Robbie Schappell</v>
          </cell>
          <cell r="V2939">
            <v>45341</v>
          </cell>
          <cell r="W2939">
            <v>45356</v>
          </cell>
          <cell r="Y2939">
            <v>45251</v>
          </cell>
          <cell r="AC2939">
            <v>45349</v>
          </cell>
        </row>
        <row r="2940">
          <cell r="I2940" t="str">
            <v>EDI</v>
          </cell>
          <cell r="L2940">
            <v>2661</v>
          </cell>
          <cell r="N2940" t="str">
            <v>Production</v>
          </cell>
          <cell r="O2940" t="str">
            <v>No</v>
          </cell>
          <cell r="Q2940" t="str">
            <v>Cancelled</v>
          </cell>
          <cell r="R2940">
            <v>45244.858252314807</v>
          </cell>
          <cell r="S2940" t="str">
            <v>Mirna Azmy</v>
          </cell>
          <cell r="T2940">
            <v>45264</v>
          </cell>
          <cell r="U2940" t="str">
            <v>Robbie Schappell</v>
          </cell>
          <cell r="V2940">
            <v>45319</v>
          </cell>
          <cell r="W2940">
            <v>45328</v>
          </cell>
          <cell r="Y2940">
            <v>45246</v>
          </cell>
          <cell r="AC2940">
            <v>45323</v>
          </cell>
        </row>
        <row r="2941">
          <cell r="I2941" t="str">
            <v>EDI</v>
          </cell>
          <cell r="L2941">
            <v>2658</v>
          </cell>
          <cell r="N2941" t="str">
            <v>Production</v>
          </cell>
          <cell r="O2941" t="str">
            <v>No</v>
          </cell>
          <cell r="Q2941" t="str">
            <v>Cancelled</v>
          </cell>
          <cell r="R2941">
            <v>45244.780532407407</v>
          </cell>
          <cell r="S2941" t="str">
            <v>Peter Fayez</v>
          </cell>
          <cell r="T2941">
            <v>45264</v>
          </cell>
          <cell r="U2941" t="str">
            <v>Miranda Naeem</v>
          </cell>
          <cell r="W2941">
            <v>25569</v>
          </cell>
          <cell r="Y2941">
            <v>45251</v>
          </cell>
          <cell r="AC2941">
            <v>45274</v>
          </cell>
        </row>
        <row r="2942">
          <cell r="I2942" t="str">
            <v>EDI</v>
          </cell>
          <cell r="L2942">
            <v>2652</v>
          </cell>
          <cell r="N2942" t="str">
            <v>Production</v>
          </cell>
          <cell r="O2942" t="str">
            <v>No</v>
          </cell>
          <cell r="Q2942" t="str">
            <v>Live</v>
          </cell>
          <cell r="R2942">
            <v>45244.55537037037</v>
          </cell>
          <cell r="S2942" t="str">
            <v>Peter Fayez</v>
          </cell>
          <cell r="T2942">
            <v>45260</v>
          </cell>
          <cell r="U2942" t="str">
            <v>Hans De Grouw</v>
          </cell>
          <cell r="V2942">
            <v>45299</v>
          </cell>
          <cell r="W2942">
            <v>25569</v>
          </cell>
          <cell r="Y2942">
            <v>45249</v>
          </cell>
          <cell r="AC2942">
            <v>45321</v>
          </cell>
        </row>
        <row r="2943">
          <cell r="I2943" t="str">
            <v>EDI</v>
          </cell>
          <cell r="L2943">
            <v>2659</v>
          </cell>
          <cell r="N2943" t="str">
            <v>Production</v>
          </cell>
          <cell r="O2943" t="str">
            <v>No</v>
          </cell>
          <cell r="Q2943" t="str">
            <v>Live</v>
          </cell>
          <cell r="R2943">
            <v>45244.55537037037</v>
          </cell>
          <cell r="S2943" t="str">
            <v>Peter Fayez</v>
          </cell>
          <cell r="T2943">
            <v>45260</v>
          </cell>
          <cell r="U2943" t="str">
            <v>Hans De Grouw</v>
          </cell>
          <cell r="V2943">
            <v>45385</v>
          </cell>
          <cell r="W2943">
            <v>25569</v>
          </cell>
          <cell r="Y2943">
            <v>45250</v>
          </cell>
          <cell r="AC2943">
            <v>45391</v>
          </cell>
        </row>
        <row r="2944">
          <cell r="I2944" t="str">
            <v>EDI</v>
          </cell>
          <cell r="L2944">
            <v>2646</v>
          </cell>
          <cell r="N2944" t="str">
            <v>Production</v>
          </cell>
          <cell r="O2944" t="str">
            <v>No</v>
          </cell>
          <cell r="Q2944" t="str">
            <v>Live</v>
          </cell>
          <cell r="R2944">
            <v>45244.555358796293</v>
          </cell>
          <cell r="S2944" t="str">
            <v>Peter Fayez</v>
          </cell>
          <cell r="T2944">
            <v>45259</v>
          </cell>
          <cell r="U2944" t="str">
            <v>Hans De Grouw</v>
          </cell>
          <cell r="W2944">
            <v>45295</v>
          </cell>
          <cell r="Y2944">
            <v>45252</v>
          </cell>
          <cell r="AC2944">
            <v>45279</v>
          </cell>
        </row>
        <row r="2945">
          <cell r="I2945" t="str">
            <v>EDI</v>
          </cell>
          <cell r="L2945">
            <v>2644</v>
          </cell>
          <cell r="N2945" t="str">
            <v>Production</v>
          </cell>
          <cell r="O2945" t="str">
            <v>No</v>
          </cell>
          <cell r="Q2945" t="str">
            <v>Live</v>
          </cell>
          <cell r="R2945">
            <v>45244.555358796293</v>
          </cell>
          <cell r="S2945" t="str">
            <v>Peter Fayez</v>
          </cell>
          <cell r="T2945">
            <v>45258</v>
          </cell>
          <cell r="U2945" t="str">
            <v>Hans De Grouw</v>
          </cell>
          <cell r="V2945">
            <v>45279</v>
          </cell>
          <cell r="W2945">
            <v>25569</v>
          </cell>
          <cell r="Y2945">
            <v>45252</v>
          </cell>
          <cell r="AC2945">
            <v>45293</v>
          </cell>
        </row>
        <row r="2946">
          <cell r="I2946" t="str">
            <v>EDI</v>
          </cell>
          <cell r="L2946">
            <v>2651</v>
          </cell>
          <cell r="N2946" t="str">
            <v>Production</v>
          </cell>
          <cell r="O2946" t="str">
            <v>No</v>
          </cell>
          <cell r="Q2946" t="str">
            <v>Cancelled</v>
          </cell>
          <cell r="R2946">
            <v>45243.639988425923</v>
          </cell>
          <cell r="S2946" t="str">
            <v>Aya Fathy</v>
          </cell>
          <cell r="T2946">
            <v>45259</v>
          </cell>
          <cell r="U2946" t="str">
            <v>Hans De Grouw</v>
          </cell>
          <cell r="V2946">
            <v>45277</v>
          </cell>
          <cell r="W2946">
            <v>45288</v>
          </cell>
          <cell r="Y2946">
            <v>45244</v>
          </cell>
          <cell r="AC2946">
            <v>45291</v>
          </cell>
        </row>
        <row r="2947">
          <cell r="I2947" t="str">
            <v>EDI</v>
          </cell>
          <cell r="L2947">
            <v>2643</v>
          </cell>
          <cell r="N2947" t="str">
            <v>Dataset Validation</v>
          </cell>
          <cell r="O2947" t="str">
            <v>No</v>
          </cell>
          <cell r="Q2947" t="str">
            <v>Cancelled</v>
          </cell>
          <cell r="R2947">
            <v>45240.895555555559</v>
          </cell>
          <cell r="S2947" t="str">
            <v>Peter Fayez</v>
          </cell>
          <cell r="T2947">
            <v>45258</v>
          </cell>
          <cell r="U2947" t="str">
            <v>Hans De Grouw</v>
          </cell>
          <cell r="Y2947">
            <v>45249</v>
          </cell>
        </row>
        <row r="2948">
          <cell r="I2948" t="str">
            <v>EDI</v>
          </cell>
          <cell r="L2948">
            <v>2627</v>
          </cell>
          <cell r="N2948" t="str">
            <v>Production</v>
          </cell>
          <cell r="O2948" t="str">
            <v>No</v>
          </cell>
          <cell r="Q2948" t="str">
            <v>Live</v>
          </cell>
          <cell r="R2948">
            <v>45240.764085648138</v>
          </cell>
          <cell r="S2948" t="str">
            <v>Aya Fathy</v>
          </cell>
          <cell r="T2948">
            <v>45251</v>
          </cell>
          <cell r="U2948" t="str">
            <v>Amy Bergstrom</v>
          </cell>
          <cell r="V2948">
            <v>45301</v>
          </cell>
          <cell r="W2948">
            <v>45315</v>
          </cell>
          <cell r="Y2948">
            <v>45244</v>
          </cell>
          <cell r="AC2948">
            <v>45312</v>
          </cell>
        </row>
        <row r="2949">
          <cell r="I2949" t="str">
            <v>EDI</v>
          </cell>
          <cell r="L2949">
            <v>2626</v>
          </cell>
          <cell r="N2949" t="str">
            <v>Production</v>
          </cell>
          <cell r="O2949" t="str">
            <v>Everything Benefits</v>
          </cell>
          <cell r="P2949" t="str">
            <v>Production</v>
          </cell>
          <cell r="Q2949" t="str">
            <v>Live</v>
          </cell>
          <cell r="R2949">
            <v>45239.86278935185</v>
          </cell>
          <cell r="S2949" t="str">
            <v>Hazem Rostom</v>
          </cell>
          <cell r="T2949">
            <v>45250</v>
          </cell>
          <cell r="U2949" t="str">
            <v>Matt Howell</v>
          </cell>
          <cell r="W2949">
            <v>25569</v>
          </cell>
          <cell r="Y2949">
            <v>45244</v>
          </cell>
          <cell r="AC2949">
            <v>45375</v>
          </cell>
        </row>
        <row r="2950">
          <cell r="I2950" t="str">
            <v>EDI</v>
          </cell>
          <cell r="L2950">
            <v>2635</v>
          </cell>
          <cell r="N2950" t="str">
            <v>Production</v>
          </cell>
          <cell r="O2950" t="str">
            <v>Everything Benefits</v>
          </cell>
          <cell r="P2950" t="str">
            <v>Production</v>
          </cell>
          <cell r="Q2950" t="str">
            <v>Cancelled</v>
          </cell>
          <cell r="R2950">
            <v>45239.86277777778</v>
          </cell>
          <cell r="S2950" t="str">
            <v>Mina Kamil</v>
          </cell>
          <cell r="T2950">
            <v>45253</v>
          </cell>
          <cell r="U2950" t="str">
            <v>Matt Howell</v>
          </cell>
          <cell r="W2950">
            <v>45362</v>
          </cell>
          <cell r="Y2950">
            <v>45246</v>
          </cell>
          <cell r="AC2950">
            <v>45361</v>
          </cell>
        </row>
        <row r="2951">
          <cell r="I2951" t="str">
            <v>EDI</v>
          </cell>
          <cell r="L2951">
            <v>2641</v>
          </cell>
          <cell r="N2951" t="str">
            <v>Production</v>
          </cell>
          <cell r="O2951" t="str">
            <v>No</v>
          </cell>
          <cell r="Q2951" t="str">
            <v>Cancelled</v>
          </cell>
          <cell r="R2951">
            <v>45238.767638888887</v>
          </cell>
          <cell r="S2951" t="str">
            <v>Peter Fayez</v>
          </cell>
          <cell r="T2951">
            <v>45258</v>
          </cell>
          <cell r="U2951" t="str">
            <v>Miranda Naeem</v>
          </cell>
          <cell r="W2951">
            <v>45272</v>
          </cell>
          <cell r="Y2951">
            <v>45245</v>
          </cell>
          <cell r="AC2951">
            <v>45272</v>
          </cell>
        </row>
        <row r="2952">
          <cell r="I2952" t="str">
            <v>EDI</v>
          </cell>
          <cell r="L2952">
            <v>2638</v>
          </cell>
          <cell r="N2952" t="str">
            <v>Production</v>
          </cell>
          <cell r="O2952" t="str">
            <v>No</v>
          </cell>
          <cell r="Q2952" t="str">
            <v>Live</v>
          </cell>
          <cell r="R2952">
            <v>45238.673333333332</v>
          </cell>
          <cell r="S2952" t="str">
            <v>Mina Kamil</v>
          </cell>
          <cell r="T2952">
            <v>45419</v>
          </cell>
          <cell r="U2952" t="str">
            <v>Trish Kalinczok</v>
          </cell>
          <cell r="V2952">
            <v>45259</v>
          </cell>
          <cell r="W2952">
            <v>45548</v>
          </cell>
          <cell r="Y2952">
            <v>45239</v>
          </cell>
          <cell r="AC2952">
            <v>45546</v>
          </cell>
        </row>
        <row r="2953">
          <cell r="I2953" t="str">
            <v>EDI</v>
          </cell>
          <cell r="L2953">
            <v>2648</v>
          </cell>
          <cell r="N2953" t="str">
            <v>Production</v>
          </cell>
          <cell r="O2953" t="str">
            <v>No</v>
          </cell>
          <cell r="Q2953" t="str">
            <v>Live</v>
          </cell>
          <cell r="R2953">
            <v>45238.639282407406</v>
          </cell>
          <cell r="S2953" t="str">
            <v>Dina Medhat</v>
          </cell>
          <cell r="T2953">
            <v>45239</v>
          </cell>
          <cell r="U2953" t="str">
            <v>Robbie Schappell</v>
          </cell>
          <cell r="V2953">
            <v>45278</v>
          </cell>
          <cell r="W2953">
            <v>45335</v>
          </cell>
          <cell r="AC2953">
            <v>45369</v>
          </cell>
        </row>
        <row r="2954">
          <cell r="I2954" t="str">
            <v>EDI</v>
          </cell>
          <cell r="L2954">
            <v>2648</v>
          </cell>
          <cell r="N2954" t="str">
            <v>Production</v>
          </cell>
          <cell r="O2954" t="str">
            <v>No</v>
          </cell>
          <cell r="Q2954" t="str">
            <v>Live</v>
          </cell>
          <cell r="R2954">
            <v>45238.632754629631</v>
          </cell>
          <cell r="S2954" t="str">
            <v>Mirna Azmy</v>
          </cell>
          <cell r="T2954">
            <v>45258</v>
          </cell>
          <cell r="U2954" t="str">
            <v>Robbie Schappell</v>
          </cell>
          <cell r="V2954">
            <v>45278</v>
          </cell>
          <cell r="W2954">
            <v>45335</v>
          </cell>
          <cell r="Y2954">
            <v>45244</v>
          </cell>
          <cell r="AC2954">
            <v>45330</v>
          </cell>
        </row>
        <row r="2955">
          <cell r="I2955" t="str">
            <v>EDI</v>
          </cell>
          <cell r="L2955">
            <v>2642</v>
          </cell>
          <cell r="N2955" t="str">
            <v>Production</v>
          </cell>
          <cell r="O2955" t="str">
            <v>No</v>
          </cell>
          <cell r="Q2955" t="str">
            <v>Live</v>
          </cell>
          <cell r="R2955">
            <v>45237.755648148152</v>
          </cell>
          <cell r="S2955" t="str">
            <v>Peter Fayez</v>
          </cell>
          <cell r="T2955">
            <v>45258</v>
          </cell>
          <cell r="U2955" t="str">
            <v>Tammy Davies</v>
          </cell>
          <cell r="V2955">
            <v>45286</v>
          </cell>
          <cell r="W2955">
            <v>45344</v>
          </cell>
          <cell r="Y2955">
            <v>45238</v>
          </cell>
          <cell r="AC2955">
            <v>45343</v>
          </cell>
        </row>
        <row r="2956">
          <cell r="I2956" t="str">
            <v>EDI</v>
          </cell>
          <cell r="L2956">
            <v>2664</v>
          </cell>
          <cell r="N2956" t="str">
            <v>Production</v>
          </cell>
          <cell r="O2956" t="str">
            <v>No</v>
          </cell>
          <cell r="Q2956" t="str">
            <v>Live</v>
          </cell>
          <cell r="R2956">
            <v>45236.938819444447</v>
          </cell>
          <cell r="S2956" t="str">
            <v>Omnia Abdelaziz</v>
          </cell>
          <cell r="T2956">
            <v>45258</v>
          </cell>
          <cell r="U2956" t="str">
            <v>Trish Kalinczok</v>
          </cell>
          <cell r="V2956">
            <v>45284</v>
          </cell>
          <cell r="W2956">
            <v>45288</v>
          </cell>
          <cell r="Y2956">
            <v>45238</v>
          </cell>
          <cell r="AC2956">
            <v>45288</v>
          </cell>
        </row>
        <row r="2957">
          <cell r="I2957" t="str">
            <v>EDI</v>
          </cell>
          <cell r="L2957">
            <v>2678</v>
          </cell>
          <cell r="N2957" t="str">
            <v>Production</v>
          </cell>
          <cell r="O2957" t="str">
            <v>No</v>
          </cell>
          <cell r="Q2957" t="str">
            <v>Cancelled</v>
          </cell>
          <cell r="R2957">
            <v>45236.710798611108</v>
          </cell>
          <cell r="S2957" t="str">
            <v>Andrew Ramy</v>
          </cell>
          <cell r="T2957">
            <v>45271</v>
          </cell>
          <cell r="U2957" t="str">
            <v>Trish Kalinczok</v>
          </cell>
          <cell r="V2957">
            <v>45349</v>
          </cell>
          <cell r="W2957">
            <v>45370</v>
          </cell>
          <cell r="Y2957">
            <v>45269</v>
          </cell>
          <cell r="AC2957">
            <v>45369</v>
          </cell>
        </row>
        <row r="2958">
          <cell r="I2958" t="str">
            <v>EDI</v>
          </cell>
          <cell r="L2958">
            <v>2632</v>
          </cell>
          <cell r="N2958" t="str">
            <v>Production</v>
          </cell>
          <cell r="O2958" t="str">
            <v>No</v>
          </cell>
          <cell r="Q2958" t="str">
            <v>Cancelled</v>
          </cell>
          <cell r="R2958">
            <v>45236.658182870371</v>
          </cell>
          <cell r="S2958" t="str">
            <v>Mina George</v>
          </cell>
          <cell r="T2958">
            <v>45245</v>
          </cell>
          <cell r="U2958" t="str">
            <v>Amy Bergstrom</v>
          </cell>
          <cell r="V2958">
            <v>45273</v>
          </cell>
          <cell r="W2958">
            <v>25569</v>
          </cell>
          <cell r="Y2958">
            <v>45244</v>
          </cell>
          <cell r="AC2958">
            <v>45365</v>
          </cell>
        </row>
        <row r="2959">
          <cell r="I2959" t="str">
            <v>EDI</v>
          </cell>
          <cell r="L2959">
            <v>2655</v>
          </cell>
          <cell r="N2959" t="str">
            <v>Production</v>
          </cell>
          <cell r="O2959" t="str">
            <v>No</v>
          </cell>
          <cell r="Q2959" t="str">
            <v>Live</v>
          </cell>
          <cell r="R2959">
            <v>45236.634606481479</v>
          </cell>
          <cell r="S2959" t="str">
            <v>Zeyad Khaled</v>
          </cell>
          <cell r="T2959">
            <v>45258</v>
          </cell>
          <cell r="U2959" t="str">
            <v>Tammy Davies</v>
          </cell>
          <cell r="V2959">
            <v>45421</v>
          </cell>
          <cell r="W2959">
            <v>45539</v>
          </cell>
          <cell r="Y2959">
            <v>45238</v>
          </cell>
          <cell r="AC2959">
            <v>45539</v>
          </cell>
        </row>
        <row r="2960">
          <cell r="I2960" t="str">
            <v>EDI</v>
          </cell>
          <cell r="L2960">
            <v>2625</v>
          </cell>
          <cell r="N2960" t="str">
            <v>Production</v>
          </cell>
          <cell r="O2960" t="str">
            <v>No</v>
          </cell>
          <cell r="Q2960" t="str">
            <v>Live</v>
          </cell>
          <cell r="R2960">
            <v>45236.595752314817</v>
          </cell>
          <cell r="S2960" t="str">
            <v>Omnia Abdelaziz</v>
          </cell>
          <cell r="T2960">
            <v>45470</v>
          </cell>
          <cell r="U2960" t="str">
            <v>Trish Kalinczok</v>
          </cell>
          <cell r="V2960">
            <v>25569</v>
          </cell>
          <cell r="W2960">
            <v>45573</v>
          </cell>
          <cell r="Y2960">
            <v>45242</v>
          </cell>
          <cell r="AC2960">
            <v>45589</v>
          </cell>
        </row>
        <row r="2961">
          <cell r="I2961" t="str">
            <v>EDI</v>
          </cell>
          <cell r="L2961">
            <v>2657</v>
          </cell>
          <cell r="N2961" t="str">
            <v>Production</v>
          </cell>
          <cell r="O2961" t="str">
            <v>No</v>
          </cell>
          <cell r="Q2961" t="str">
            <v>Live</v>
          </cell>
          <cell r="R2961">
            <v>45233.615983796299</v>
          </cell>
          <cell r="S2961" t="str">
            <v>Mina George</v>
          </cell>
          <cell r="T2961">
            <v>45259</v>
          </cell>
          <cell r="U2961" t="str">
            <v>Trish Kalinczok</v>
          </cell>
          <cell r="V2961">
            <v>45306</v>
          </cell>
          <cell r="W2961">
            <v>45355</v>
          </cell>
          <cell r="Y2961">
            <v>45237</v>
          </cell>
          <cell r="AC2961">
            <v>45350</v>
          </cell>
        </row>
        <row r="2962">
          <cell r="I2962" t="str">
            <v>EDI</v>
          </cell>
          <cell r="L2962">
            <v>2615</v>
          </cell>
          <cell r="N2962" t="str">
            <v>Production</v>
          </cell>
          <cell r="O2962" t="str">
            <v>Everything Benefits</v>
          </cell>
          <cell r="P2962" t="str">
            <v>Production</v>
          </cell>
          <cell r="Q2962" t="str">
            <v>Live</v>
          </cell>
          <cell r="R2962">
            <v>45233.556620370371</v>
          </cell>
          <cell r="S2962" t="str">
            <v>Mohamed Abdelhamed</v>
          </cell>
          <cell r="T2962">
            <v>45244</v>
          </cell>
          <cell r="U2962" t="str">
            <v>Trish Kalinczok</v>
          </cell>
          <cell r="V2962">
            <v>45278</v>
          </cell>
          <cell r="W2962">
            <v>25569</v>
          </cell>
          <cell r="Y2962">
            <v>45243</v>
          </cell>
          <cell r="AC2962">
            <v>45389</v>
          </cell>
        </row>
        <row r="2963">
          <cell r="I2963" t="str">
            <v>EDI</v>
          </cell>
          <cell r="L2963">
            <v>2697</v>
          </cell>
          <cell r="N2963" t="str">
            <v>Production</v>
          </cell>
          <cell r="O2963" t="str">
            <v>No</v>
          </cell>
          <cell r="Q2963" t="str">
            <v>Cancelled</v>
          </cell>
          <cell r="R2963">
            <v>45231.88354166667</v>
          </cell>
          <cell r="S2963" t="str">
            <v>Mina Adel</v>
          </cell>
          <cell r="T2963">
            <v>45273</v>
          </cell>
          <cell r="U2963" t="str">
            <v>Matt Howell</v>
          </cell>
          <cell r="W2963">
            <v>45400</v>
          </cell>
          <cell r="Y2963">
            <v>45271</v>
          </cell>
          <cell r="AC2963">
            <v>45399</v>
          </cell>
        </row>
        <row r="2964">
          <cell r="I2964" t="str">
            <v>EDI</v>
          </cell>
          <cell r="L2964">
            <v>2631</v>
          </cell>
          <cell r="N2964" t="str">
            <v>Production</v>
          </cell>
          <cell r="O2964" t="str">
            <v>No</v>
          </cell>
          <cell r="Q2964" t="str">
            <v>Live</v>
          </cell>
          <cell r="R2964">
            <v>45231.879548611112</v>
          </cell>
          <cell r="S2964" t="str">
            <v>Zeyad Khaled</v>
          </cell>
          <cell r="T2964">
            <v>45249</v>
          </cell>
          <cell r="U2964" t="str">
            <v>Matt Howell</v>
          </cell>
          <cell r="V2964">
            <v>45278</v>
          </cell>
          <cell r="W2964">
            <v>45300</v>
          </cell>
          <cell r="Y2964">
            <v>45235</v>
          </cell>
          <cell r="AC2964">
            <v>45295</v>
          </cell>
        </row>
        <row r="2965">
          <cell r="I2965" t="str">
            <v>EDI</v>
          </cell>
          <cell r="L2965">
            <v>2636</v>
          </cell>
          <cell r="N2965" t="str">
            <v>Production</v>
          </cell>
          <cell r="O2965" t="str">
            <v>No</v>
          </cell>
          <cell r="Q2965" t="str">
            <v>Live</v>
          </cell>
          <cell r="R2965">
            <v>45231.879548611112</v>
          </cell>
          <cell r="S2965" t="str">
            <v>Mirna Azmy</v>
          </cell>
          <cell r="T2965">
            <v>45256</v>
          </cell>
          <cell r="U2965" t="str">
            <v>Matt Howell</v>
          </cell>
          <cell r="V2965">
            <v>45319</v>
          </cell>
          <cell r="W2965">
            <v>45596</v>
          </cell>
          <cell r="Y2965">
            <v>45242</v>
          </cell>
          <cell r="AC2965">
            <v>45593</v>
          </cell>
        </row>
        <row r="2966">
          <cell r="I2966" t="str">
            <v>EDI</v>
          </cell>
          <cell r="L2966">
            <v>2645</v>
          </cell>
          <cell r="N2966" t="str">
            <v>Production</v>
          </cell>
          <cell r="O2966" t="str">
            <v>No</v>
          </cell>
          <cell r="Q2966" t="str">
            <v>Live</v>
          </cell>
          <cell r="R2966">
            <v>45231.879537037043</v>
          </cell>
          <cell r="S2966" t="str">
            <v>Aya Fathy</v>
          </cell>
          <cell r="T2966">
            <v>45258</v>
          </cell>
          <cell r="U2966" t="str">
            <v>Matt Howell</v>
          </cell>
          <cell r="V2966">
            <v>45351</v>
          </cell>
          <cell r="W2966">
            <v>45435</v>
          </cell>
          <cell r="Y2966">
            <v>45245</v>
          </cell>
          <cell r="AC2966">
            <v>45429</v>
          </cell>
        </row>
        <row r="2967">
          <cell r="I2967" t="str">
            <v>EDI</v>
          </cell>
          <cell r="L2967">
            <v>2656</v>
          </cell>
          <cell r="N2967" t="str">
            <v>Production</v>
          </cell>
          <cell r="O2967" t="str">
            <v>No</v>
          </cell>
          <cell r="Q2967" t="str">
            <v>Cancelled</v>
          </cell>
          <cell r="R2967">
            <v>45231.707708333342</v>
          </cell>
          <cell r="S2967" t="str">
            <v>Mina Adel</v>
          </cell>
          <cell r="T2967">
            <v>45258</v>
          </cell>
          <cell r="U2967" t="str">
            <v>Hans De Grouw</v>
          </cell>
          <cell r="V2967">
            <v>45273</v>
          </cell>
          <cell r="W2967">
            <v>45551</v>
          </cell>
          <cell r="Y2967">
            <v>45239</v>
          </cell>
          <cell r="AC2967">
            <v>45544</v>
          </cell>
        </row>
        <row r="2968">
          <cell r="I2968" t="str">
            <v>EDI</v>
          </cell>
          <cell r="L2968">
            <v>2674</v>
          </cell>
          <cell r="N2968" t="str">
            <v>Production</v>
          </cell>
          <cell r="O2968" t="str">
            <v>No</v>
          </cell>
          <cell r="Q2968" t="str">
            <v>Live</v>
          </cell>
          <cell r="R2968">
            <v>45231.706342592603</v>
          </cell>
          <cell r="S2968" t="str">
            <v>Joseph Atef</v>
          </cell>
          <cell r="T2968">
            <v>45256</v>
          </cell>
          <cell r="U2968" t="str">
            <v>Hans De Grouw</v>
          </cell>
          <cell r="V2968">
            <v>45385</v>
          </cell>
          <cell r="W2968">
            <v>45547</v>
          </cell>
          <cell r="Y2968">
            <v>45239</v>
          </cell>
          <cell r="AC2968">
            <v>45545</v>
          </cell>
        </row>
        <row r="2969">
          <cell r="I2969" t="str">
            <v>EDI</v>
          </cell>
          <cell r="L2969">
            <v>2620</v>
          </cell>
          <cell r="N2969" t="str">
            <v>Production</v>
          </cell>
          <cell r="O2969" t="str">
            <v>No</v>
          </cell>
          <cell r="Q2969" t="str">
            <v>Live</v>
          </cell>
          <cell r="R2969">
            <v>45231.615879629629</v>
          </cell>
          <cell r="S2969" t="str">
            <v>Mirna Azmy</v>
          </cell>
          <cell r="T2969">
            <v>45246</v>
          </cell>
          <cell r="U2969" t="str">
            <v>Jene Hamm</v>
          </cell>
          <cell r="V2969">
            <v>45299</v>
          </cell>
          <cell r="W2969">
            <v>45516</v>
          </cell>
          <cell r="Y2969">
            <v>45236</v>
          </cell>
          <cell r="AC2969">
            <v>45516</v>
          </cell>
        </row>
        <row r="2970">
          <cell r="I2970" t="str">
            <v>EDI</v>
          </cell>
          <cell r="L2970">
            <v>2622</v>
          </cell>
          <cell r="N2970" t="str">
            <v>Production</v>
          </cell>
          <cell r="O2970" t="str">
            <v>No</v>
          </cell>
          <cell r="Q2970" t="str">
            <v>Live</v>
          </cell>
          <cell r="R2970">
            <v>45230.79142361111</v>
          </cell>
          <cell r="S2970" t="str">
            <v>Alaa Yehia</v>
          </cell>
          <cell r="T2970">
            <v>45245</v>
          </cell>
          <cell r="U2970" t="str">
            <v>Tammy Davies</v>
          </cell>
          <cell r="V2970">
            <v>45305</v>
          </cell>
          <cell r="W2970">
            <v>45324</v>
          </cell>
          <cell r="Y2970">
            <v>45231</v>
          </cell>
          <cell r="AC2970">
            <v>45323</v>
          </cell>
        </row>
        <row r="2971">
          <cell r="I2971" t="str">
            <v>EDI</v>
          </cell>
          <cell r="L2971">
            <v>2617</v>
          </cell>
          <cell r="N2971" t="str">
            <v>Production</v>
          </cell>
          <cell r="O2971" t="str">
            <v>No</v>
          </cell>
          <cell r="Q2971" t="str">
            <v>Live</v>
          </cell>
          <cell r="R2971">
            <v>45230.750914351847</v>
          </cell>
          <cell r="S2971" t="str">
            <v>Fady Maged</v>
          </cell>
          <cell r="T2971">
            <v>45245</v>
          </cell>
          <cell r="U2971" t="str">
            <v>Tammy Davies</v>
          </cell>
          <cell r="V2971">
            <v>45269</v>
          </cell>
          <cell r="W2971">
            <v>45348</v>
          </cell>
          <cell r="Y2971">
            <v>45231</v>
          </cell>
          <cell r="AC2971">
            <v>45347</v>
          </cell>
        </row>
        <row r="2972">
          <cell r="I2972" t="str">
            <v>EDI</v>
          </cell>
          <cell r="L2972">
            <v>2637</v>
          </cell>
          <cell r="N2972" t="str">
            <v>Mapping</v>
          </cell>
          <cell r="O2972" t="str">
            <v>No</v>
          </cell>
          <cell r="Q2972" t="str">
            <v>Cancelled</v>
          </cell>
          <cell r="R2972">
            <v>45230.733263888891</v>
          </cell>
          <cell r="S2972" t="str">
            <v>Mina Adel</v>
          </cell>
          <cell r="T2972">
            <v>45251</v>
          </cell>
          <cell r="U2972" t="str">
            <v>Hans De Grouw</v>
          </cell>
          <cell r="Y2972">
            <v>45249</v>
          </cell>
        </row>
        <row r="2973">
          <cell r="I2973" t="str">
            <v>EDI</v>
          </cell>
          <cell r="L2973">
            <v>2562</v>
          </cell>
          <cell r="N2973" t="str">
            <v>Production</v>
          </cell>
          <cell r="O2973" t="str">
            <v>No</v>
          </cell>
          <cell r="Q2973" t="str">
            <v>Live</v>
          </cell>
          <cell r="R2973">
            <v>45230.660393518519</v>
          </cell>
          <cell r="S2973" t="str">
            <v>Dina Medhat</v>
          </cell>
          <cell r="T2973">
            <v>45230</v>
          </cell>
          <cell r="U2973" t="str">
            <v>Robbie Schappell</v>
          </cell>
          <cell r="V2973">
            <v>45222</v>
          </cell>
          <cell r="W2973">
            <v>45271</v>
          </cell>
          <cell r="AC2973">
            <v>45272</v>
          </cell>
        </row>
        <row r="2974">
          <cell r="I2974" t="str">
            <v>EDI</v>
          </cell>
          <cell r="L2974">
            <v>2549</v>
          </cell>
          <cell r="N2974" t="str">
            <v>Production</v>
          </cell>
          <cell r="O2974" t="str">
            <v>No</v>
          </cell>
          <cell r="Q2974" t="str">
            <v>Cancelled</v>
          </cell>
          <cell r="R2974">
            <v>45230.660393518519</v>
          </cell>
          <cell r="S2974" t="str">
            <v>Dina Medhat</v>
          </cell>
          <cell r="T2974">
            <v>45230</v>
          </cell>
          <cell r="U2974" t="str">
            <v>Robbie Schappell</v>
          </cell>
          <cell r="V2974">
            <v>45225</v>
          </cell>
          <cell r="W2974">
            <v>45376</v>
          </cell>
          <cell r="AC2974">
            <v>45371</v>
          </cell>
        </row>
        <row r="2975">
          <cell r="I2975" t="str">
            <v>EDI</v>
          </cell>
          <cell r="N2975" t="str">
            <v>Mapping</v>
          </cell>
          <cell r="O2975" t="str">
            <v>No</v>
          </cell>
          <cell r="Q2975" t="str">
            <v>Cancelled</v>
          </cell>
          <cell r="R2975">
            <v>45230.660393518519</v>
          </cell>
          <cell r="S2975" t="str">
            <v>Dina Medhat</v>
          </cell>
          <cell r="T2975">
            <v>45230</v>
          </cell>
          <cell r="U2975" t="str">
            <v>Robbie Schappell</v>
          </cell>
        </row>
        <row r="2976">
          <cell r="I2976" t="str">
            <v>EDI</v>
          </cell>
          <cell r="L2976">
            <v>2559</v>
          </cell>
          <cell r="N2976" t="str">
            <v>Production</v>
          </cell>
          <cell r="O2976" t="str">
            <v>No</v>
          </cell>
          <cell r="Q2976" t="str">
            <v>Live</v>
          </cell>
          <cell r="R2976">
            <v>45230.660381944443</v>
          </cell>
          <cell r="S2976" t="str">
            <v>Dina Medhat</v>
          </cell>
          <cell r="T2976">
            <v>45230</v>
          </cell>
          <cell r="U2976" t="str">
            <v>Robbie Schappell</v>
          </cell>
          <cell r="W2976">
            <v>45328</v>
          </cell>
          <cell r="AC2976">
            <v>45415</v>
          </cell>
        </row>
        <row r="2977">
          <cell r="I2977" t="str">
            <v>EDI</v>
          </cell>
          <cell r="L2977">
            <v>2616</v>
          </cell>
          <cell r="N2977" t="str">
            <v>Production</v>
          </cell>
          <cell r="O2977" t="str">
            <v>No</v>
          </cell>
          <cell r="Q2977" t="str">
            <v>Live</v>
          </cell>
          <cell r="R2977">
            <v>45230.609050925923</v>
          </cell>
          <cell r="S2977" t="str">
            <v>Aya Fathy</v>
          </cell>
          <cell r="T2977">
            <v>45245</v>
          </cell>
          <cell r="U2977" t="str">
            <v>Hans De Grouw</v>
          </cell>
          <cell r="V2977">
            <v>45246</v>
          </cell>
          <cell r="W2977">
            <v>45358</v>
          </cell>
          <cell r="Y2977">
            <v>45233</v>
          </cell>
          <cell r="AC2977">
            <v>45356</v>
          </cell>
        </row>
        <row r="2978">
          <cell r="I2978" t="str">
            <v>EDI</v>
          </cell>
          <cell r="L2978">
            <v>2618</v>
          </cell>
          <cell r="N2978" t="str">
            <v>Production</v>
          </cell>
          <cell r="O2978" t="str">
            <v>No</v>
          </cell>
          <cell r="Q2978" t="str">
            <v>Live</v>
          </cell>
          <cell r="R2978">
            <v>45230.609050925923</v>
          </cell>
          <cell r="S2978" t="str">
            <v>Mirna Azmy</v>
          </cell>
          <cell r="T2978">
            <v>45245</v>
          </cell>
          <cell r="U2978" t="str">
            <v>Hans De Grouw</v>
          </cell>
          <cell r="V2978">
            <v>45257</v>
          </cell>
          <cell r="W2978">
            <v>45302</v>
          </cell>
          <cell r="Y2978">
            <v>45242</v>
          </cell>
          <cell r="AC2978">
            <v>45302</v>
          </cell>
        </row>
        <row r="2979">
          <cell r="I2979" t="str">
            <v>EDI</v>
          </cell>
          <cell r="L2979">
            <v>2621</v>
          </cell>
          <cell r="N2979" t="str">
            <v>Production</v>
          </cell>
          <cell r="O2979" t="str">
            <v>No</v>
          </cell>
          <cell r="Q2979" t="str">
            <v>Live</v>
          </cell>
          <cell r="R2979">
            <v>45230.609050925923</v>
          </cell>
          <cell r="S2979" t="str">
            <v>Aya Fathy</v>
          </cell>
          <cell r="T2979">
            <v>45249</v>
          </cell>
          <cell r="U2979" t="str">
            <v>Hans De Grouw</v>
          </cell>
          <cell r="V2979">
            <v>45302</v>
          </cell>
          <cell r="W2979">
            <v>45337</v>
          </cell>
          <cell r="Y2979">
            <v>45246</v>
          </cell>
          <cell r="AC2979">
            <v>45328</v>
          </cell>
        </row>
        <row r="2980">
          <cell r="I2980" t="str">
            <v>EDI</v>
          </cell>
          <cell r="L2980">
            <v>2639</v>
          </cell>
          <cell r="N2980" t="str">
            <v>Production</v>
          </cell>
          <cell r="O2980" t="str">
            <v>No</v>
          </cell>
          <cell r="Q2980" t="str">
            <v>Live</v>
          </cell>
          <cell r="R2980">
            <v>45230.609039351853</v>
          </cell>
          <cell r="S2980" t="str">
            <v>Mina Adel</v>
          </cell>
          <cell r="T2980">
            <v>45256</v>
          </cell>
          <cell r="U2980" t="str">
            <v>Hans De Grouw</v>
          </cell>
          <cell r="V2980">
            <v>25569</v>
          </cell>
          <cell r="W2980">
            <v>25569</v>
          </cell>
          <cell r="Y2980">
            <v>45249</v>
          </cell>
          <cell r="AC2980">
            <v>45387</v>
          </cell>
        </row>
        <row r="2981">
          <cell r="I2981" t="str">
            <v>EDI</v>
          </cell>
          <cell r="L2981">
            <v>2633</v>
          </cell>
          <cell r="N2981" t="str">
            <v>Production</v>
          </cell>
          <cell r="O2981" t="str">
            <v>No</v>
          </cell>
          <cell r="Q2981" t="str">
            <v>Live</v>
          </cell>
          <cell r="R2981">
            <v>45229.873993055553</v>
          </cell>
          <cell r="S2981" t="str">
            <v>Mina Adel</v>
          </cell>
          <cell r="T2981">
            <v>45245</v>
          </cell>
          <cell r="U2981" t="str">
            <v>Tammy Trexler</v>
          </cell>
          <cell r="V2981">
            <v>25569</v>
          </cell>
          <cell r="W2981">
            <v>25569</v>
          </cell>
          <cell r="Y2981">
            <v>45231</v>
          </cell>
          <cell r="AC2981">
            <v>45299</v>
          </cell>
        </row>
        <row r="2982">
          <cell r="I2982" t="str">
            <v>EDI</v>
          </cell>
          <cell r="L2982">
            <v>2606</v>
          </cell>
          <cell r="N2982" t="str">
            <v>Mapping</v>
          </cell>
          <cell r="O2982" t="str">
            <v>No</v>
          </cell>
          <cell r="Q2982" t="str">
            <v>In Progress</v>
          </cell>
          <cell r="R2982">
            <v>45229.855324074073</v>
          </cell>
          <cell r="S2982" t="str">
            <v>Mina Adel</v>
          </cell>
          <cell r="T2982">
            <v>45249</v>
          </cell>
          <cell r="U2982" t="str">
            <v>Kayla Szczepanski</v>
          </cell>
          <cell r="Y2982">
            <v>45230</v>
          </cell>
        </row>
        <row r="2983">
          <cell r="I2983" t="str">
            <v>EDI</v>
          </cell>
          <cell r="L2983">
            <v>2607</v>
          </cell>
          <cell r="N2983" t="str">
            <v>Production</v>
          </cell>
          <cell r="O2983" t="str">
            <v>No</v>
          </cell>
          <cell r="Q2983" t="str">
            <v>Live</v>
          </cell>
          <cell r="R2983">
            <v>45229.852303240739</v>
          </cell>
          <cell r="S2983" t="str">
            <v>Aya Fathy</v>
          </cell>
          <cell r="T2983">
            <v>45237</v>
          </cell>
          <cell r="U2983" t="str">
            <v>Kayla Szczepanski</v>
          </cell>
          <cell r="V2983">
            <v>25569</v>
          </cell>
          <cell r="W2983">
            <v>45390</v>
          </cell>
          <cell r="Y2983">
            <v>45230</v>
          </cell>
          <cell r="AC2983">
            <v>45386</v>
          </cell>
        </row>
        <row r="2984">
          <cell r="I2984" t="str">
            <v>EDI</v>
          </cell>
          <cell r="L2984">
            <v>2610</v>
          </cell>
          <cell r="N2984" t="str">
            <v>Production</v>
          </cell>
          <cell r="O2984" t="str">
            <v>No</v>
          </cell>
          <cell r="Q2984" t="str">
            <v>Live</v>
          </cell>
          <cell r="R2984">
            <v>45226.651759259257</v>
          </cell>
          <cell r="S2984" t="str">
            <v>Mina Adel</v>
          </cell>
          <cell r="T2984">
            <v>45235</v>
          </cell>
          <cell r="U2984" t="str">
            <v>Tammy Davies</v>
          </cell>
          <cell r="V2984">
            <v>45256</v>
          </cell>
          <cell r="W2984">
            <v>45288</v>
          </cell>
          <cell r="Y2984">
            <v>45231</v>
          </cell>
          <cell r="AC2984">
            <v>45286</v>
          </cell>
        </row>
        <row r="2985">
          <cell r="I2985" t="str">
            <v>EDI</v>
          </cell>
          <cell r="N2985" t="str">
            <v>Requirements Gathering</v>
          </cell>
          <cell r="O2985" t="str">
            <v>No</v>
          </cell>
          <cell r="Q2985" t="str">
            <v>Cancelled</v>
          </cell>
          <cell r="R2985">
            <v>45226.62228009259</v>
          </cell>
          <cell r="S2985" t="str">
            <v>Lourina Edmon</v>
          </cell>
          <cell r="T2985">
            <v>45228</v>
          </cell>
          <cell r="U2985" t="str">
            <v>Tammy Davies</v>
          </cell>
        </row>
        <row r="2986">
          <cell r="I2986" t="str">
            <v>EDI</v>
          </cell>
          <cell r="L2986">
            <v>2613</v>
          </cell>
          <cell r="N2986" t="str">
            <v>Production</v>
          </cell>
          <cell r="O2986" t="str">
            <v>No</v>
          </cell>
          <cell r="Q2986" t="str">
            <v>Cancelled</v>
          </cell>
          <cell r="R2986">
            <v>45225.81046296296</v>
          </cell>
          <cell r="S2986" t="str">
            <v>Mirna Azmy</v>
          </cell>
          <cell r="T2986">
            <v>45243</v>
          </cell>
          <cell r="U2986" t="str">
            <v>Matt Howell</v>
          </cell>
          <cell r="V2986">
            <v>45244</v>
          </cell>
          <cell r="W2986">
            <v>45441</v>
          </cell>
          <cell r="Y2986">
            <v>45229</v>
          </cell>
          <cell r="AC2986">
            <v>45431</v>
          </cell>
        </row>
        <row r="2987">
          <cell r="I2987" t="str">
            <v>EDI</v>
          </cell>
          <cell r="L2987">
            <v>2612</v>
          </cell>
          <cell r="N2987" t="str">
            <v>Production</v>
          </cell>
          <cell r="O2987" t="str">
            <v>No</v>
          </cell>
          <cell r="Q2987" t="str">
            <v>Cancelled</v>
          </cell>
          <cell r="R2987">
            <v>45224.972604166673</v>
          </cell>
          <cell r="S2987" t="str">
            <v>Mirna Azmy</v>
          </cell>
          <cell r="T2987">
            <v>45243</v>
          </cell>
          <cell r="U2987" t="str">
            <v>Amy Bergstrom</v>
          </cell>
          <cell r="V2987">
            <v>45294</v>
          </cell>
          <cell r="W2987">
            <v>45356</v>
          </cell>
          <cell r="Y2987">
            <v>45231</v>
          </cell>
          <cell r="AC2987">
            <v>45371</v>
          </cell>
        </row>
        <row r="2988">
          <cell r="I2988" t="str">
            <v>EDI</v>
          </cell>
          <cell r="L2988">
            <v>2611</v>
          </cell>
          <cell r="N2988" t="str">
            <v>Production</v>
          </cell>
          <cell r="O2988" t="str">
            <v>No</v>
          </cell>
          <cell r="Q2988" t="str">
            <v>Live</v>
          </cell>
          <cell r="R2988">
            <v>45224.645138888889</v>
          </cell>
          <cell r="S2988" t="str">
            <v>Zeyad Khaled</v>
          </cell>
          <cell r="T2988">
            <v>45243</v>
          </cell>
          <cell r="U2988" t="str">
            <v>SheKas Grimes</v>
          </cell>
          <cell r="V2988">
            <v>45253</v>
          </cell>
          <cell r="W2988">
            <v>45278</v>
          </cell>
          <cell r="Y2988">
            <v>45228</v>
          </cell>
          <cell r="AC2988">
            <v>45278</v>
          </cell>
        </row>
        <row r="2989">
          <cell r="I2989" t="str">
            <v>EDI</v>
          </cell>
          <cell r="L2989">
            <v>2640</v>
          </cell>
          <cell r="N2989" t="str">
            <v>Production</v>
          </cell>
          <cell r="O2989" t="str">
            <v>No</v>
          </cell>
          <cell r="Q2989" t="str">
            <v>Cancelled</v>
          </cell>
          <cell r="R2989">
            <v>45223.859444444453</v>
          </cell>
          <cell r="S2989" t="str">
            <v>Zeyad Khaled</v>
          </cell>
          <cell r="T2989">
            <v>45256</v>
          </cell>
          <cell r="U2989" t="str">
            <v>Trish Kalinczok</v>
          </cell>
          <cell r="V2989">
            <v>45302</v>
          </cell>
          <cell r="W2989">
            <v>45335</v>
          </cell>
          <cell r="Y2989">
            <v>45251</v>
          </cell>
          <cell r="AC2989">
            <v>45330</v>
          </cell>
        </row>
        <row r="2990">
          <cell r="I2990" t="str">
            <v>EDI</v>
          </cell>
          <cell r="L2990">
            <v>2634</v>
          </cell>
          <cell r="N2990" t="str">
            <v>Production</v>
          </cell>
          <cell r="O2990" t="str">
            <v>No</v>
          </cell>
          <cell r="Q2990" t="str">
            <v>Cancelled</v>
          </cell>
          <cell r="R2990">
            <v>45223.8437962963</v>
          </cell>
          <cell r="S2990" t="str">
            <v>Alaa Yehia</v>
          </cell>
          <cell r="T2990">
            <v>45251</v>
          </cell>
          <cell r="U2990" t="str">
            <v>Trish Kalinczok</v>
          </cell>
          <cell r="V2990">
            <v>45299</v>
          </cell>
          <cell r="W2990">
            <v>45397</v>
          </cell>
          <cell r="Y2990">
            <v>45249</v>
          </cell>
          <cell r="AC2990">
            <v>45393</v>
          </cell>
        </row>
        <row r="2991">
          <cell r="I2991" t="str">
            <v>EDI</v>
          </cell>
          <cell r="L2991">
            <v>2628</v>
          </cell>
          <cell r="N2991" t="str">
            <v>Production</v>
          </cell>
          <cell r="O2991" t="str">
            <v>No</v>
          </cell>
          <cell r="Q2991" t="str">
            <v>Cancelled</v>
          </cell>
          <cell r="R2991">
            <v>45223.833611111113</v>
          </cell>
          <cell r="S2991" t="str">
            <v>Omnia Abdelaziz</v>
          </cell>
          <cell r="T2991">
            <v>45243</v>
          </cell>
          <cell r="U2991" t="str">
            <v>Hans De Grouw</v>
          </cell>
          <cell r="V2991">
            <v>45286</v>
          </cell>
          <cell r="W2991">
            <v>45407</v>
          </cell>
          <cell r="Y2991">
            <v>45228</v>
          </cell>
          <cell r="AC2991">
            <v>45406</v>
          </cell>
        </row>
        <row r="2992">
          <cell r="I2992" t="str">
            <v>EDI</v>
          </cell>
          <cell r="L2992">
            <v>2608</v>
          </cell>
          <cell r="N2992" t="str">
            <v>Production</v>
          </cell>
          <cell r="O2992" t="str">
            <v>No</v>
          </cell>
          <cell r="Q2992" t="str">
            <v>Cancelled</v>
          </cell>
          <cell r="R2992">
            <v>45223.685729166667</v>
          </cell>
          <cell r="S2992" t="str">
            <v>Alaa Yehia</v>
          </cell>
          <cell r="T2992">
            <v>45238</v>
          </cell>
          <cell r="U2992" t="str">
            <v>Amy Bergstrom</v>
          </cell>
          <cell r="V2992">
            <v>45257</v>
          </cell>
          <cell r="W2992">
            <v>45306</v>
          </cell>
          <cell r="Y2992">
            <v>45224</v>
          </cell>
          <cell r="AC2992">
            <v>45305</v>
          </cell>
        </row>
        <row r="2993">
          <cell r="I2993" t="str">
            <v>EDI</v>
          </cell>
          <cell r="L2993">
            <v>2596</v>
          </cell>
          <cell r="N2993" t="str">
            <v>Production</v>
          </cell>
          <cell r="O2993" t="str">
            <v>No</v>
          </cell>
          <cell r="Q2993" t="str">
            <v>Cancelled</v>
          </cell>
          <cell r="R2993">
            <v>45223.626550925917</v>
          </cell>
          <cell r="S2993" t="str">
            <v>Salma Yamani</v>
          </cell>
          <cell r="T2993">
            <v>45232</v>
          </cell>
          <cell r="U2993" t="str">
            <v>Jay Karas</v>
          </cell>
          <cell r="V2993">
            <v>45236</v>
          </cell>
          <cell r="W2993">
            <v>45302</v>
          </cell>
          <cell r="Y2993">
            <v>45224</v>
          </cell>
          <cell r="AC2993">
            <v>45299</v>
          </cell>
        </row>
        <row r="2994">
          <cell r="I2994" t="str">
            <v>EDI</v>
          </cell>
          <cell r="L2994">
            <v>2603</v>
          </cell>
          <cell r="N2994" t="str">
            <v>Production</v>
          </cell>
          <cell r="O2994" t="str">
            <v>No</v>
          </cell>
          <cell r="Q2994" t="str">
            <v>Live</v>
          </cell>
          <cell r="R2994">
            <v>45223.62228009259</v>
          </cell>
          <cell r="S2994" t="str">
            <v>Mirna Azmy</v>
          </cell>
          <cell r="T2994">
            <v>45238</v>
          </cell>
          <cell r="U2994" t="str">
            <v>Jay Karas</v>
          </cell>
          <cell r="V2994">
            <v>45302</v>
          </cell>
          <cell r="W2994">
            <v>45351</v>
          </cell>
          <cell r="Y2994">
            <v>45225</v>
          </cell>
          <cell r="AC2994">
            <v>45343</v>
          </cell>
        </row>
        <row r="2995">
          <cell r="I2995" t="str">
            <v>EDI</v>
          </cell>
          <cell r="L2995">
            <v>2588</v>
          </cell>
          <cell r="N2995" t="str">
            <v>Production</v>
          </cell>
          <cell r="O2995" t="str">
            <v>Everything Benefits</v>
          </cell>
          <cell r="P2995" t="str">
            <v>Production</v>
          </cell>
          <cell r="Q2995" t="str">
            <v>Live</v>
          </cell>
          <cell r="R2995">
            <v>45222.893067129633</v>
          </cell>
          <cell r="S2995" t="str">
            <v>Salma Yamani</v>
          </cell>
          <cell r="T2995">
            <v>45225</v>
          </cell>
          <cell r="U2995" t="str">
            <v>Trish Kalinczok</v>
          </cell>
          <cell r="V2995">
            <v>45343</v>
          </cell>
          <cell r="W2995">
            <v>45364</v>
          </cell>
          <cell r="Y2995">
            <v>45225</v>
          </cell>
          <cell r="AC2995">
            <v>45361</v>
          </cell>
        </row>
        <row r="2996">
          <cell r="I2996" t="str">
            <v>EDI</v>
          </cell>
          <cell r="L2996">
            <v>2676</v>
          </cell>
          <cell r="N2996" t="str">
            <v>Production</v>
          </cell>
          <cell r="O2996" t="str">
            <v>No</v>
          </cell>
          <cell r="Q2996" t="str">
            <v>Cancelled</v>
          </cell>
          <cell r="R2996">
            <v>45219.864259259259</v>
          </cell>
          <cell r="S2996" t="str">
            <v>Mina Adel</v>
          </cell>
          <cell r="T2996">
            <v>45362</v>
          </cell>
          <cell r="U2996" t="str">
            <v>Jay Karas</v>
          </cell>
          <cell r="V2996">
            <v>45341</v>
          </cell>
          <cell r="W2996">
            <v>25569</v>
          </cell>
          <cell r="Y2996">
            <v>45232</v>
          </cell>
          <cell r="AC2996">
            <v>45441</v>
          </cell>
        </row>
        <row r="2997">
          <cell r="I2997" t="str">
            <v>EDI</v>
          </cell>
          <cell r="L2997">
            <v>2569</v>
          </cell>
          <cell r="N2997" t="str">
            <v>Production</v>
          </cell>
          <cell r="O2997" t="str">
            <v>No</v>
          </cell>
          <cell r="Q2997" t="str">
            <v>Live</v>
          </cell>
          <cell r="R2997">
            <v>45218.875023148154</v>
          </cell>
          <cell r="S2997" t="str">
            <v>Andrew Ramy</v>
          </cell>
          <cell r="T2997">
            <v>45221</v>
          </cell>
          <cell r="U2997" t="str">
            <v>Tammy Davies</v>
          </cell>
          <cell r="V2997">
            <v>45250</v>
          </cell>
          <cell r="W2997">
            <v>45273</v>
          </cell>
          <cell r="AC2997">
            <v>45273</v>
          </cell>
        </row>
        <row r="2998">
          <cell r="I2998" t="str">
            <v>EDI</v>
          </cell>
          <cell r="L2998">
            <v>2682</v>
          </cell>
          <cell r="N2998" t="str">
            <v>Production</v>
          </cell>
          <cell r="O2998" t="str">
            <v>No</v>
          </cell>
          <cell r="Q2998" t="str">
            <v>Live</v>
          </cell>
          <cell r="R2998">
            <v>45218.555115740739</v>
          </cell>
          <cell r="S2998" t="str">
            <v>Aya Fathy</v>
          </cell>
          <cell r="T2998">
            <v>45273</v>
          </cell>
          <cell r="U2998" t="str">
            <v>Robbie Schappell</v>
          </cell>
          <cell r="V2998">
            <v>45279</v>
          </cell>
          <cell r="W2998">
            <v>45355</v>
          </cell>
          <cell r="Y2998">
            <v>45271</v>
          </cell>
          <cell r="AC2998">
            <v>45349</v>
          </cell>
        </row>
        <row r="2999">
          <cell r="I2999" t="str">
            <v>EDI</v>
          </cell>
          <cell r="N2999" t="str">
            <v>Requirements Gathering</v>
          </cell>
          <cell r="O2999" t="str">
            <v>No</v>
          </cell>
          <cell r="Q2999" t="str">
            <v>Cancelled</v>
          </cell>
          <cell r="R2999">
            <v>45217.605243055557</v>
          </cell>
          <cell r="S2999" t="str">
            <v>Abdulrahman Tarek</v>
          </cell>
          <cell r="T2999">
            <v>45217</v>
          </cell>
          <cell r="U2999" t="str">
            <v>Hans De Grouw</v>
          </cell>
        </row>
        <row r="3000">
          <cell r="I3000" t="str">
            <v>EDI</v>
          </cell>
          <cell r="L3000">
            <v>2601</v>
          </cell>
          <cell r="N3000" t="str">
            <v>Production</v>
          </cell>
          <cell r="O3000" t="str">
            <v>No</v>
          </cell>
          <cell r="Q3000" t="str">
            <v>Live</v>
          </cell>
          <cell r="R3000">
            <v>45216.891192129631</v>
          </cell>
          <cell r="S3000" t="str">
            <v>Omnia Abdelaziz</v>
          </cell>
          <cell r="T3000">
            <v>45237</v>
          </cell>
          <cell r="U3000" t="str">
            <v>Matt Howell</v>
          </cell>
          <cell r="V3000">
            <v>45306</v>
          </cell>
          <cell r="W3000">
            <v>45453</v>
          </cell>
          <cell r="Y3000">
            <v>45218</v>
          </cell>
          <cell r="AC3000">
            <v>45450</v>
          </cell>
        </row>
        <row r="3001">
          <cell r="I3001" t="str">
            <v>EDI</v>
          </cell>
          <cell r="L3001">
            <v>2624</v>
          </cell>
          <cell r="N3001" t="str">
            <v>Production</v>
          </cell>
          <cell r="O3001" t="str">
            <v>No</v>
          </cell>
          <cell r="Q3001" t="str">
            <v>Live</v>
          </cell>
          <cell r="R3001">
            <v>45216.891180555547</v>
          </cell>
          <cell r="S3001" t="str">
            <v>Mina George</v>
          </cell>
          <cell r="T3001">
            <v>45238</v>
          </cell>
          <cell r="U3001" t="str">
            <v>Matt Howell</v>
          </cell>
          <cell r="V3001">
            <v>45252</v>
          </cell>
          <cell r="W3001">
            <v>45274</v>
          </cell>
          <cell r="Y3001">
            <v>45224</v>
          </cell>
          <cell r="AC3001">
            <v>45274</v>
          </cell>
        </row>
        <row r="3002">
          <cell r="I3002" t="str">
            <v>EDI</v>
          </cell>
          <cell r="L3002">
            <v>2578</v>
          </cell>
          <cell r="N3002" t="str">
            <v>Production</v>
          </cell>
          <cell r="O3002" t="str">
            <v>No</v>
          </cell>
          <cell r="Q3002" t="str">
            <v>Cancelled</v>
          </cell>
          <cell r="R3002">
            <v>45216.825358796297</v>
          </cell>
          <cell r="S3002" t="str">
            <v>Mirna Azmy</v>
          </cell>
          <cell r="T3002">
            <v>45223</v>
          </cell>
          <cell r="U3002" t="str">
            <v>Robbie Schappell</v>
          </cell>
          <cell r="V3002">
            <v>45279</v>
          </cell>
          <cell r="W3002">
            <v>45315</v>
          </cell>
          <cell r="Y3002">
            <v>45223</v>
          </cell>
          <cell r="AC3002">
            <v>45313</v>
          </cell>
        </row>
        <row r="3003">
          <cell r="I3003" t="str">
            <v>EDI</v>
          </cell>
          <cell r="L3003">
            <v>2629</v>
          </cell>
          <cell r="N3003" t="str">
            <v>Production</v>
          </cell>
          <cell r="O3003" t="str">
            <v>No</v>
          </cell>
          <cell r="Q3003" t="str">
            <v>Cancelled</v>
          </cell>
          <cell r="R3003">
            <v>45216.782407407409</v>
          </cell>
          <cell r="S3003" t="str">
            <v>Joseph Atef</v>
          </cell>
          <cell r="T3003">
            <v>45238</v>
          </cell>
          <cell r="U3003" t="str">
            <v>Matt Howell</v>
          </cell>
          <cell r="V3003">
            <v>45305</v>
          </cell>
          <cell r="W3003">
            <v>45341</v>
          </cell>
          <cell r="Y3003">
            <v>45236</v>
          </cell>
          <cell r="AC3003">
            <v>45341</v>
          </cell>
        </row>
        <row r="3004">
          <cell r="I3004" t="str">
            <v>EDI</v>
          </cell>
          <cell r="L3004">
            <v>2572</v>
          </cell>
          <cell r="N3004" t="str">
            <v>Requirements Gathering</v>
          </cell>
          <cell r="O3004" t="str">
            <v>No</v>
          </cell>
          <cell r="Q3004" t="str">
            <v>Cancelled</v>
          </cell>
          <cell r="R3004">
            <v>45216.737141203703</v>
          </cell>
          <cell r="S3004" t="str">
            <v>Abdulrahman Tarek</v>
          </cell>
          <cell r="T3004">
            <v>45257</v>
          </cell>
          <cell r="U3004" t="str">
            <v>Matt Howell</v>
          </cell>
          <cell r="Y3004">
            <v>45222</v>
          </cell>
        </row>
        <row r="3005">
          <cell r="I3005" t="str">
            <v>EDI</v>
          </cell>
          <cell r="L3005">
            <v>2605</v>
          </cell>
          <cell r="N3005" t="str">
            <v>Production</v>
          </cell>
          <cell r="O3005" t="str">
            <v>No</v>
          </cell>
          <cell r="Q3005" t="str">
            <v>Cancelled</v>
          </cell>
          <cell r="R3005">
            <v>45216.583645833343</v>
          </cell>
          <cell r="S3005" t="str">
            <v>Nada Ashraf</v>
          </cell>
          <cell r="T3005">
            <v>45385</v>
          </cell>
          <cell r="U3005" t="str">
            <v>Trish Kalinczok</v>
          </cell>
          <cell r="V3005">
            <v>45242</v>
          </cell>
          <cell r="W3005">
            <v>25569</v>
          </cell>
          <cell r="Y3005">
            <v>45225</v>
          </cell>
          <cell r="AC3005">
            <v>45470</v>
          </cell>
        </row>
        <row r="3006">
          <cell r="I3006" t="str">
            <v>EDI</v>
          </cell>
          <cell r="L3006">
            <v>2597</v>
          </cell>
          <cell r="N3006" t="str">
            <v>Production</v>
          </cell>
          <cell r="O3006" t="str">
            <v>No</v>
          </cell>
          <cell r="Q3006" t="str">
            <v>Live</v>
          </cell>
          <cell r="R3006">
            <v>45216.583645833343</v>
          </cell>
          <cell r="S3006" t="str">
            <v>Mirna Azmy</v>
          </cell>
          <cell r="T3006">
            <v>45236</v>
          </cell>
          <cell r="U3006" t="str">
            <v>Trish Kalinczok</v>
          </cell>
          <cell r="V3006">
            <v>45242</v>
          </cell>
          <cell r="W3006">
            <v>45481</v>
          </cell>
          <cell r="Y3006">
            <v>45216</v>
          </cell>
          <cell r="AC3006">
            <v>45480</v>
          </cell>
        </row>
        <row r="3007">
          <cell r="I3007" t="str">
            <v>EDI</v>
          </cell>
          <cell r="L3007">
            <v>2587</v>
          </cell>
          <cell r="N3007" t="str">
            <v>Production</v>
          </cell>
          <cell r="O3007" t="str">
            <v>No</v>
          </cell>
          <cell r="Q3007" t="str">
            <v>Cancelled</v>
          </cell>
          <cell r="R3007">
            <v>45215.592719907407</v>
          </cell>
          <cell r="S3007" t="str">
            <v>Aya Fathy</v>
          </cell>
          <cell r="T3007">
            <v>45230</v>
          </cell>
          <cell r="U3007" t="str">
            <v>Hans De Grouw</v>
          </cell>
          <cell r="V3007">
            <v>45230</v>
          </cell>
          <cell r="W3007">
            <v>45267</v>
          </cell>
          <cell r="Y3007">
            <v>45217</v>
          </cell>
          <cell r="AC3007">
            <v>45258</v>
          </cell>
        </row>
        <row r="3008">
          <cell r="I3008" t="str">
            <v>EDI</v>
          </cell>
          <cell r="L3008">
            <v>2599</v>
          </cell>
          <cell r="N3008" t="str">
            <v>Production</v>
          </cell>
          <cell r="O3008" t="str">
            <v>No</v>
          </cell>
          <cell r="Q3008" t="str">
            <v>Live</v>
          </cell>
          <cell r="R3008">
            <v>45215.592719907407</v>
          </cell>
          <cell r="S3008" t="str">
            <v>Alaa Yehia</v>
          </cell>
          <cell r="T3008">
            <v>45235</v>
          </cell>
          <cell r="U3008" t="str">
            <v>Hans De Grouw</v>
          </cell>
          <cell r="V3008">
            <v>45337</v>
          </cell>
          <cell r="W3008">
            <v>25569</v>
          </cell>
          <cell r="Y3008">
            <v>45218</v>
          </cell>
          <cell r="AC3008">
            <v>45385</v>
          </cell>
        </row>
        <row r="3009">
          <cell r="I3009" t="str">
            <v>EDI</v>
          </cell>
          <cell r="L3009">
            <v>3108</v>
          </cell>
          <cell r="N3009" t="str">
            <v>Production</v>
          </cell>
          <cell r="O3009" t="str">
            <v>No</v>
          </cell>
          <cell r="Q3009" t="str">
            <v>Live</v>
          </cell>
          <cell r="R3009">
            <v>45212.980439814812</v>
          </cell>
          <cell r="S3009" t="str">
            <v>Omnia Abdelaziz</v>
          </cell>
          <cell r="T3009">
            <v>45447</v>
          </cell>
          <cell r="U3009" t="str">
            <v>Tammy Davies</v>
          </cell>
          <cell r="V3009">
            <v>45526</v>
          </cell>
          <cell r="W3009">
            <v>45574</v>
          </cell>
          <cell r="Y3009">
            <v>45447</v>
          </cell>
          <cell r="AC3009">
            <v>45650</v>
          </cell>
        </row>
        <row r="3010">
          <cell r="I3010" t="str">
            <v>EDI</v>
          </cell>
          <cell r="L3010">
            <v>2576</v>
          </cell>
          <cell r="N3010" t="str">
            <v>Production</v>
          </cell>
          <cell r="O3010" t="str">
            <v>No</v>
          </cell>
          <cell r="Q3010" t="str">
            <v>Live</v>
          </cell>
          <cell r="R3010">
            <v>45212.980439814812</v>
          </cell>
          <cell r="S3010" t="str">
            <v>Mina George</v>
          </cell>
          <cell r="T3010">
            <v>45221</v>
          </cell>
          <cell r="U3010" t="str">
            <v>Tammy Davies</v>
          </cell>
          <cell r="V3010">
            <v>25569</v>
          </cell>
          <cell r="W3010">
            <v>45811</v>
          </cell>
          <cell r="Y3010">
            <v>45217</v>
          </cell>
          <cell r="AC3010">
            <v>45811</v>
          </cell>
        </row>
        <row r="3011">
          <cell r="I3011" t="str">
            <v>EDI</v>
          </cell>
          <cell r="L3011">
            <v>2564</v>
          </cell>
          <cell r="N3011" t="str">
            <v>Production</v>
          </cell>
          <cell r="O3011" t="str">
            <v>No</v>
          </cell>
          <cell r="Q3011" t="str">
            <v>Live</v>
          </cell>
          <cell r="R3011">
            <v>45212.589861111112</v>
          </cell>
          <cell r="S3011" t="str">
            <v>Aya Fathy</v>
          </cell>
          <cell r="T3011">
            <v>45221</v>
          </cell>
          <cell r="U3011" t="str">
            <v>Hans De Grouw</v>
          </cell>
          <cell r="V3011">
            <v>45260</v>
          </cell>
          <cell r="W3011">
            <v>45421</v>
          </cell>
          <cell r="Y3011">
            <v>45220</v>
          </cell>
          <cell r="AC3011">
            <v>45397</v>
          </cell>
        </row>
        <row r="3012">
          <cell r="I3012" t="str">
            <v>EDI</v>
          </cell>
          <cell r="L3012">
            <v>2585</v>
          </cell>
          <cell r="N3012" t="str">
            <v>Production</v>
          </cell>
          <cell r="O3012" t="str">
            <v>No</v>
          </cell>
          <cell r="Q3012" t="str">
            <v>Live</v>
          </cell>
          <cell r="R3012">
            <v>45211.768946759257</v>
          </cell>
          <cell r="S3012" t="str">
            <v>Aya Fathy</v>
          </cell>
          <cell r="T3012">
            <v>45229</v>
          </cell>
          <cell r="U3012" t="str">
            <v>SheKas Grimes</v>
          </cell>
          <cell r="V3012">
            <v>45260</v>
          </cell>
          <cell r="W3012">
            <v>45279</v>
          </cell>
          <cell r="Y3012">
            <v>45215</v>
          </cell>
          <cell r="AC3012">
            <v>45272</v>
          </cell>
        </row>
        <row r="3013">
          <cell r="I3013" t="str">
            <v>EDI</v>
          </cell>
          <cell r="L3013">
            <v>2602</v>
          </cell>
          <cell r="N3013" t="str">
            <v>Production</v>
          </cell>
          <cell r="O3013" t="str">
            <v>No</v>
          </cell>
          <cell r="Q3013" t="str">
            <v>Live</v>
          </cell>
          <cell r="R3013">
            <v>45211.699386574073</v>
          </cell>
          <cell r="S3013" t="str">
            <v>Joseph Atef</v>
          </cell>
          <cell r="T3013">
            <v>45231</v>
          </cell>
          <cell r="U3013" t="str">
            <v>Jene Hamm</v>
          </cell>
          <cell r="V3013">
            <v>45272</v>
          </cell>
          <cell r="W3013">
            <v>25569</v>
          </cell>
          <cell r="Y3013">
            <v>45223</v>
          </cell>
          <cell r="AC3013">
            <v>45533</v>
          </cell>
        </row>
        <row r="3014">
          <cell r="I3014" t="str">
            <v>EDI</v>
          </cell>
          <cell r="L3014">
            <v>2609</v>
          </cell>
          <cell r="N3014" t="str">
            <v>Production</v>
          </cell>
          <cell r="O3014" t="str">
            <v>No</v>
          </cell>
          <cell r="Q3014" t="str">
            <v>Live</v>
          </cell>
          <cell r="R3014">
            <v>45211.60628472222</v>
          </cell>
          <cell r="S3014" t="str">
            <v>Mirna Azmy</v>
          </cell>
          <cell r="T3014">
            <v>45239</v>
          </cell>
          <cell r="U3014" t="str">
            <v>Jay Karas</v>
          </cell>
          <cell r="V3014">
            <v>45243</v>
          </cell>
          <cell r="W3014">
            <v>45295</v>
          </cell>
          <cell r="Y3014">
            <v>45238</v>
          </cell>
          <cell r="AC3014">
            <v>45294</v>
          </cell>
        </row>
        <row r="3015">
          <cell r="I3015" t="str">
            <v>EDI</v>
          </cell>
          <cell r="L3015">
            <v>2592</v>
          </cell>
          <cell r="N3015" t="str">
            <v>Testing</v>
          </cell>
          <cell r="O3015" t="str">
            <v>No</v>
          </cell>
          <cell r="Q3015" t="str">
            <v>Cancelled</v>
          </cell>
          <cell r="R3015">
            <v>45211.558136574073</v>
          </cell>
          <cell r="S3015" t="str">
            <v>Mirna Azmy</v>
          </cell>
          <cell r="T3015">
            <v>45230</v>
          </cell>
          <cell r="U3015" t="str">
            <v>Jay Karas</v>
          </cell>
          <cell r="V3015">
            <v>45299</v>
          </cell>
          <cell r="Y3015">
            <v>45217</v>
          </cell>
        </row>
        <row r="3016">
          <cell r="I3016" t="str">
            <v>EDI</v>
          </cell>
          <cell r="L3016">
            <v>2594</v>
          </cell>
          <cell r="N3016" t="str">
            <v>Production</v>
          </cell>
          <cell r="O3016" t="str">
            <v>No</v>
          </cell>
          <cell r="Q3016" t="str">
            <v>Live</v>
          </cell>
          <cell r="R3016">
            <v>45209.895740740743</v>
          </cell>
          <cell r="S3016" t="str">
            <v>Mirna Azmy</v>
          </cell>
          <cell r="T3016">
            <v>45235</v>
          </cell>
          <cell r="U3016" t="str">
            <v>Trish Kalinczok</v>
          </cell>
          <cell r="V3016">
            <v>25569</v>
          </cell>
          <cell r="W3016">
            <v>45279</v>
          </cell>
          <cell r="Y3016">
            <v>45231</v>
          </cell>
          <cell r="AC3016">
            <v>45270</v>
          </cell>
        </row>
        <row r="3017">
          <cell r="I3017" t="str">
            <v>EDI</v>
          </cell>
          <cell r="L3017">
            <v>2604</v>
          </cell>
          <cell r="N3017" t="str">
            <v>Production</v>
          </cell>
          <cell r="O3017" t="str">
            <v>No</v>
          </cell>
          <cell r="Q3017" t="str">
            <v>Live</v>
          </cell>
          <cell r="R3017">
            <v>45209.894513888888</v>
          </cell>
          <cell r="S3017" t="str">
            <v>Andrew Ramy</v>
          </cell>
          <cell r="T3017">
            <v>45232</v>
          </cell>
          <cell r="U3017" t="str">
            <v>Trish Kalinczok</v>
          </cell>
          <cell r="V3017">
            <v>25569</v>
          </cell>
          <cell r="W3017">
            <v>45405</v>
          </cell>
          <cell r="Y3017">
            <v>45231</v>
          </cell>
          <cell r="AC3017">
            <v>45405</v>
          </cell>
        </row>
        <row r="3018">
          <cell r="I3018" t="str">
            <v>EDI</v>
          </cell>
          <cell r="L3018">
            <v>2577</v>
          </cell>
          <cell r="N3018" t="str">
            <v>Production</v>
          </cell>
          <cell r="O3018" t="str">
            <v>No</v>
          </cell>
          <cell r="Q3018" t="str">
            <v>Live</v>
          </cell>
          <cell r="R3018">
            <v>45209.669641203713</v>
          </cell>
          <cell r="S3018" t="str">
            <v>Aya Fathy</v>
          </cell>
          <cell r="T3018">
            <v>45225</v>
          </cell>
          <cell r="U3018" t="str">
            <v>Robbie Schappell</v>
          </cell>
          <cell r="V3018">
            <v>45238</v>
          </cell>
          <cell r="W3018">
            <v>45251</v>
          </cell>
          <cell r="Y3018">
            <v>45218</v>
          </cell>
          <cell r="AC3018">
            <v>45251</v>
          </cell>
        </row>
        <row r="3019">
          <cell r="I3019" t="str">
            <v>EDI</v>
          </cell>
          <cell r="L3019">
            <v>2583</v>
          </cell>
          <cell r="N3019" t="str">
            <v>Production</v>
          </cell>
          <cell r="O3019" t="str">
            <v>No</v>
          </cell>
          <cell r="Q3019" t="str">
            <v>Live</v>
          </cell>
          <cell r="R3019">
            <v>45209.669641203713</v>
          </cell>
          <cell r="S3019" t="str">
            <v>Salma Yamani</v>
          </cell>
          <cell r="T3019">
            <v>45228</v>
          </cell>
          <cell r="U3019" t="str">
            <v>Robbie Schappell</v>
          </cell>
          <cell r="V3019">
            <v>45235</v>
          </cell>
          <cell r="W3019">
            <v>45280</v>
          </cell>
          <cell r="Y3019">
            <v>45226</v>
          </cell>
          <cell r="AC3019">
            <v>45277</v>
          </cell>
        </row>
        <row r="3020">
          <cell r="I3020" t="str">
            <v>EDI</v>
          </cell>
          <cell r="L3020">
            <v>2805</v>
          </cell>
          <cell r="N3020" t="str">
            <v>Production</v>
          </cell>
          <cell r="O3020" t="str">
            <v>No</v>
          </cell>
          <cell r="Q3020" t="str">
            <v>Cancelled</v>
          </cell>
          <cell r="R3020">
            <v>45209.669629629629</v>
          </cell>
          <cell r="S3020" t="str">
            <v>Peter Fayez</v>
          </cell>
          <cell r="T3020">
            <v>45321</v>
          </cell>
          <cell r="U3020" t="str">
            <v>Robbie Schappell</v>
          </cell>
          <cell r="V3020">
            <v>45336</v>
          </cell>
          <cell r="W3020">
            <v>45425</v>
          </cell>
          <cell r="Y3020">
            <v>45321</v>
          </cell>
          <cell r="AC3020">
            <v>45421</v>
          </cell>
        </row>
        <row r="3021">
          <cell r="I3021" t="str">
            <v>EDI</v>
          </cell>
          <cell r="L3021">
            <v>2584</v>
          </cell>
          <cell r="N3021" t="str">
            <v>Production</v>
          </cell>
          <cell r="O3021" t="str">
            <v>No</v>
          </cell>
          <cell r="Q3021" t="str">
            <v>Cancelled</v>
          </cell>
          <cell r="R3021">
            <v>45204.887430555558</v>
          </cell>
          <cell r="S3021" t="str">
            <v>Andrew Ramy</v>
          </cell>
          <cell r="T3021">
            <v>45225</v>
          </cell>
          <cell r="U3021" t="str">
            <v>Hans De Grouw</v>
          </cell>
          <cell r="V3021">
            <v>45266</v>
          </cell>
          <cell r="W3021">
            <v>45313</v>
          </cell>
          <cell r="Y3021">
            <v>45208</v>
          </cell>
          <cell r="AC3021">
            <v>45307</v>
          </cell>
        </row>
        <row r="3022">
          <cell r="I3022" t="str">
            <v>EDI</v>
          </cell>
          <cell r="L3022">
            <v>2580</v>
          </cell>
          <cell r="N3022" t="str">
            <v>Production</v>
          </cell>
          <cell r="O3022" t="str">
            <v>No</v>
          </cell>
          <cell r="Q3022" t="str">
            <v>Cancelled</v>
          </cell>
          <cell r="R3022">
            <v>45204.673645833333</v>
          </cell>
          <cell r="S3022" t="str">
            <v>Alaa Yehia</v>
          </cell>
          <cell r="T3022">
            <v>45224</v>
          </cell>
          <cell r="U3022" t="str">
            <v>Miranda Naeem</v>
          </cell>
          <cell r="V3022">
            <v>45266</v>
          </cell>
          <cell r="W3022">
            <v>45280</v>
          </cell>
          <cell r="Y3022">
            <v>45214</v>
          </cell>
          <cell r="AC3022">
            <v>45274</v>
          </cell>
        </row>
        <row r="3023">
          <cell r="I3023" t="str">
            <v>EDI</v>
          </cell>
          <cell r="L3023">
            <v>2573</v>
          </cell>
          <cell r="N3023" t="str">
            <v>Production</v>
          </cell>
          <cell r="O3023" t="str">
            <v>No</v>
          </cell>
          <cell r="Q3023" t="str">
            <v>Live</v>
          </cell>
          <cell r="R3023">
            <v>45203.814293981479</v>
          </cell>
          <cell r="S3023" t="str">
            <v>Salma Yamani</v>
          </cell>
          <cell r="T3023">
            <v>45223</v>
          </cell>
          <cell r="U3023" t="str">
            <v>Trish Kalinczok</v>
          </cell>
          <cell r="V3023">
            <v>45281</v>
          </cell>
          <cell r="W3023">
            <v>45316</v>
          </cell>
          <cell r="Y3023">
            <v>45208</v>
          </cell>
          <cell r="AC3023">
            <v>45313</v>
          </cell>
        </row>
        <row r="3024">
          <cell r="I3024" t="str">
            <v>EDI</v>
          </cell>
          <cell r="L3024">
            <v>2575</v>
          </cell>
          <cell r="N3024" t="str">
            <v>Production</v>
          </cell>
          <cell r="O3024" t="str">
            <v>No</v>
          </cell>
          <cell r="Q3024" t="str">
            <v>Cancelled</v>
          </cell>
          <cell r="R3024">
            <v>45203.674583333333</v>
          </cell>
          <cell r="S3024" t="str">
            <v>Mina George</v>
          </cell>
          <cell r="T3024">
            <v>45223</v>
          </cell>
          <cell r="U3024" t="str">
            <v>Trish Kalinczok</v>
          </cell>
          <cell r="V3024">
            <v>45230</v>
          </cell>
          <cell r="W3024">
            <v>45243</v>
          </cell>
          <cell r="Y3024">
            <v>45210</v>
          </cell>
          <cell r="AC3024">
            <v>45242</v>
          </cell>
        </row>
        <row r="3025">
          <cell r="I3025" t="str">
            <v>EDI</v>
          </cell>
          <cell r="L3025">
            <v>2571</v>
          </cell>
          <cell r="N3025" t="str">
            <v>Testing</v>
          </cell>
          <cell r="O3025" t="str">
            <v>No</v>
          </cell>
          <cell r="Q3025" t="str">
            <v>Cancelled</v>
          </cell>
          <cell r="R3025">
            <v>45202.523715277777</v>
          </cell>
          <cell r="S3025" t="str">
            <v>Aya Fathy</v>
          </cell>
          <cell r="T3025">
            <v>45222</v>
          </cell>
          <cell r="U3025" t="str">
            <v>Tammy Davies</v>
          </cell>
          <cell r="V3025">
            <v>45351</v>
          </cell>
          <cell r="Y3025">
            <v>45209</v>
          </cell>
        </row>
        <row r="3026">
          <cell r="I3026" t="str">
            <v>EDI</v>
          </cell>
          <cell r="L3026">
            <v>2574</v>
          </cell>
          <cell r="N3026" t="str">
            <v>Production</v>
          </cell>
          <cell r="O3026" t="str">
            <v>No</v>
          </cell>
          <cell r="Q3026" t="str">
            <v>Live</v>
          </cell>
          <cell r="R3026">
            <v>45202.523715277777</v>
          </cell>
          <cell r="S3026" t="str">
            <v>Aya Fathy</v>
          </cell>
          <cell r="T3026">
            <v>45223</v>
          </cell>
          <cell r="U3026" t="str">
            <v>Tammy Davies</v>
          </cell>
          <cell r="V3026">
            <v>45223</v>
          </cell>
          <cell r="W3026">
            <v>45363</v>
          </cell>
          <cell r="Y3026">
            <v>45214</v>
          </cell>
          <cell r="AC3026">
            <v>45361</v>
          </cell>
        </row>
        <row r="3027">
          <cell r="I3027" t="str">
            <v>EDI</v>
          </cell>
          <cell r="L3027">
            <v>2565</v>
          </cell>
          <cell r="N3027" t="str">
            <v>Testing</v>
          </cell>
          <cell r="O3027" t="str">
            <v>No</v>
          </cell>
          <cell r="Q3027" t="str">
            <v>Cancelled</v>
          </cell>
          <cell r="R3027">
            <v>45201.854629629634</v>
          </cell>
          <cell r="S3027" t="str">
            <v>Omnia Abdelaziz</v>
          </cell>
          <cell r="T3027">
            <v>45218</v>
          </cell>
          <cell r="U3027" t="str">
            <v>Trish Kalinczok</v>
          </cell>
          <cell r="Y3027">
            <v>45211</v>
          </cell>
        </row>
        <row r="3028">
          <cell r="I3028" t="str">
            <v>EDI</v>
          </cell>
          <cell r="L3028">
            <v>2568</v>
          </cell>
          <cell r="N3028" t="str">
            <v>Production</v>
          </cell>
          <cell r="O3028" t="str">
            <v>No</v>
          </cell>
          <cell r="Q3028" t="str">
            <v>Cancelled</v>
          </cell>
          <cell r="R3028">
            <v>45201.854629629634</v>
          </cell>
          <cell r="S3028" t="str">
            <v>Mina Adel</v>
          </cell>
          <cell r="T3028">
            <v>45222</v>
          </cell>
          <cell r="U3028" t="str">
            <v>Trish Kalinczok</v>
          </cell>
          <cell r="V3028">
            <v>45239</v>
          </cell>
          <cell r="W3028">
            <v>45268</v>
          </cell>
          <cell r="Y3028">
            <v>45207</v>
          </cell>
          <cell r="AC3028">
            <v>45267</v>
          </cell>
        </row>
        <row r="3029">
          <cell r="I3029" t="str">
            <v>EDI</v>
          </cell>
          <cell r="L3029">
            <v>2567</v>
          </cell>
          <cell r="N3029" t="str">
            <v>Production</v>
          </cell>
          <cell r="O3029" t="str">
            <v>No</v>
          </cell>
          <cell r="Q3029" t="str">
            <v>Live</v>
          </cell>
          <cell r="R3029">
            <v>45196.987361111111</v>
          </cell>
          <cell r="S3029" t="str">
            <v>Mina Adel</v>
          </cell>
          <cell r="T3029">
            <v>45216</v>
          </cell>
          <cell r="U3029" t="str">
            <v>Tammy Davies</v>
          </cell>
          <cell r="V3029">
            <v>45235</v>
          </cell>
          <cell r="W3029">
            <v>45242</v>
          </cell>
          <cell r="Y3029">
            <v>45202</v>
          </cell>
          <cell r="AC3029">
            <v>45242</v>
          </cell>
        </row>
        <row r="3030">
          <cell r="I3030" t="str">
            <v>EDI</v>
          </cell>
          <cell r="L3030">
            <v>2593</v>
          </cell>
          <cell r="N3030" t="str">
            <v>Production</v>
          </cell>
          <cell r="O3030" t="str">
            <v>No</v>
          </cell>
          <cell r="Q3030" t="str">
            <v>Live</v>
          </cell>
          <cell r="R3030">
            <v>45196.883784722217</v>
          </cell>
          <cell r="S3030" t="str">
            <v>Joseph Atef</v>
          </cell>
          <cell r="T3030">
            <v>45216</v>
          </cell>
          <cell r="U3030" t="str">
            <v>Tammy Davies</v>
          </cell>
          <cell r="V3030">
            <v>45356</v>
          </cell>
          <cell r="W3030">
            <v>45363</v>
          </cell>
          <cell r="Y3030">
            <v>45209</v>
          </cell>
          <cell r="AC3030">
            <v>45363</v>
          </cell>
        </row>
        <row r="3031">
          <cell r="I3031" t="str">
            <v>EDI</v>
          </cell>
          <cell r="L3031">
            <v>2591</v>
          </cell>
          <cell r="N3031" t="str">
            <v>Production</v>
          </cell>
          <cell r="O3031" t="str">
            <v>Everything Benefits</v>
          </cell>
          <cell r="P3031" t="str">
            <v>Production</v>
          </cell>
          <cell r="Q3031" t="str">
            <v>Cancelled</v>
          </cell>
          <cell r="R3031">
            <v>45196.762083333328</v>
          </cell>
          <cell r="S3031" t="str">
            <v>Amira Elshora</v>
          </cell>
          <cell r="T3031">
            <v>45214</v>
          </cell>
          <cell r="U3031" t="str">
            <v>Matt Howell</v>
          </cell>
          <cell r="V3031">
            <v>45232</v>
          </cell>
          <cell r="W3031">
            <v>25569</v>
          </cell>
          <cell r="AC3031">
            <v>45332</v>
          </cell>
        </row>
        <row r="3032">
          <cell r="I3032" t="str">
            <v>EDI</v>
          </cell>
          <cell r="L3032">
            <v>2545</v>
          </cell>
          <cell r="N3032" t="str">
            <v>Production</v>
          </cell>
          <cell r="O3032" t="str">
            <v>Everything Benefits</v>
          </cell>
          <cell r="P3032" t="str">
            <v>Production</v>
          </cell>
          <cell r="Q3032" t="str">
            <v>Cancelled</v>
          </cell>
          <cell r="R3032">
            <v>45196.727407407408</v>
          </cell>
          <cell r="S3032" t="str">
            <v>Mohamed Abdelhamed</v>
          </cell>
          <cell r="T3032">
            <v>45214</v>
          </cell>
          <cell r="U3032" t="str">
            <v>Matt Howell</v>
          </cell>
          <cell r="V3032">
            <v>45237</v>
          </cell>
          <cell r="W3032">
            <v>45274</v>
          </cell>
          <cell r="Y3032">
            <v>45210</v>
          </cell>
          <cell r="AC3032">
            <v>45270</v>
          </cell>
        </row>
        <row r="3033">
          <cell r="I3033" t="str">
            <v>EDI</v>
          </cell>
          <cell r="L3033">
            <v>2525</v>
          </cell>
          <cell r="N3033" t="str">
            <v>Production</v>
          </cell>
          <cell r="O3033" t="str">
            <v>Everything Benefits</v>
          </cell>
          <cell r="P3033" t="str">
            <v>Production</v>
          </cell>
          <cell r="Q3033" t="str">
            <v>Cancelled</v>
          </cell>
          <cell r="R3033">
            <v>45196.727395833332</v>
          </cell>
          <cell r="S3033" t="str">
            <v>Nada Ashraf</v>
          </cell>
          <cell r="T3033">
            <v>45202</v>
          </cell>
          <cell r="U3033" t="str">
            <v>Matt Howell</v>
          </cell>
          <cell r="V3033">
            <v>45203</v>
          </cell>
          <cell r="W3033">
            <v>45359</v>
          </cell>
          <cell r="Y3033">
            <v>45202</v>
          </cell>
          <cell r="AC3033">
            <v>45359</v>
          </cell>
        </row>
        <row r="3034">
          <cell r="I3034" t="str">
            <v>EDI</v>
          </cell>
          <cell r="L3034">
            <v>2713</v>
          </cell>
          <cell r="N3034" t="str">
            <v>Production</v>
          </cell>
          <cell r="O3034" t="str">
            <v>No</v>
          </cell>
          <cell r="Q3034" t="str">
            <v>Live</v>
          </cell>
          <cell r="R3034">
            <v>45195.719027777777</v>
          </cell>
          <cell r="S3034" t="str">
            <v>Mirna Azmy</v>
          </cell>
          <cell r="T3034">
            <v>45299</v>
          </cell>
          <cell r="U3034" t="str">
            <v>Tammy Davies</v>
          </cell>
          <cell r="V3034">
            <v>45299</v>
          </cell>
          <cell r="W3034">
            <v>45516</v>
          </cell>
          <cell r="Y3034">
            <v>45299</v>
          </cell>
          <cell r="AC3034">
            <v>45516</v>
          </cell>
        </row>
        <row r="3035">
          <cell r="I3035" t="str">
            <v>EDI</v>
          </cell>
          <cell r="L3035">
            <v>2535</v>
          </cell>
          <cell r="N3035" t="str">
            <v>Dataset Validation</v>
          </cell>
          <cell r="O3035" t="str">
            <v>Everything Benefits</v>
          </cell>
          <cell r="P3035" t="str">
            <v>Phase 1 - Map Built</v>
          </cell>
          <cell r="Q3035" t="str">
            <v>Cancelled</v>
          </cell>
          <cell r="R3035">
            <v>45195.663946759261</v>
          </cell>
          <cell r="S3035" t="str">
            <v>Tarek Medhat</v>
          </cell>
          <cell r="T3035">
            <v>45202</v>
          </cell>
          <cell r="U3035" t="str">
            <v>Jene Hamm</v>
          </cell>
          <cell r="Y3035">
            <v>45196</v>
          </cell>
        </row>
        <row r="3036">
          <cell r="I3036" t="str">
            <v>EDI</v>
          </cell>
          <cell r="L3036">
            <v>2536</v>
          </cell>
          <cell r="N3036" t="str">
            <v>Dataset Validation</v>
          </cell>
          <cell r="O3036" t="str">
            <v>Everything Benefits</v>
          </cell>
          <cell r="P3036" t="str">
            <v>Phase 1 - Map Built</v>
          </cell>
          <cell r="Q3036" t="str">
            <v>Cancelled</v>
          </cell>
          <cell r="R3036">
            <v>45195.663935185177</v>
          </cell>
          <cell r="S3036" t="str">
            <v>Tarek Medhat</v>
          </cell>
          <cell r="T3036">
            <v>45202</v>
          </cell>
          <cell r="U3036" t="str">
            <v>Jene Hamm</v>
          </cell>
          <cell r="Y3036">
            <v>45196</v>
          </cell>
        </row>
        <row r="3037">
          <cell r="I3037" t="str">
            <v>EDI</v>
          </cell>
          <cell r="L3037">
            <v>2653</v>
          </cell>
          <cell r="N3037" t="str">
            <v>Production</v>
          </cell>
          <cell r="O3037" t="str">
            <v>No</v>
          </cell>
          <cell r="Q3037" t="str">
            <v>Cancelled</v>
          </cell>
          <cell r="R3037">
            <v>45195.547060185178</v>
          </cell>
          <cell r="S3037" t="str">
            <v>Alaa Yehia</v>
          </cell>
          <cell r="T3037">
            <v>45256</v>
          </cell>
          <cell r="U3037" t="str">
            <v>Jenna  Whaley</v>
          </cell>
          <cell r="V3037">
            <v>45305</v>
          </cell>
          <cell r="W3037">
            <v>45323</v>
          </cell>
          <cell r="Y3037">
            <v>45251</v>
          </cell>
          <cell r="AC3037">
            <v>45319</v>
          </cell>
        </row>
        <row r="3038">
          <cell r="I3038" t="str">
            <v>EDI</v>
          </cell>
          <cell r="L3038">
            <v>2589</v>
          </cell>
          <cell r="N3038" t="str">
            <v>Production</v>
          </cell>
          <cell r="O3038" t="str">
            <v>No</v>
          </cell>
          <cell r="Q3038" t="str">
            <v>Cancelled</v>
          </cell>
          <cell r="R3038">
            <v>45195.547048611108</v>
          </cell>
          <cell r="S3038" t="str">
            <v>Mina Adel</v>
          </cell>
          <cell r="T3038">
            <v>45326</v>
          </cell>
          <cell r="U3038" t="str">
            <v>Jenna  Whaley</v>
          </cell>
          <cell r="V3038">
            <v>45285</v>
          </cell>
          <cell r="W3038">
            <v>45372</v>
          </cell>
          <cell r="Y3038">
            <v>45224</v>
          </cell>
          <cell r="AC3038">
            <v>45369</v>
          </cell>
        </row>
        <row r="3039">
          <cell r="I3039" t="str">
            <v>EDI</v>
          </cell>
          <cell r="L3039">
            <v>2561</v>
          </cell>
          <cell r="N3039" t="str">
            <v>Production</v>
          </cell>
          <cell r="O3039" t="str">
            <v>No</v>
          </cell>
          <cell r="Q3039" t="str">
            <v>Cancelled</v>
          </cell>
          <cell r="R3039">
            <v>45194.691712962973</v>
          </cell>
          <cell r="S3039" t="str">
            <v>Mirna Azmy</v>
          </cell>
          <cell r="T3039">
            <v>45218</v>
          </cell>
          <cell r="U3039" t="str">
            <v>Tammy Trexler</v>
          </cell>
          <cell r="V3039">
            <v>45270</v>
          </cell>
          <cell r="W3039">
            <v>45364</v>
          </cell>
          <cell r="Y3039">
            <v>45217</v>
          </cell>
          <cell r="AC3039">
            <v>45361</v>
          </cell>
        </row>
        <row r="3040">
          <cell r="I3040" t="str">
            <v>EDI</v>
          </cell>
          <cell r="L3040">
            <v>2562</v>
          </cell>
          <cell r="N3040" t="str">
            <v>Production</v>
          </cell>
          <cell r="O3040" t="str">
            <v>No</v>
          </cell>
          <cell r="Q3040" t="str">
            <v>Live</v>
          </cell>
          <cell r="R3040">
            <v>45194.679490740738</v>
          </cell>
          <cell r="S3040" t="str">
            <v>Aya Fathy</v>
          </cell>
          <cell r="T3040">
            <v>45218</v>
          </cell>
          <cell r="U3040" t="str">
            <v>Robbie Schappell</v>
          </cell>
          <cell r="V3040">
            <v>45222</v>
          </cell>
          <cell r="W3040">
            <v>45271</v>
          </cell>
          <cell r="Y3040">
            <v>45216</v>
          </cell>
          <cell r="AC3040">
            <v>45267</v>
          </cell>
        </row>
        <row r="3041">
          <cell r="I3041" t="str">
            <v>EDI</v>
          </cell>
          <cell r="L3041">
            <v>2549</v>
          </cell>
          <cell r="N3041" t="str">
            <v>Production</v>
          </cell>
          <cell r="O3041" t="str">
            <v>No</v>
          </cell>
          <cell r="Q3041" t="str">
            <v>Cancelled</v>
          </cell>
          <cell r="R3041">
            <v>45194.679490740738</v>
          </cell>
          <cell r="S3041" t="str">
            <v>Fady Maged</v>
          </cell>
          <cell r="T3041">
            <v>45208</v>
          </cell>
          <cell r="U3041" t="str">
            <v>Robbie Schappell</v>
          </cell>
          <cell r="V3041">
            <v>45225</v>
          </cell>
          <cell r="W3041">
            <v>45376</v>
          </cell>
          <cell r="Y3041">
            <v>45196</v>
          </cell>
          <cell r="AC3041">
            <v>45371</v>
          </cell>
        </row>
        <row r="3042">
          <cell r="I3042" t="str">
            <v>EDI</v>
          </cell>
          <cell r="N3042" t="str">
            <v>Requirements Gathering</v>
          </cell>
          <cell r="O3042" t="str">
            <v>No</v>
          </cell>
          <cell r="Q3042" t="str">
            <v>Cancelled</v>
          </cell>
          <cell r="R3042">
            <v>45194.679490740738</v>
          </cell>
          <cell r="S3042" t="str">
            <v>Lourina Edmon</v>
          </cell>
          <cell r="T3042">
            <v>45195</v>
          </cell>
          <cell r="U3042" t="str">
            <v>Robbie Schappell</v>
          </cell>
        </row>
        <row r="3043">
          <cell r="I3043" t="str">
            <v>EDI</v>
          </cell>
          <cell r="L3043">
            <v>2559</v>
          </cell>
          <cell r="N3043" t="str">
            <v>Production</v>
          </cell>
          <cell r="O3043" t="str">
            <v>No</v>
          </cell>
          <cell r="Q3043" t="str">
            <v>Live</v>
          </cell>
          <cell r="R3043">
            <v>45194.679479166669</v>
          </cell>
          <cell r="S3043" t="str">
            <v>Mirna Azmy</v>
          </cell>
          <cell r="T3043">
            <v>45216</v>
          </cell>
          <cell r="U3043" t="str">
            <v>Robbie Schappell</v>
          </cell>
          <cell r="W3043">
            <v>45328</v>
          </cell>
          <cell r="Y3043">
            <v>45196</v>
          </cell>
          <cell r="AC3043">
            <v>45323</v>
          </cell>
        </row>
        <row r="3044">
          <cell r="I3044" t="str">
            <v>EDI</v>
          </cell>
          <cell r="L3044">
            <v>2555</v>
          </cell>
          <cell r="N3044" t="str">
            <v>Production</v>
          </cell>
          <cell r="O3044" t="str">
            <v>Everything Benefits</v>
          </cell>
          <cell r="P3044" t="str">
            <v>Production</v>
          </cell>
          <cell r="Q3044" t="str">
            <v>Live</v>
          </cell>
          <cell r="R3044">
            <v>45191.921620370369</v>
          </cell>
          <cell r="S3044" t="str">
            <v>Karen Ramy</v>
          </cell>
          <cell r="T3044">
            <v>45215</v>
          </cell>
          <cell r="U3044" t="str">
            <v>Matt Howell</v>
          </cell>
          <cell r="V3044">
            <v>45243</v>
          </cell>
          <cell r="W3044">
            <v>45425</v>
          </cell>
          <cell r="AC3044">
            <v>45424</v>
          </cell>
        </row>
        <row r="3045">
          <cell r="I3045" t="str">
            <v>EDI</v>
          </cell>
          <cell r="L3045">
            <v>2582</v>
          </cell>
          <cell r="N3045" t="str">
            <v>Production</v>
          </cell>
          <cell r="O3045" t="str">
            <v>No</v>
          </cell>
          <cell r="Q3045" t="str">
            <v>Live</v>
          </cell>
          <cell r="R3045">
            <v>45190.633599537039</v>
          </cell>
          <cell r="S3045" t="str">
            <v>Fady Maged</v>
          </cell>
          <cell r="T3045">
            <v>45216</v>
          </cell>
          <cell r="U3045" t="str">
            <v>Robbie Schappell</v>
          </cell>
          <cell r="V3045">
            <v>25569</v>
          </cell>
          <cell r="W3045">
            <v>45281</v>
          </cell>
          <cell r="Y3045">
            <v>45201</v>
          </cell>
          <cell r="AC3045">
            <v>45277</v>
          </cell>
        </row>
        <row r="3046">
          <cell r="I3046" t="str">
            <v>EDI</v>
          </cell>
          <cell r="L3046">
            <v>2539</v>
          </cell>
          <cell r="N3046" t="str">
            <v>Production</v>
          </cell>
          <cell r="O3046" t="str">
            <v>No</v>
          </cell>
          <cell r="Q3046" t="str">
            <v>Live</v>
          </cell>
          <cell r="R3046">
            <v>45190.633599537039</v>
          </cell>
          <cell r="S3046" t="str">
            <v>Mina George</v>
          </cell>
          <cell r="T3046">
            <v>45209</v>
          </cell>
          <cell r="U3046" t="str">
            <v>Robbie Schappell</v>
          </cell>
          <cell r="V3046">
            <v>45231</v>
          </cell>
          <cell r="W3046">
            <v>45370</v>
          </cell>
          <cell r="Y3046">
            <v>45207</v>
          </cell>
          <cell r="AC3046">
            <v>45365</v>
          </cell>
        </row>
        <row r="3047">
          <cell r="I3047" t="str">
            <v>EDI</v>
          </cell>
          <cell r="L3047">
            <v>2579</v>
          </cell>
          <cell r="N3047" t="str">
            <v>Production</v>
          </cell>
          <cell r="O3047" t="str">
            <v>No</v>
          </cell>
          <cell r="Q3047" t="str">
            <v>Live</v>
          </cell>
          <cell r="R3047">
            <v>45190.633599537039</v>
          </cell>
          <cell r="S3047" t="str">
            <v>Mina George</v>
          </cell>
          <cell r="T3047">
            <v>45216</v>
          </cell>
          <cell r="U3047" t="str">
            <v>Robbie Schappell</v>
          </cell>
          <cell r="W3047">
            <v>45351</v>
          </cell>
          <cell r="Y3047">
            <v>45208</v>
          </cell>
          <cell r="AC3047">
            <v>45348</v>
          </cell>
        </row>
        <row r="3048">
          <cell r="I3048" t="str">
            <v>EDI</v>
          </cell>
          <cell r="L3048">
            <v>2552</v>
          </cell>
          <cell r="N3048" t="str">
            <v>Production</v>
          </cell>
          <cell r="O3048" t="str">
            <v>No</v>
          </cell>
          <cell r="Q3048" t="str">
            <v>Live</v>
          </cell>
          <cell r="R3048">
            <v>45190.626504629632</v>
          </cell>
          <cell r="S3048" t="str">
            <v>Mirna Azmy</v>
          </cell>
          <cell r="T3048">
            <v>45215</v>
          </cell>
          <cell r="U3048" t="str">
            <v>Tammy Trexler</v>
          </cell>
          <cell r="V3048">
            <v>45222</v>
          </cell>
          <cell r="W3048">
            <v>45286</v>
          </cell>
          <cell r="Y3048">
            <v>45195</v>
          </cell>
          <cell r="AC3048">
            <v>45280</v>
          </cell>
        </row>
        <row r="3049">
          <cell r="I3049" t="str">
            <v>EDI</v>
          </cell>
          <cell r="L3049">
            <v>2553</v>
          </cell>
          <cell r="N3049" t="str">
            <v>Production</v>
          </cell>
          <cell r="O3049" t="str">
            <v>No</v>
          </cell>
          <cell r="Q3049" t="str">
            <v>Live</v>
          </cell>
          <cell r="R3049">
            <v>45190.626504629632</v>
          </cell>
          <cell r="S3049" t="str">
            <v>Aya Fathy</v>
          </cell>
          <cell r="T3049">
            <v>45215</v>
          </cell>
          <cell r="U3049" t="str">
            <v>Tammy Trexler</v>
          </cell>
          <cell r="V3049">
            <v>45216</v>
          </cell>
          <cell r="W3049">
            <v>45239</v>
          </cell>
          <cell r="Y3049">
            <v>45194</v>
          </cell>
          <cell r="AC3049">
            <v>45232</v>
          </cell>
        </row>
        <row r="3050">
          <cell r="I3050" t="str">
            <v>EDI</v>
          </cell>
          <cell r="L3050">
            <v>2590</v>
          </cell>
          <cell r="N3050" t="str">
            <v>Production</v>
          </cell>
          <cell r="O3050" t="str">
            <v>No</v>
          </cell>
          <cell r="Q3050" t="str">
            <v>Live</v>
          </cell>
          <cell r="R3050">
            <v>45190.626504629632</v>
          </cell>
          <cell r="S3050" t="str">
            <v>Salma Yamani</v>
          </cell>
          <cell r="T3050">
            <v>45231</v>
          </cell>
          <cell r="U3050" t="str">
            <v>Tammy Trexler</v>
          </cell>
          <cell r="V3050">
            <v>45232</v>
          </cell>
          <cell r="W3050">
            <v>45288</v>
          </cell>
          <cell r="Y3050">
            <v>45230</v>
          </cell>
          <cell r="AC3050">
            <v>45284</v>
          </cell>
        </row>
        <row r="3051">
          <cell r="I3051" t="str">
            <v>EDI</v>
          </cell>
          <cell r="L3051">
            <v>2551</v>
          </cell>
          <cell r="N3051" t="str">
            <v>Production</v>
          </cell>
          <cell r="O3051" t="str">
            <v>No</v>
          </cell>
          <cell r="Q3051" t="str">
            <v>Live</v>
          </cell>
          <cell r="R3051">
            <v>45190.626504629632</v>
          </cell>
          <cell r="S3051" t="str">
            <v>Omnia Abdelaziz</v>
          </cell>
          <cell r="T3051">
            <v>45215</v>
          </cell>
          <cell r="U3051" t="str">
            <v>Miranda Naeem</v>
          </cell>
          <cell r="V3051">
            <v>45272</v>
          </cell>
          <cell r="W3051">
            <v>45426</v>
          </cell>
          <cell r="Y3051">
            <v>45213</v>
          </cell>
          <cell r="AC3051">
            <v>45419</v>
          </cell>
        </row>
        <row r="3052">
          <cell r="I3052" t="str">
            <v>EDI</v>
          </cell>
          <cell r="L3052">
            <v>2548</v>
          </cell>
          <cell r="N3052" t="str">
            <v>Testing</v>
          </cell>
          <cell r="O3052" t="str">
            <v>No</v>
          </cell>
          <cell r="Q3052" t="str">
            <v>Cancelled</v>
          </cell>
          <cell r="R3052">
            <v>45190.560254629629</v>
          </cell>
          <cell r="S3052" t="str">
            <v>Fady Maged</v>
          </cell>
          <cell r="T3052">
            <v>45214</v>
          </cell>
          <cell r="U3052" t="str">
            <v>SheKas Grimes</v>
          </cell>
          <cell r="V3052">
            <v>45234</v>
          </cell>
          <cell r="Y3052">
            <v>45211</v>
          </cell>
        </row>
        <row r="3053">
          <cell r="I3053" t="str">
            <v>EDI</v>
          </cell>
          <cell r="L3053">
            <v>2586</v>
          </cell>
          <cell r="N3053" t="str">
            <v>Testing</v>
          </cell>
          <cell r="O3053" t="str">
            <v>No</v>
          </cell>
          <cell r="Q3053" t="str">
            <v>Cancelled</v>
          </cell>
          <cell r="R3053">
            <v>45190.560254629629</v>
          </cell>
          <cell r="S3053" t="str">
            <v>Mirna Azmy</v>
          </cell>
          <cell r="T3053">
            <v>45228</v>
          </cell>
          <cell r="U3053" t="str">
            <v>SheKas Grimes</v>
          </cell>
          <cell r="V3053">
            <v>45237</v>
          </cell>
          <cell r="Y3053">
            <v>45228</v>
          </cell>
        </row>
        <row r="3054">
          <cell r="I3054" t="str">
            <v>EDI</v>
          </cell>
          <cell r="L3054">
            <v>2563</v>
          </cell>
          <cell r="N3054" t="str">
            <v>Mapping</v>
          </cell>
          <cell r="O3054" t="str">
            <v>No</v>
          </cell>
          <cell r="Q3054" t="str">
            <v>Cancelled</v>
          </cell>
          <cell r="R3054">
            <v>45190.560254629629</v>
          </cell>
          <cell r="S3054" t="str">
            <v>Joseph Atef</v>
          </cell>
          <cell r="T3054">
            <v>45214</v>
          </cell>
          <cell r="U3054" t="str">
            <v>SheKas Grimes</v>
          </cell>
          <cell r="Y3054">
            <v>45206</v>
          </cell>
        </row>
        <row r="3055">
          <cell r="I3055" t="str">
            <v>EDI</v>
          </cell>
          <cell r="L3055">
            <v>2557</v>
          </cell>
          <cell r="N3055" t="str">
            <v>Production</v>
          </cell>
          <cell r="O3055" t="str">
            <v>No</v>
          </cell>
          <cell r="Q3055" t="str">
            <v>Cancelled</v>
          </cell>
          <cell r="R3055">
            <v>45190.560254629629</v>
          </cell>
          <cell r="S3055" t="str">
            <v>Mina George</v>
          </cell>
          <cell r="T3055">
            <v>45214</v>
          </cell>
          <cell r="U3055" t="str">
            <v>SheKas Grimes</v>
          </cell>
          <cell r="V3055">
            <v>45217</v>
          </cell>
          <cell r="W3055">
            <v>45299</v>
          </cell>
          <cell r="Y3055">
            <v>45195</v>
          </cell>
          <cell r="AC3055">
            <v>45296</v>
          </cell>
        </row>
        <row r="3056">
          <cell r="I3056" t="str">
            <v>EDI</v>
          </cell>
          <cell r="L3056">
            <v>2558</v>
          </cell>
          <cell r="N3056" t="str">
            <v>Production</v>
          </cell>
          <cell r="O3056" t="str">
            <v>No</v>
          </cell>
          <cell r="Q3056" t="str">
            <v>Cancelled</v>
          </cell>
          <cell r="R3056">
            <v>45190.538541666669</v>
          </cell>
          <cell r="S3056" t="str">
            <v>Salma Yamani</v>
          </cell>
          <cell r="T3056">
            <v>45217</v>
          </cell>
          <cell r="U3056" t="str">
            <v>SheKas Grimes</v>
          </cell>
          <cell r="V3056">
            <v>45228</v>
          </cell>
          <cell r="W3056">
            <v>45310</v>
          </cell>
          <cell r="Y3056">
            <v>45217</v>
          </cell>
          <cell r="AC3056">
            <v>45308</v>
          </cell>
        </row>
        <row r="3057">
          <cell r="I3057" t="str">
            <v>EDI</v>
          </cell>
          <cell r="L3057">
            <v>2543</v>
          </cell>
          <cell r="N3057" t="str">
            <v>Production</v>
          </cell>
          <cell r="O3057" t="str">
            <v>No</v>
          </cell>
          <cell r="Q3057" t="str">
            <v>Live</v>
          </cell>
          <cell r="R3057">
            <v>45189.842037037037</v>
          </cell>
          <cell r="S3057" t="str">
            <v>Mirna Azmy</v>
          </cell>
          <cell r="T3057">
            <v>45211</v>
          </cell>
          <cell r="U3057" t="str">
            <v>Tammy Davies</v>
          </cell>
          <cell r="V3057">
            <v>45223</v>
          </cell>
          <cell r="W3057">
            <v>45621</v>
          </cell>
          <cell r="Y3057">
            <v>45193</v>
          </cell>
          <cell r="AC3057">
            <v>45620</v>
          </cell>
        </row>
        <row r="3058">
          <cell r="I3058" t="str">
            <v>EDI</v>
          </cell>
          <cell r="L3058">
            <v>2533</v>
          </cell>
          <cell r="N3058" t="str">
            <v>Production</v>
          </cell>
          <cell r="O3058" t="str">
            <v>No</v>
          </cell>
          <cell r="Q3058" t="str">
            <v>Live</v>
          </cell>
          <cell r="R3058">
            <v>45189.84202546296</v>
          </cell>
          <cell r="S3058" t="str">
            <v>Mirna Azmy</v>
          </cell>
          <cell r="T3058">
            <v>45209</v>
          </cell>
          <cell r="U3058" t="str">
            <v>Tammy Davies</v>
          </cell>
          <cell r="V3058">
            <v>45215</v>
          </cell>
          <cell r="W3058">
            <v>45239</v>
          </cell>
          <cell r="Y3058">
            <v>45200</v>
          </cell>
          <cell r="AC3058">
            <v>45235</v>
          </cell>
        </row>
        <row r="3059">
          <cell r="I3059" t="str">
            <v>EDI</v>
          </cell>
          <cell r="L3059">
            <v>2518</v>
          </cell>
          <cell r="N3059" t="str">
            <v>Production</v>
          </cell>
          <cell r="O3059" t="str">
            <v>Everything Benefits</v>
          </cell>
          <cell r="P3059" t="str">
            <v>Production</v>
          </cell>
          <cell r="Q3059" t="str">
            <v>Live</v>
          </cell>
          <cell r="R3059">
            <v>45189.735879629632</v>
          </cell>
          <cell r="S3059" t="str">
            <v>Mina Kamil</v>
          </cell>
          <cell r="T3059">
            <v>45195</v>
          </cell>
          <cell r="U3059" t="str">
            <v>Trish Kalinczok</v>
          </cell>
          <cell r="V3059">
            <v>45376</v>
          </cell>
          <cell r="W3059">
            <v>45572</v>
          </cell>
          <cell r="Y3059">
            <v>45193</v>
          </cell>
          <cell r="AC3059">
            <v>45571</v>
          </cell>
        </row>
        <row r="3060">
          <cell r="I3060" t="str">
            <v>EDI</v>
          </cell>
          <cell r="L3060">
            <v>2550</v>
          </cell>
          <cell r="N3060" t="str">
            <v>Production</v>
          </cell>
          <cell r="O3060" t="str">
            <v>No</v>
          </cell>
          <cell r="Q3060" t="str">
            <v>Live</v>
          </cell>
          <cell r="R3060">
            <v>45188.859571759262</v>
          </cell>
          <cell r="S3060" t="str">
            <v>Joseph Atef</v>
          </cell>
          <cell r="T3060">
            <v>45202</v>
          </cell>
          <cell r="U3060" t="str">
            <v>Matt Howell</v>
          </cell>
          <cell r="V3060">
            <v>45270</v>
          </cell>
          <cell r="W3060">
            <v>45344</v>
          </cell>
          <cell r="Y3060">
            <v>45193</v>
          </cell>
          <cell r="AC3060">
            <v>45342</v>
          </cell>
        </row>
        <row r="3061">
          <cell r="I3061" t="str">
            <v>EDI</v>
          </cell>
          <cell r="L3061">
            <v>2547</v>
          </cell>
          <cell r="N3061" t="str">
            <v>Production</v>
          </cell>
          <cell r="O3061" t="str">
            <v>No</v>
          </cell>
          <cell r="Q3061" t="str">
            <v>Cancelled</v>
          </cell>
          <cell r="R3061">
            <v>45188.859571759262</v>
          </cell>
          <cell r="S3061" t="str">
            <v>Mina Adel</v>
          </cell>
          <cell r="T3061">
            <v>45208</v>
          </cell>
          <cell r="U3061" t="str">
            <v>Matt Howell</v>
          </cell>
          <cell r="V3061">
            <v>45237</v>
          </cell>
          <cell r="W3061">
            <v>45246</v>
          </cell>
          <cell r="Y3061">
            <v>45190</v>
          </cell>
          <cell r="AC3061">
            <v>45239</v>
          </cell>
        </row>
        <row r="3062">
          <cell r="I3062" t="str">
            <v>EDI</v>
          </cell>
          <cell r="L3062">
            <v>2532</v>
          </cell>
          <cell r="N3062" t="str">
            <v>Production</v>
          </cell>
          <cell r="O3062" t="str">
            <v>No</v>
          </cell>
          <cell r="Q3062" t="str">
            <v>Cancelled</v>
          </cell>
          <cell r="R3062">
            <v>45188.859560185178</v>
          </cell>
          <cell r="S3062" t="str">
            <v>Mirna Azmy</v>
          </cell>
          <cell r="T3062">
            <v>45207</v>
          </cell>
          <cell r="U3062" t="str">
            <v>Matt Howell</v>
          </cell>
          <cell r="V3062">
            <v>45246</v>
          </cell>
          <cell r="W3062">
            <v>45386</v>
          </cell>
          <cell r="Y3062">
            <v>45202</v>
          </cell>
          <cell r="AC3062">
            <v>45369</v>
          </cell>
        </row>
        <row r="3063">
          <cell r="I3063" t="str">
            <v>EDI</v>
          </cell>
          <cell r="L3063">
            <v>2527</v>
          </cell>
          <cell r="N3063" t="str">
            <v>Production</v>
          </cell>
          <cell r="O3063" t="str">
            <v>No</v>
          </cell>
          <cell r="Q3063" t="str">
            <v>Cancelled</v>
          </cell>
          <cell r="R3063">
            <v>45188.859560185178</v>
          </cell>
          <cell r="S3063" t="str">
            <v>Mirna Azmy</v>
          </cell>
          <cell r="T3063">
            <v>45202</v>
          </cell>
          <cell r="U3063" t="str">
            <v>Matt Howell</v>
          </cell>
          <cell r="V3063">
            <v>45228</v>
          </cell>
          <cell r="W3063">
            <v>45239</v>
          </cell>
          <cell r="Y3063">
            <v>45201</v>
          </cell>
          <cell r="AC3063">
            <v>45237</v>
          </cell>
        </row>
        <row r="3064">
          <cell r="I3064" t="str">
            <v>EDI</v>
          </cell>
          <cell r="L3064">
            <v>2541</v>
          </cell>
          <cell r="N3064" t="str">
            <v>Production</v>
          </cell>
          <cell r="O3064" t="str">
            <v>No</v>
          </cell>
          <cell r="Q3064" t="str">
            <v>Live</v>
          </cell>
          <cell r="R3064">
            <v>45188.573657407411</v>
          </cell>
          <cell r="S3064" t="str">
            <v>Omnia Abdelaziz</v>
          </cell>
          <cell r="T3064">
            <v>45207</v>
          </cell>
          <cell r="U3064" t="str">
            <v>Jay Karas</v>
          </cell>
          <cell r="V3064">
            <v>45230</v>
          </cell>
          <cell r="W3064">
            <v>45239</v>
          </cell>
          <cell r="Y3064">
            <v>45203</v>
          </cell>
          <cell r="AC3064">
            <v>45235</v>
          </cell>
        </row>
        <row r="3065">
          <cell r="I3065" t="str">
            <v>EDI</v>
          </cell>
          <cell r="L3065">
            <v>2530</v>
          </cell>
          <cell r="N3065" t="str">
            <v>Production</v>
          </cell>
          <cell r="O3065" t="str">
            <v>No</v>
          </cell>
          <cell r="Q3065" t="str">
            <v>Live</v>
          </cell>
          <cell r="R3065">
            <v>45188.573657407411</v>
          </cell>
          <cell r="S3065" t="str">
            <v>Mina George</v>
          </cell>
          <cell r="T3065">
            <v>45200</v>
          </cell>
          <cell r="U3065" t="str">
            <v>Jay Karas</v>
          </cell>
          <cell r="V3065">
            <v>45223</v>
          </cell>
          <cell r="W3065">
            <v>45309</v>
          </cell>
          <cell r="Y3065">
            <v>45190</v>
          </cell>
          <cell r="AC3065">
            <v>45296</v>
          </cell>
        </row>
        <row r="3066">
          <cell r="I3066" t="str">
            <v>EDI</v>
          </cell>
          <cell r="N3066" t="str">
            <v>Requirements Gathering</v>
          </cell>
          <cell r="O3066" t="str">
            <v>Everything Benefits</v>
          </cell>
          <cell r="P3066" t="str">
            <v>Phase 1 - Map Built</v>
          </cell>
          <cell r="Q3066" t="str">
            <v>Cancelled</v>
          </cell>
          <cell r="R3066">
            <v>45187.918310185189</v>
          </cell>
          <cell r="S3066" t="str">
            <v>Sandra Adel</v>
          </cell>
          <cell r="T3066">
            <v>45188</v>
          </cell>
          <cell r="U3066" t="str">
            <v>Matt Howell</v>
          </cell>
        </row>
        <row r="3067">
          <cell r="I3067" t="str">
            <v>EDI</v>
          </cell>
          <cell r="L3067">
            <v>2484</v>
          </cell>
          <cell r="N3067" t="str">
            <v>Production</v>
          </cell>
          <cell r="O3067" t="str">
            <v>No</v>
          </cell>
          <cell r="Q3067" t="str">
            <v>Cancelled</v>
          </cell>
          <cell r="R3067">
            <v>45184.634525462963</v>
          </cell>
          <cell r="S3067" t="str">
            <v>Mina Adel</v>
          </cell>
          <cell r="T3067">
            <v>45187</v>
          </cell>
          <cell r="U3067" t="str">
            <v>Heather Bawsel</v>
          </cell>
          <cell r="W3067">
            <v>45190</v>
          </cell>
          <cell r="Y3067">
            <v>45187</v>
          </cell>
          <cell r="AC3067">
            <v>45189</v>
          </cell>
        </row>
        <row r="3068">
          <cell r="I3068" t="str">
            <v>EDI</v>
          </cell>
          <cell r="N3068" t="str">
            <v>Requirements Gathering</v>
          </cell>
          <cell r="O3068" t="str">
            <v>Everything Benefits</v>
          </cell>
          <cell r="P3068" t="str">
            <v>Phase 1 - Map Built</v>
          </cell>
          <cell r="Q3068" t="str">
            <v>Cancelled</v>
          </cell>
          <cell r="R3068">
            <v>45183.881099537037</v>
          </cell>
          <cell r="S3068" t="str">
            <v>Abdulrahman Tarek</v>
          </cell>
          <cell r="T3068">
            <v>45184</v>
          </cell>
          <cell r="U3068" t="str">
            <v>Trish Kalinczok</v>
          </cell>
        </row>
        <row r="3069">
          <cell r="I3069" t="str">
            <v>EDI</v>
          </cell>
          <cell r="N3069" t="str">
            <v>Requirements Gathering</v>
          </cell>
          <cell r="O3069" t="str">
            <v>Everything Benefits</v>
          </cell>
          <cell r="P3069" t="str">
            <v>Phase 1 - Map Built</v>
          </cell>
          <cell r="Q3069" t="str">
            <v>Cancelled</v>
          </cell>
          <cell r="R3069">
            <v>45183.881099537037</v>
          </cell>
          <cell r="S3069" t="str">
            <v>Lourina Edmon</v>
          </cell>
          <cell r="T3069">
            <v>45184</v>
          </cell>
          <cell r="U3069" t="str">
            <v>Trish Kalinczok</v>
          </cell>
        </row>
        <row r="3070">
          <cell r="I3070" t="str">
            <v>EDI</v>
          </cell>
          <cell r="N3070" t="str">
            <v>Requirements Gathering</v>
          </cell>
          <cell r="O3070" t="str">
            <v>Everything Benefits</v>
          </cell>
          <cell r="P3070" t="str">
            <v>Phase 1 - Map Built</v>
          </cell>
          <cell r="Q3070" t="str">
            <v>Cancelled</v>
          </cell>
          <cell r="R3070">
            <v>45183.881099537037</v>
          </cell>
          <cell r="S3070" t="str">
            <v>Sandra Adel</v>
          </cell>
          <cell r="T3070">
            <v>45184</v>
          </cell>
          <cell r="U3070" t="str">
            <v>Trish Kalinczok</v>
          </cell>
        </row>
        <row r="3071">
          <cell r="I3071" t="str">
            <v>EDI</v>
          </cell>
          <cell r="N3071" t="str">
            <v>Requirements Gathering</v>
          </cell>
          <cell r="O3071" t="str">
            <v>Everything Benefits</v>
          </cell>
          <cell r="P3071" t="str">
            <v>Phase 1 - Map Built</v>
          </cell>
          <cell r="Q3071" t="str">
            <v>Cancelled</v>
          </cell>
          <cell r="R3071">
            <v>45183.88108796296</v>
          </cell>
          <cell r="S3071" t="str">
            <v>Abdulrahman Tarek</v>
          </cell>
          <cell r="T3071">
            <v>45184</v>
          </cell>
          <cell r="U3071" t="str">
            <v>Trish Kalinczok</v>
          </cell>
        </row>
        <row r="3072">
          <cell r="I3072" t="str">
            <v>EDI</v>
          </cell>
          <cell r="L3072">
            <v>2566</v>
          </cell>
          <cell r="N3072" t="str">
            <v>Production</v>
          </cell>
          <cell r="O3072" t="str">
            <v>Everything Benefits</v>
          </cell>
          <cell r="P3072" t="str">
            <v>Production</v>
          </cell>
          <cell r="Q3072" t="str">
            <v>Live</v>
          </cell>
          <cell r="R3072">
            <v>45183.553344907406</v>
          </cell>
          <cell r="S3072" t="str">
            <v>Alaa Yehia</v>
          </cell>
          <cell r="T3072">
            <v>45217</v>
          </cell>
          <cell r="U3072" t="str">
            <v>Trish Kalinczok</v>
          </cell>
          <cell r="V3072">
            <v>45250</v>
          </cell>
          <cell r="W3072">
            <v>45341</v>
          </cell>
          <cell r="Y3072">
            <v>45215</v>
          </cell>
          <cell r="AC3072">
            <v>45340</v>
          </cell>
        </row>
        <row r="3073">
          <cell r="I3073" t="str">
            <v>EDI</v>
          </cell>
          <cell r="L3073">
            <v>2499</v>
          </cell>
          <cell r="N3073" t="str">
            <v>Production</v>
          </cell>
          <cell r="O3073" t="str">
            <v>Everything Benefits</v>
          </cell>
          <cell r="P3073" t="str">
            <v>Production</v>
          </cell>
          <cell r="Q3073" t="str">
            <v>Live</v>
          </cell>
          <cell r="R3073">
            <v>45182.846168981479</v>
          </cell>
          <cell r="S3073" t="str">
            <v>Hazem Rostom</v>
          </cell>
          <cell r="T3073">
            <v>45189</v>
          </cell>
          <cell r="U3073" t="str">
            <v>Trish Kalinczok</v>
          </cell>
          <cell r="V3073">
            <v>45237</v>
          </cell>
          <cell r="W3073">
            <v>25569</v>
          </cell>
          <cell r="Y3073">
            <v>45189</v>
          </cell>
          <cell r="AC3073">
            <v>45249</v>
          </cell>
        </row>
        <row r="3074">
          <cell r="I3074" t="str">
            <v>EDI</v>
          </cell>
          <cell r="N3074" t="str">
            <v>Requirements Gathering</v>
          </cell>
          <cell r="O3074" t="str">
            <v>No</v>
          </cell>
          <cell r="Q3074" t="str">
            <v>Cancelled</v>
          </cell>
          <cell r="R3074">
            <v>45182.834282407413</v>
          </cell>
          <cell r="S3074" t="str">
            <v>Abdulrahman Tarek</v>
          </cell>
          <cell r="T3074">
            <v>45183</v>
          </cell>
          <cell r="U3074" t="str">
            <v>Trish Kalinczok</v>
          </cell>
        </row>
        <row r="3075">
          <cell r="I3075" t="str">
            <v>EDI</v>
          </cell>
          <cell r="L3075">
            <v>2504</v>
          </cell>
          <cell r="N3075" t="str">
            <v>Production</v>
          </cell>
          <cell r="O3075" t="str">
            <v>Everything Benefits</v>
          </cell>
          <cell r="P3075" t="str">
            <v>Production</v>
          </cell>
          <cell r="Q3075" t="str">
            <v>Live</v>
          </cell>
          <cell r="R3075">
            <v>45182.834270833337</v>
          </cell>
          <cell r="S3075" t="str">
            <v>Alaa Yehia</v>
          </cell>
          <cell r="T3075">
            <v>45260</v>
          </cell>
          <cell r="U3075" t="str">
            <v>Trish Kalinczok</v>
          </cell>
          <cell r="V3075">
            <v>45286</v>
          </cell>
          <cell r="W3075">
            <v>45307</v>
          </cell>
          <cell r="Y3075">
            <v>45187</v>
          </cell>
          <cell r="AC3075">
            <v>45305</v>
          </cell>
        </row>
        <row r="3076">
          <cell r="I3076" t="str">
            <v>EDI</v>
          </cell>
          <cell r="L3076">
            <v>2481</v>
          </cell>
          <cell r="N3076" t="str">
            <v>Production</v>
          </cell>
          <cell r="O3076" t="str">
            <v>Everything Benefits</v>
          </cell>
          <cell r="P3076" t="str">
            <v>Production</v>
          </cell>
          <cell r="Q3076" t="str">
            <v>Cancelled</v>
          </cell>
          <cell r="R3076">
            <v>45182.804085648153</v>
          </cell>
          <cell r="S3076" t="str">
            <v>Karim Tarek</v>
          </cell>
          <cell r="T3076">
            <v>45237</v>
          </cell>
          <cell r="U3076" t="str">
            <v>Trish Kalinczok</v>
          </cell>
          <cell r="V3076">
            <v>45210</v>
          </cell>
          <cell r="W3076">
            <v>45280</v>
          </cell>
          <cell r="Y3076">
            <v>45184</v>
          </cell>
          <cell r="AC3076">
            <v>45277</v>
          </cell>
        </row>
        <row r="3077">
          <cell r="I3077" t="str">
            <v>EDI</v>
          </cell>
          <cell r="L3077">
            <v>2505</v>
          </cell>
          <cell r="N3077" t="str">
            <v>Production</v>
          </cell>
          <cell r="O3077" t="str">
            <v>Everything Benefits</v>
          </cell>
          <cell r="P3077" t="str">
            <v>Production</v>
          </cell>
          <cell r="Q3077" t="str">
            <v>Live</v>
          </cell>
          <cell r="R3077">
            <v>45182.804074074083</v>
          </cell>
          <cell r="S3077" t="str">
            <v>Amira Elshora</v>
          </cell>
          <cell r="T3077">
            <v>45190</v>
          </cell>
          <cell r="U3077" t="str">
            <v>Trish Kalinczok</v>
          </cell>
          <cell r="V3077">
            <v>45232</v>
          </cell>
          <cell r="W3077">
            <v>45236</v>
          </cell>
          <cell r="Y3077">
            <v>45188</v>
          </cell>
          <cell r="AC3077">
            <v>45235</v>
          </cell>
        </row>
        <row r="3078">
          <cell r="I3078" t="str">
            <v>EDI</v>
          </cell>
          <cell r="L3078">
            <v>2519</v>
          </cell>
          <cell r="N3078" t="str">
            <v>Mapping</v>
          </cell>
          <cell r="O3078" t="str">
            <v>Everything Benefits</v>
          </cell>
          <cell r="P3078" t="str">
            <v>Phase 1 - Map Built</v>
          </cell>
          <cell r="Q3078" t="str">
            <v>Cancelled</v>
          </cell>
          <cell r="R3078">
            <v>45182.729537037027</v>
          </cell>
          <cell r="S3078" t="str">
            <v>Salma Yamani</v>
          </cell>
          <cell r="T3078">
            <v>45196</v>
          </cell>
          <cell r="U3078" t="str">
            <v>Trish Kalinczok</v>
          </cell>
          <cell r="Y3078">
            <v>45194</v>
          </cell>
        </row>
        <row r="3079">
          <cell r="I3079" t="str">
            <v>EDI</v>
          </cell>
          <cell r="L3079">
            <v>2521</v>
          </cell>
          <cell r="N3079" t="str">
            <v>Production</v>
          </cell>
          <cell r="O3079" t="str">
            <v>No</v>
          </cell>
          <cell r="Q3079" t="str">
            <v>Live</v>
          </cell>
          <cell r="R3079">
            <v>45182.715358796297</v>
          </cell>
          <cell r="S3079" t="str">
            <v>Mirna Azmy</v>
          </cell>
          <cell r="T3079">
            <v>45201</v>
          </cell>
          <cell r="U3079" t="str">
            <v>Tammy Davies</v>
          </cell>
          <cell r="V3079">
            <v>45223</v>
          </cell>
          <cell r="W3079">
            <v>45406</v>
          </cell>
          <cell r="Y3079">
            <v>45193</v>
          </cell>
          <cell r="AC3079">
            <v>45403</v>
          </cell>
        </row>
        <row r="3080">
          <cell r="I3080" t="str">
            <v>EDI</v>
          </cell>
          <cell r="L3080">
            <v>2474</v>
          </cell>
          <cell r="N3080" t="str">
            <v>Production</v>
          </cell>
          <cell r="O3080" t="str">
            <v>eBenefits Network</v>
          </cell>
          <cell r="P3080" t="str">
            <v>Production</v>
          </cell>
          <cell r="Q3080" t="str">
            <v>Cancelled</v>
          </cell>
          <cell r="R3080">
            <v>45182.71</v>
          </cell>
          <cell r="S3080" t="str">
            <v>Karim Tarek</v>
          </cell>
          <cell r="T3080">
            <v>45183</v>
          </cell>
          <cell r="U3080" t="str">
            <v>Trish Kalinczok</v>
          </cell>
          <cell r="V3080">
            <v>45200</v>
          </cell>
          <cell r="W3080">
            <v>45230</v>
          </cell>
          <cell r="AC3080">
            <v>45228</v>
          </cell>
        </row>
        <row r="3081">
          <cell r="I3081" t="str">
            <v>EDI</v>
          </cell>
          <cell r="N3081" t="str">
            <v>Pending Start</v>
          </cell>
          <cell r="O3081" t="str">
            <v>No</v>
          </cell>
          <cell r="Q3081" t="str">
            <v>Cancelled</v>
          </cell>
          <cell r="R3081">
            <v>45182.697708333333</v>
          </cell>
          <cell r="U3081" t="str">
            <v>Tammy Davies</v>
          </cell>
        </row>
        <row r="3082">
          <cell r="I3082" t="str">
            <v>EDI</v>
          </cell>
          <cell r="L3082">
            <v>2538</v>
          </cell>
          <cell r="N3082" t="str">
            <v>Production</v>
          </cell>
          <cell r="O3082" t="str">
            <v>Everything Benefits</v>
          </cell>
          <cell r="P3082" t="str">
            <v>Production</v>
          </cell>
          <cell r="Q3082" t="str">
            <v>Cancelled</v>
          </cell>
          <cell r="R3082">
            <v>45182.664675925917</v>
          </cell>
          <cell r="S3082" t="str">
            <v>Mahmoud Ahmed</v>
          </cell>
          <cell r="T3082">
            <v>45195</v>
          </cell>
          <cell r="U3082" t="str">
            <v>Trish Kalinczok</v>
          </cell>
          <cell r="V3082">
            <v>45229</v>
          </cell>
          <cell r="W3082">
            <v>45271</v>
          </cell>
          <cell r="Y3082">
            <v>45184</v>
          </cell>
          <cell r="AC3082">
            <v>45267</v>
          </cell>
        </row>
        <row r="3083">
          <cell r="I3083" t="str">
            <v>EDI</v>
          </cell>
          <cell r="L3083">
            <v>2497</v>
          </cell>
          <cell r="N3083" t="str">
            <v>Production</v>
          </cell>
          <cell r="O3083" t="str">
            <v>Everything Benefits</v>
          </cell>
          <cell r="P3083" t="str">
            <v>Production</v>
          </cell>
          <cell r="Q3083" t="str">
            <v>Cancelled</v>
          </cell>
          <cell r="R3083">
            <v>45182.646990740737</v>
          </cell>
          <cell r="S3083" t="str">
            <v>Zeyad Khaled</v>
          </cell>
          <cell r="T3083">
            <v>45189</v>
          </cell>
          <cell r="U3083" t="str">
            <v>Trish Kalinczok</v>
          </cell>
          <cell r="V3083">
            <v>45215</v>
          </cell>
          <cell r="W3083">
            <v>45222</v>
          </cell>
          <cell r="Y3083">
            <v>45187</v>
          </cell>
          <cell r="AC3083">
            <v>45221</v>
          </cell>
        </row>
        <row r="3084">
          <cell r="I3084" t="str">
            <v>EDI</v>
          </cell>
          <cell r="L3084">
            <v>2523</v>
          </cell>
          <cell r="N3084" t="str">
            <v>Production</v>
          </cell>
          <cell r="O3084" t="str">
            <v>Everything Benefits</v>
          </cell>
          <cell r="P3084" t="str">
            <v>Production</v>
          </cell>
          <cell r="Q3084" t="str">
            <v>Cancelled</v>
          </cell>
          <cell r="R3084">
            <v>45182.646990740737</v>
          </cell>
          <cell r="S3084" t="str">
            <v>Alaa Yehia</v>
          </cell>
          <cell r="T3084">
            <v>45202</v>
          </cell>
          <cell r="U3084" t="str">
            <v>Trish Kalinczok</v>
          </cell>
          <cell r="V3084">
            <v>45215</v>
          </cell>
          <cell r="W3084">
            <v>45243</v>
          </cell>
          <cell r="Y3084">
            <v>45196</v>
          </cell>
          <cell r="AC3084">
            <v>45241</v>
          </cell>
        </row>
        <row r="3085">
          <cell r="I3085" t="str">
            <v>EDI</v>
          </cell>
          <cell r="L3085">
            <v>2488</v>
          </cell>
          <cell r="N3085" t="str">
            <v>Production</v>
          </cell>
          <cell r="O3085" t="str">
            <v>Everything Benefits</v>
          </cell>
          <cell r="P3085" t="str">
            <v>Production</v>
          </cell>
          <cell r="Q3085" t="str">
            <v>Cancelled</v>
          </cell>
          <cell r="R3085">
            <v>45181.855185185188</v>
          </cell>
          <cell r="S3085" t="str">
            <v>Salma Yamani</v>
          </cell>
          <cell r="T3085">
            <v>45182</v>
          </cell>
          <cell r="U3085" t="str">
            <v>Trish Kalinczok</v>
          </cell>
          <cell r="V3085">
            <v>45400</v>
          </cell>
          <cell r="W3085">
            <v>45407</v>
          </cell>
          <cell r="Y3085">
            <v>45182</v>
          </cell>
          <cell r="AC3085">
            <v>45404</v>
          </cell>
        </row>
        <row r="3086">
          <cell r="I3086" t="str">
            <v>EDI</v>
          </cell>
          <cell r="L3086">
            <v>2517</v>
          </cell>
          <cell r="N3086" t="str">
            <v>Production</v>
          </cell>
          <cell r="O3086" t="str">
            <v>No</v>
          </cell>
          <cell r="Q3086" t="str">
            <v>Live</v>
          </cell>
          <cell r="R3086">
            <v>45181.848807870367</v>
          </cell>
          <cell r="S3086" t="str">
            <v>Omnia Abdelaziz</v>
          </cell>
          <cell r="T3086">
            <v>45200</v>
          </cell>
          <cell r="U3086" t="str">
            <v>Hans De Grouw</v>
          </cell>
          <cell r="V3086">
            <v>45257</v>
          </cell>
          <cell r="W3086">
            <v>45267</v>
          </cell>
          <cell r="Y3086">
            <v>45200</v>
          </cell>
          <cell r="AC3086">
            <v>45264</v>
          </cell>
        </row>
        <row r="3087">
          <cell r="I3087" t="str">
            <v>EDI</v>
          </cell>
          <cell r="L3087">
            <v>2510</v>
          </cell>
          <cell r="N3087" t="str">
            <v>Production</v>
          </cell>
          <cell r="O3087" t="str">
            <v>Everything Benefits</v>
          </cell>
          <cell r="P3087" t="str">
            <v>Production</v>
          </cell>
          <cell r="Q3087" t="str">
            <v>Cancelled</v>
          </cell>
          <cell r="R3087">
            <v>45180.848634259259</v>
          </cell>
          <cell r="S3087" t="str">
            <v>Alaa Yehia</v>
          </cell>
          <cell r="T3087">
            <v>45195</v>
          </cell>
          <cell r="U3087" t="str">
            <v>Trish Kalinczok</v>
          </cell>
          <cell r="V3087">
            <v>45201</v>
          </cell>
          <cell r="W3087">
            <v>45299</v>
          </cell>
          <cell r="Y3087">
            <v>45194</v>
          </cell>
          <cell r="AC3087">
            <v>45299</v>
          </cell>
        </row>
        <row r="3088">
          <cell r="I3088" t="str">
            <v>EDI</v>
          </cell>
          <cell r="L3088">
            <v>2188</v>
          </cell>
          <cell r="N3088" t="str">
            <v>Production</v>
          </cell>
          <cell r="O3088" t="str">
            <v>No</v>
          </cell>
          <cell r="Q3088" t="str">
            <v>Live</v>
          </cell>
          <cell r="R3088">
            <v>45180.544398148151</v>
          </cell>
          <cell r="S3088" t="str">
            <v>Dina Medhat</v>
          </cell>
          <cell r="T3088">
            <v>45180</v>
          </cell>
          <cell r="U3088" t="str">
            <v>Hans De Grouw</v>
          </cell>
          <cell r="V3088">
            <v>45162</v>
          </cell>
          <cell r="W3088">
            <v>45225</v>
          </cell>
          <cell r="AC3088">
            <v>45231</v>
          </cell>
        </row>
        <row r="3089">
          <cell r="I3089" t="str">
            <v>EDI</v>
          </cell>
          <cell r="L3089">
            <v>2263</v>
          </cell>
          <cell r="N3089" t="str">
            <v>Production</v>
          </cell>
          <cell r="O3089" t="str">
            <v>No</v>
          </cell>
          <cell r="Q3089" t="str">
            <v>Live</v>
          </cell>
          <cell r="R3089">
            <v>45180.544386574067</v>
          </cell>
          <cell r="S3089" t="str">
            <v>Dina Medhat</v>
          </cell>
          <cell r="T3089">
            <v>45180</v>
          </cell>
          <cell r="U3089" t="str">
            <v>Hans De Grouw</v>
          </cell>
          <cell r="V3089">
            <v>45144</v>
          </cell>
          <cell r="W3089">
            <v>45232</v>
          </cell>
          <cell r="AC3089">
            <v>45231</v>
          </cell>
        </row>
        <row r="3090">
          <cell r="I3090" t="str">
            <v>EDI</v>
          </cell>
          <cell r="L3090">
            <v>2508</v>
          </cell>
          <cell r="N3090" t="str">
            <v>Production</v>
          </cell>
          <cell r="O3090" t="str">
            <v>No</v>
          </cell>
          <cell r="Q3090" t="str">
            <v>Live</v>
          </cell>
          <cell r="R3090">
            <v>45180.529386574082</v>
          </cell>
          <cell r="S3090" t="str">
            <v>Omnia Abdelaziz</v>
          </cell>
          <cell r="T3090">
            <v>45195</v>
          </cell>
          <cell r="U3090" t="str">
            <v>Jay Karas</v>
          </cell>
          <cell r="V3090">
            <v>45230</v>
          </cell>
          <cell r="W3090">
            <v>25569</v>
          </cell>
          <cell r="Y3090">
            <v>45182</v>
          </cell>
          <cell r="AC3090">
            <v>45273</v>
          </cell>
        </row>
        <row r="3091">
          <cell r="I3091" t="str">
            <v>EDI</v>
          </cell>
          <cell r="L3091">
            <v>2528</v>
          </cell>
          <cell r="N3091" t="str">
            <v>Production</v>
          </cell>
          <cell r="O3091" t="str">
            <v>No</v>
          </cell>
          <cell r="Q3091" t="str">
            <v>Live</v>
          </cell>
          <cell r="R3091">
            <v>45177.676631944443</v>
          </cell>
          <cell r="S3091" t="str">
            <v>Mirna Azmy</v>
          </cell>
          <cell r="T3091">
            <v>45207</v>
          </cell>
          <cell r="U3091" t="str">
            <v>Robbie Schappell</v>
          </cell>
          <cell r="V3091">
            <v>45215</v>
          </cell>
          <cell r="W3091">
            <v>45266</v>
          </cell>
          <cell r="Y3091">
            <v>45206</v>
          </cell>
          <cell r="AC3091">
            <v>45265</v>
          </cell>
        </row>
        <row r="3092">
          <cell r="I3092" t="str">
            <v>EDI</v>
          </cell>
          <cell r="L3092">
            <v>2515</v>
          </cell>
          <cell r="N3092" t="str">
            <v>Production</v>
          </cell>
          <cell r="O3092" t="str">
            <v>No</v>
          </cell>
          <cell r="Q3092" t="str">
            <v>Live</v>
          </cell>
          <cell r="R3092">
            <v>45177.676620370366</v>
          </cell>
          <cell r="S3092" t="str">
            <v>Aya Fathy</v>
          </cell>
          <cell r="T3092">
            <v>45200</v>
          </cell>
          <cell r="U3092" t="str">
            <v>Robbie Schappell</v>
          </cell>
          <cell r="V3092">
            <v>45216</v>
          </cell>
          <cell r="W3092">
            <v>45225</v>
          </cell>
          <cell r="Y3092">
            <v>45195</v>
          </cell>
          <cell r="AC3092">
            <v>45222</v>
          </cell>
        </row>
        <row r="3093">
          <cell r="I3093" t="str">
            <v>EDI</v>
          </cell>
          <cell r="L3093">
            <v>2598</v>
          </cell>
          <cell r="N3093" t="str">
            <v>Production</v>
          </cell>
          <cell r="O3093" t="str">
            <v>No</v>
          </cell>
          <cell r="Q3093" t="str">
            <v>Live</v>
          </cell>
          <cell r="R3093">
            <v>45177.676620370366</v>
          </cell>
          <cell r="S3093" t="str">
            <v>Omnia Abdelaziz</v>
          </cell>
          <cell r="T3093">
            <v>45222</v>
          </cell>
          <cell r="U3093" t="str">
            <v>Robbie Schappell</v>
          </cell>
          <cell r="V3093">
            <v>45295</v>
          </cell>
          <cell r="W3093">
            <v>45397</v>
          </cell>
          <cell r="Y3093">
            <v>45222</v>
          </cell>
          <cell r="AC3093">
            <v>45384</v>
          </cell>
        </row>
        <row r="3094">
          <cell r="I3094" t="str">
            <v>EDI</v>
          </cell>
          <cell r="L3094">
            <v>2546</v>
          </cell>
          <cell r="N3094" t="str">
            <v>Production</v>
          </cell>
          <cell r="O3094" t="str">
            <v>Everything Benefits</v>
          </cell>
          <cell r="P3094" t="str">
            <v>Production</v>
          </cell>
          <cell r="Q3094" t="str">
            <v>Cancelled</v>
          </cell>
          <cell r="R3094">
            <v>45177.548460648148</v>
          </cell>
          <cell r="S3094" t="str">
            <v>Hazem Rostom</v>
          </cell>
          <cell r="T3094">
            <v>45195</v>
          </cell>
          <cell r="U3094" t="str">
            <v>Matt Howell</v>
          </cell>
          <cell r="V3094">
            <v>45372</v>
          </cell>
          <cell r="W3094">
            <v>45453</v>
          </cell>
          <cell r="Y3094">
            <v>45184</v>
          </cell>
          <cell r="AC3094">
            <v>45451</v>
          </cell>
        </row>
        <row r="3095">
          <cell r="I3095" t="str">
            <v>EDI</v>
          </cell>
          <cell r="L3095">
            <v>2509</v>
          </cell>
          <cell r="N3095" t="str">
            <v>Production</v>
          </cell>
          <cell r="O3095" t="str">
            <v>No</v>
          </cell>
          <cell r="Q3095" t="str">
            <v>Live</v>
          </cell>
          <cell r="R3095">
            <v>45176.811585648153</v>
          </cell>
          <cell r="S3095" t="str">
            <v>Mirna Azmy</v>
          </cell>
          <cell r="T3095">
            <v>45196</v>
          </cell>
          <cell r="U3095" t="str">
            <v>SheKas Grimes</v>
          </cell>
          <cell r="V3095">
            <v>45259</v>
          </cell>
          <cell r="W3095">
            <v>45343</v>
          </cell>
          <cell r="Y3095">
            <v>45194</v>
          </cell>
          <cell r="AC3095">
            <v>45342</v>
          </cell>
        </row>
        <row r="3096">
          <cell r="I3096" t="str">
            <v>EDI</v>
          </cell>
          <cell r="L3096">
            <v>2516</v>
          </cell>
          <cell r="N3096" t="str">
            <v>Testing</v>
          </cell>
          <cell r="O3096" t="str">
            <v>No</v>
          </cell>
          <cell r="Q3096" t="str">
            <v>Cancelled</v>
          </cell>
          <cell r="R3096">
            <v>45176.811585648153</v>
          </cell>
          <cell r="S3096" t="str">
            <v>Andrew Ramy</v>
          </cell>
          <cell r="T3096">
            <v>45200</v>
          </cell>
          <cell r="U3096" t="str">
            <v>SheKas Grimes</v>
          </cell>
          <cell r="V3096">
            <v>45211</v>
          </cell>
          <cell r="Y3096">
            <v>45182</v>
          </cell>
        </row>
        <row r="3097">
          <cell r="I3097" t="str">
            <v>EDI</v>
          </cell>
          <cell r="N3097" t="str">
            <v>Requirements Gathering</v>
          </cell>
          <cell r="O3097" t="str">
            <v>No</v>
          </cell>
          <cell r="Q3097" t="str">
            <v>Cancelled</v>
          </cell>
          <cell r="R3097">
            <v>45176.811585648153</v>
          </cell>
          <cell r="S3097" t="str">
            <v>Lourina Edmon</v>
          </cell>
          <cell r="T3097">
            <v>45179</v>
          </cell>
          <cell r="U3097" t="str">
            <v>SheKas Grimes</v>
          </cell>
        </row>
        <row r="3098">
          <cell r="I3098" t="str">
            <v>EDI</v>
          </cell>
          <cell r="L3098">
            <v>2503</v>
          </cell>
          <cell r="N3098" t="str">
            <v>Production</v>
          </cell>
          <cell r="O3098" t="str">
            <v>No</v>
          </cell>
          <cell r="Q3098" t="str">
            <v>Live</v>
          </cell>
          <cell r="R3098">
            <v>45176.790578703702</v>
          </cell>
          <cell r="S3098" t="str">
            <v>Mina George</v>
          </cell>
          <cell r="T3098">
            <v>45202</v>
          </cell>
          <cell r="U3098" t="str">
            <v>Destinee Duncan</v>
          </cell>
          <cell r="V3098">
            <v>45209</v>
          </cell>
          <cell r="W3098">
            <v>45253</v>
          </cell>
          <cell r="Y3098">
            <v>45182</v>
          </cell>
          <cell r="AC3098">
            <v>45242</v>
          </cell>
        </row>
        <row r="3099">
          <cell r="I3099" t="str">
            <v>EDI</v>
          </cell>
          <cell r="L3099">
            <v>2524</v>
          </cell>
          <cell r="N3099" t="str">
            <v>Production</v>
          </cell>
          <cell r="O3099" t="str">
            <v>No</v>
          </cell>
          <cell r="Q3099" t="str">
            <v>Live</v>
          </cell>
          <cell r="R3099">
            <v>45176.597407407397</v>
          </cell>
          <cell r="S3099" t="str">
            <v>Nada Ashraf</v>
          </cell>
          <cell r="T3099">
            <v>45335</v>
          </cell>
          <cell r="U3099" t="str">
            <v>Jene Hamm</v>
          </cell>
          <cell r="V3099">
            <v>25569</v>
          </cell>
          <cell r="W3099">
            <v>45593</v>
          </cell>
          <cell r="Y3099">
            <v>45186</v>
          </cell>
          <cell r="AC3099">
            <v>45589</v>
          </cell>
        </row>
        <row r="3100">
          <cell r="I3100" t="str">
            <v>EDI</v>
          </cell>
          <cell r="L3100">
            <v>2477</v>
          </cell>
          <cell r="N3100" t="str">
            <v>Production</v>
          </cell>
          <cell r="O3100" t="str">
            <v>Everything Benefits</v>
          </cell>
          <cell r="P3100" t="str">
            <v>Production</v>
          </cell>
          <cell r="Q3100" t="str">
            <v>Cancelled</v>
          </cell>
          <cell r="R3100">
            <v>45175.858703703707</v>
          </cell>
          <cell r="S3100" t="str">
            <v>Mohamed Abdelhamed</v>
          </cell>
          <cell r="T3100">
            <v>45189</v>
          </cell>
          <cell r="U3100" t="str">
            <v>Matt Howell</v>
          </cell>
          <cell r="V3100">
            <v>45189</v>
          </cell>
          <cell r="W3100">
            <v>45229</v>
          </cell>
          <cell r="Y3100">
            <v>45188</v>
          </cell>
          <cell r="AC3100">
            <v>45207</v>
          </cell>
        </row>
        <row r="3101">
          <cell r="I3101" t="str">
            <v>EDI</v>
          </cell>
          <cell r="L3101">
            <v>2492</v>
          </cell>
          <cell r="N3101" t="str">
            <v>Production</v>
          </cell>
          <cell r="O3101" t="str">
            <v>Everything Benefits</v>
          </cell>
          <cell r="P3101" t="str">
            <v>Production</v>
          </cell>
          <cell r="Q3101" t="str">
            <v>Cancelled</v>
          </cell>
          <cell r="R3101">
            <v>45175.858703703707</v>
          </cell>
          <cell r="S3101" t="str">
            <v>Alaa Yehia</v>
          </cell>
          <cell r="T3101">
            <v>45189</v>
          </cell>
          <cell r="U3101" t="str">
            <v>Matt Howell</v>
          </cell>
          <cell r="V3101">
            <v>45231</v>
          </cell>
          <cell r="W3101">
            <v>25569</v>
          </cell>
          <cell r="AC3101">
            <v>45326</v>
          </cell>
        </row>
        <row r="3102">
          <cell r="I3102" t="str">
            <v>EDI</v>
          </cell>
          <cell r="L3102">
            <v>2489</v>
          </cell>
          <cell r="N3102" t="str">
            <v>Production</v>
          </cell>
          <cell r="O3102" t="str">
            <v>No</v>
          </cell>
          <cell r="Q3102" t="str">
            <v>Cancelled</v>
          </cell>
          <cell r="R3102">
            <v>45175.739560185182</v>
          </cell>
          <cell r="S3102" t="str">
            <v>Mina Adel</v>
          </cell>
          <cell r="T3102">
            <v>45185</v>
          </cell>
          <cell r="U3102" t="str">
            <v>Trish Kalinczok</v>
          </cell>
          <cell r="V3102">
            <v>45210</v>
          </cell>
          <cell r="W3102">
            <v>45275</v>
          </cell>
          <cell r="Y3102">
            <v>45183</v>
          </cell>
          <cell r="AC3102">
            <v>45273</v>
          </cell>
        </row>
        <row r="3103">
          <cell r="I3103" t="str">
            <v>EDI</v>
          </cell>
          <cell r="L3103">
            <v>2491</v>
          </cell>
          <cell r="N3103" t="str">
            <v>Production</v>
          </cell>
          <cell r="O3103" t="str">
            <v>No</v>
          </cell>
          <cell r="Q3103" t="str">
            <v>Live</v>
          </cell>
          <cell r="R3103">
            <v>45175.582152777781</v>
          </cell>
          <cell r="S3103" t="str">
            <v>Mina George</v>
          </cell>
          <cell r="T3103">
            <v>45175</v>
          </cell>
          <cell r="U3103" t="str">
            <v>Trish Kalinczok</v>
          </cell>
          <cell r="V3103">
            <v>45209</v>
          </cell>
          <cell r="W3103">
            <v>45475</v>
          </cell>
          <cell r="Y3103">
            <v>45175</v>
          </cell>
          <cell r="AC3103">
            <v>45475</v>
          </cell>
        </row>
        <row r="3104">
          <cell r="I3104" t="str">
            <v>EDI</v>
          </cell>
          <cell r="L3104">
            <v>2507</v>
          </cell>
          <cell r="N3104" t="str">
            <v>Production</v>
          </cell>
          <cell r="O3104" t="str">
            <v>No</v>
          </cell>
          <cell r="Q3104" t="str">
            <v>Cancelled</v>
          </cell>
          <cell r="R3104">
            <v>45174.626828703702</v>
          </cell>
          <cell r="S3104" t="str">
            <v>Omnia Abdelaziz</v>
          </cell>
          <cell r="T3104">
            <v>45189</v>
          </cell>
          <cell r="U3104" t="str">
            <v>Tammy Davies</v>
          </cell>
          <cell r="V3104">
            <v>45222</v>
          </cell>
          <cell r="W3104">
            <v>45391</v>
          </cell>
          <cell r="Y3104">
            <v>45189</v>
          </cell>
          <cell r="AC3104">
            <v>45390</v>
          </cell>
        </row>
        <row r="3105">
          <cell r="I3105" t="str">
            <v>EDI</v>
          </cell>
          <cell r="N3105" t="str">
            <v>Requirements Gathering</v>
          </cell>
          <cell r="O3105" t="str">
            <v>No</v>
          </cell>
          <cell r="Q3105" t="str">
            <v>Cancelled</v>
          </cell>
          <cell r="R3105">
            <v>45174.626828703702</v>
          </cell>
          <cell r="S3105" t="str">
            <v>Sandra Adel</v>
          </cell>
          <cell r="T3105">
            <v>45175</v>
          </cell>
          <cell r="U3105" t="str">
            <v>Tammy Davies</v>
          </cell>
        </row>
        <row r="3106">
          <cell r="I3106" t="str">
            <v>EDI</v>
          </cell>
          <cell r="L3106">
            <v>2494</v>
          </cell>
          <cell r="N3106" t="str">
            <v>Production</v>
          </cell>
          <cell r="O3106" t="str">
            <v>No</v>
          </cell>
          <cell r="Q3106" t="str">
            <v>Cancelled</v>
          </cell>
          <cell r="R3106">
            <v>45170.729525462957</v>
          </cell>
          <cell r="S3106" t="str">
            <v>Aya Fathy</v>
          </cell>
          <cell r="T3106">
            <v>45189</v>
          </cell>
          <cell r="U3106" t="str">
            <v>Trish Kalinczok</v>
          </cell>
          <cell r="V3106">
            <v>45190</v>
          </cell>
          <cell r="W3106">
            <v>45208</v>
          </cell>
          <cell r="Y3106">
            <v>45176</v>
          </cell>
          <cell r="AC3106">
            <v>45203</v>
          </cell>
        </row>
        <row r="3107">
          <cell r="I3107" t="str">
            <v>EDI</v>
          </cell>
          <cell r="L3107">
            <v>2511</v>
          </cell>
          <cell r="N3107" t="str">
            <v>Production</v>
          </cell>
          <cell r="O3107" t="str">
            <v>No</v>
          </cell>
          <cell r="Q3107" t="str">
            <v>Cancelled</v>
          </cell>
          <cell r="R3107">
            <v>45170.729525462957</v>
          </cell>
          <cell r="S3107" t="str">
            <v>Mina George</v>
          </cell>
          <cell r="T3107">
            <v>45349</v>
          </cell>
          <cell r="U3107" t="str">
            <v>Trish Kalinczok</v>
          </cell>
          <cell r="V3107">
            <v>25569</v>
          </cell>
          <cell r="W3107">
            <v>45449</v>
          </cell>
          <cell r="Y3107">
            <v>45185</v>
          </cell>
          <cell r="AC3107">
            <v>45446</v>
          </cell>
        </row>
        <row r="3108">
          <cell r="I3108" t="str">
            <v>EDI</v>
          </cell>
          <cell r="L3108">
            <v>2556</v>
          </cell>
          <cell r="N3108" t="str">
            <v>Production</v>
          </cell>
          <cell r="O3108" t="str">
            <v>No</v>
          </cell>
          <cell r="Q3108" t="str">
            <v>Live</v>
          </cell>
          <cell r="R3108">
            <v>45170.729513888888</v>
          </cell>
          <cell r="S3108" t="str">
            <v>Andrew Ramy</v>
          </cell>
          <cell r="T3108">
            <v>46138</v>
          </cell>
          <cell r="U3108" t="str">
            <v>Trish Kalinczok</v>
          </cell>
          <cell r="V3108">
            <v>45342</v>
          </cell>
          <cell r="W3108">
            <v>45355</v>
          </cell>
          <cell r="Y3108">
            <v>45215</v>
          </cell>
          <cell r="AC3108">
            <v>46143</v>
          </cell>
        </row>
        <row r="3109">
          <cell r="I3109" t="str">
            <v>EDI</v>
          </cell>
          <cell r="L3109">
            <v>2554</v>
          </cell>
          <cell r="N3109" t="str">
            <v>Ready for Production</v>
          </cell>
          <cell r="O3109" t="str">
            <v>No</v>
          </cell>
          <cell r="Q3109" t="str">
            <v>Cancelled</v>
          </cell>
          <cell r="R3109">
            <v>45170.713587962957</v>
          </cell>
          <cell r="S3109" t="str">
            <v>Joseph Atef</v>
          </cell>
          <cell r="T3109">
            <v>45207</v>
          </cell>
          <cell r="U3109" t="str">
            <v>SheKas Grimes</v>
          </cell>
          <cell r="V3109">
            <v>45257</v>
          </cell>
          <cell r="Y3109">
            <v>45202</v>
          </cell>
        </row>
        <row r="3110">
          <cell r="I3110" t="str">
            <v>EDI</v>
          </cell>
          <cell r="L3110">
            <v>2476</v>
          </cell>
          <cell r="N3110" t="str">
            <v>Production</v>
          </cell>
          <cell r="O3110" t="str">
            <v>No</v>
          </cell>
          <cell r="Q3110" t="str">
            <v>Cancelled</v>
          </cell>
          <cell r="R3110">
            <v>45169.893310185187</v>
          </cell>
          <cell r="S3110" t="str">
            <v>Mirna Azmy</v>
          </cell>
          <cell r="T3110">
            <v>45186</v>
          </cell>
          <cell r="U3110" t="str">
            <v>Tammy Trexler</v>
          </cell>
          <cell r="V3110">
            <v>45193</v>
          </cell>
          <cell r="W3110">
            <v>25569</v>
          </cell>
          <cell r="Y3110">
            <v>45176</v>
          </cell>
          <cell r="AC3110">
            <v>45218</v>
          </cell>
        </row>
        <row r="3111">
          <cell r="I3111" t="str">
            <v>EDI</v>
          </cell>
          <cell r="L3111">
            <v>2500</v>
          </cell>
          <cell r="N3111" t="str">
            <v>Production</v>
          </cell>
          <cell r="O3111" t="str">
            <v>No</v>
          </cell>
          <cell r="Q3111" t="str">
            <v>Cancelled</v>
          </cell>
          <cell r="R3111">
            <v>45169.528553240743</v>
          </cell>
          <cell r="S3111" t="str">
            <v>Mina George</v>
          </cell>
          <cell r="T3111">
            <v>45189</v>
          </cell>
          <cell r="U3111" t="str">
            <v>Hans De Grouw</v>
          </cell>
          <cell r="V3111">
            <v>45236</v>
          </cell>
          <cell r="W3111">
            <v>45358</v>
          </cell>
          <cell r="Y3111">
            <v>45180</v>
          </cell>
          <cell r="AC3111">
            <v>45358</v>
          </cell>
        </row>
        <row r="3112">
          <cell r="I3112" t="str">
            <v>EDI</v>
          </cell>
          <cell r="N3112" t="str">
            <v>Requirements Gathering</v>
          </cell>
          <cell r="O3112" t="str">
            <v>No</v>
          </cell>
          <cell r="Q3112" t="str">
            <v>Cancelled</v>
          </cell>
          <cell r="R3112">
            <v>45169.526261574072</v>
          </cell>
          <cell r="S3112" t="str">
            <v>Sandra Adel</v>
          </cell>
          <cell r="T3112">
            <v>45172</v>
          </cell>
          <cell r="U3112" t="str">
            <v>Hans De Grouw</v>
          </cell>
        </row>
        <row r="3113">
          <cell r="I3113" t="str">
            <v>EDI</v>
          </cell>
          <cell r="L3113">
            <v>2570</v>
          </cell>
          <cell r="N3113" t="str">
            <v>Production</v>
          </cell>
          <cell r="O3113" t="str">
            <v>No</v>
          </cell>
          <cell r="Q3113" t="str">
            <v>Live</v>
          </cell>
          <cell r="R3113">
            <v>45169.522118055553</v>
          </cell>
          <cell r="S3113" t="str">
            <v>Mirna Azmy</v>
          </cell>
          <cell r="T3113">
            <v>45222</v>
          </cell>
          <cell r="U3113" t="str">
            <v>Hans De Grouw</v>
          </cell>
          <cell r="V3113">
            <v>45242</v>
          </cell>
          <cell r="W3113">
            <v>45260</v>
          </cell>
          <cell r="Y3113">
            <v>45219</v>
          </cell>
          <cell r="AC3113">
            <v>45257</v>
          </cell>
        </row>
        <row r="3114">
          <cell r="I3114" t="str">
            <v>EDI</v>
          </cell>
          <cell r="L3114">
            <v>2486</v>
          </cell>
          <cell r="N3114" t="str">
            <v>Mapping</v>
          </cell>
          <cell r="O3114" t="str">
            <v>No</v>
          </cell>
          <cell r="Q3114" t="str">
            <v>Cancelled</v>
          </cell>
          <cell r="R3114">
            <v>45169.512743055559</v>
          </cell>
          <cell r="S3114" t="str">
            <v>Mirna Azmy</v>
          </cell>
          <cell r="T3114">
            <v>45187</v>
          </cell>
          <cell r="U3114" t="str">
            <v>Hans De Grouw</v>
          </cell>
          <cell r="Y3114">
            <v>45182</v>
          </cell>
        </row>
        <row r="3115">
          <cell r="I3115" t="str">
            <v>EDI</v>
          </cell>
          <cell r="L3115">
            <v>2482</v>
          </cell>
          <cell r="N3115" t="str">
            <v>Production</v>
          </cell>
          <cell r="O3115" t="str">
            <v>No</v>
          </cell>
          <cell r="Q3115" t="str">
            <v>Cancelled</v>
          </cell>
          <cell r="R3115">
            <v>45168.865590277783</v>
          </cell>
          <cell r="S3115" t="str">
            <v>Mirna Azmy</v>
          </cell>
          <cell r="T3115">
            <v>45187</v>
          </cell>
          <cell r="U3115" t="str">
            <v>Hans De Grouw</v>
          </cell>
          <cell r="V3115">
            <v>45195</v>
          </cell>
          <cell r="W3115">
            <v>45229</v>
          </cell>
          <cell r="Y3115">
            <v>45170</v>
          </cell>
          <cell r="AC3115">
            <v>45221</v>
          </cell>
        </row>
        <row r="3116">
          <cell r="I3116" t="str">
            <v>EDI</v>
          </cell>
          <cell r="L3116">
            <v>2485</v>
          </cell>
          <cell r="N3116" t="str">
            <v>Production</v>
          </cell>
          <cell r="O3116" t="str">
            <v>No</v>
          </cell>
          <cell r="Q3116" t="str">
            <v>Cancelled</v>
          </cell>
          <cell r="R3116">
            <v>45168.640497685177</v>
          </cell>
          <cell r="S3116" t="str">
            <v>Andrew Ramy</v>
          </cell>
          <cell r="T3116">
            <v>45185</v>
          </cell>
          <cell r="U3116" t="str">
            <v>Miranda Naeem</v>
          </cell>
          <cell r="V3116">
            <v>45188</v>
          </cell>
          <cell r="W3116">
            <v>45351</v>
          </cell>
          <cell r="Y3116">
            <v>45181</v>
          </cell>
          <cell r="AC3116">
            <v>45344</v>
          </cell>
        </row>
        <row r="3117">
          <cell r="I3117" t="str">
            <v>EDI</v>
          </cell>
          <cell r="L3117">
            <v>2506</v>
          </cell>
          <cell r="N3117" t="str">
            <v>Production</v>
          </cell>
          <cell r="O3117" t="str">
            <v>No</v>
          </cell>
          <cell r="Q3117" t="str">
            <v>Cancelled</v>
          </cell>
          <cell r="R3117">
            <v>45168.640486111108</v>
          </cell>
          <cell r="S3117" t="str">
            <v>Mina George</v>
          </cell>
          <cell r="T3117">
            <v>45195</v>
          </cell>
          <cell r="U3117" t="str">
            <v>Miranda Naeem</v>
          </cell>
          <cell r="V3117">
            <v>45223</v>
          </cell>
          <cell r="W3117">
            <v>45264</v>
          </cell>
          <cell r="Y3117">
            <v>45193</v>
          </cell>
          <cell r="AC3117">
            <v>45263</v>
          </cell>
        </row>
        <row r="3118">
          <cell r="I3118" t="str">
            <v>EDI</v>
          </cell>
          <cell r="L3118">
            <v>2495</v>
          </cell>
          <cell r="N3118" t="str">
            <v>Production</v>
          </cell>
          <cell r="O3118" t="str">
            <v>Everything Benefits</v>
          </cell>
          <cell r="P3118" t="str">
            <v>Production</v>
          </cell>
          <cell r="Q3118" t="str">
            <v>Live</v>
          </cell>
          <cell r="R3118">
            <v>45167.801701388889</v>
          </cell>
          <cell r="S3118" t="str">
            <v>Mina Kamil</v>
          </cell>
          <cell r="T3118">
            <v>45175</v>
          </cell>
          <cell r="U3118" t="str">
            <v>Trish Kalinczok</v>
          </cell>
          <cell r="V3118">
            <v>46217</v>
          </cell>
          <cell r="W3118">
            <v>45344</v>
          </cell>
          <cell r="Y3118">
            <v>45175</v>
          </cell>
          <cell r="AC3118">
            <v>45340</v>
          </cell>
        </row>
        <row r="3119">
          <cell r="I3119" t="str">
            <v>EDI</v>
          </cell>
          <cell r="L3119">
            <v>2531</v>
          </cell>
          <cell r="N3119" t="str">
            <v>Production</v>
          </cell>
          <cell r="O3119" t="str">
            <v>No</v>
          </cell>
          <cell r="Q3119" t="str">
            <v>Cancelled</v>
          </cell>
          <cell r="R3119">
            <v>45167.785891203697</v>
          </cell>
          <cell r="S3119" t="str">
            <v>Joseph Atef</v>
          </cell>
          <cell r="T3119">
            <v>45195</v>
          </cell>
          <cell r="U3119" t="str">
            <v>SheKas Grimes</v>
          </cell>
          <cell r="V3119">
            <v>45273</v>
          </cell>
          <cell r="W3119">
            <v>45540</v>
          </cell>
          <cell r="Y3119">
            <v>45193</v>
          </cell>
          <cell r="AC3119">
            <v>45533</v>
          </cell>
        </row>
        <row r="3120">
          <cell r="I3120" t="str">
            <v>EDI</v>
          </cell>
          <cell r="L3120">
            <v>2473</v>
          </cell>
          <cell r="N3120" t="str">
            <v>Production</v>
          </cell>
          <cell r="O3120" t="str">
            <v>Everything Benefits</v>
          </cell>
          <cell r="P3120" t="str">
            <v>Production</v>
          </cell>
          <cell r="Q3120" t="str">
            <v>Live</v>
          </cell>
          <cell r="R3120">
            <v>45167.70034722222</v>
          </cell>
          <cell r="S3120" t="str">
            <v>Amira Elshora</v>
          </cell>
          <cell r="T3120">
            <v>45182</v>
          </cell>
          <cell r="U3120" t="str">
            <v>Trish Kalinczok</v>
          </cell>
          <cell r="V3120">
            <v>45186</v>
          </cell>
          <cell r="W3120">
            <v>45320</v>
          </cell>
          <cell r="Y3120">
            <v>45170</v>
          </cell>
          <cell r="AC3120">
            <v>45319</v>
          </cell>
        </row>
        <row r="3121">
          <cell r="I3121" t="str">
            <v>EDI</v>
          </cell>
          <cell r="L3121">
            <v>2529</v>
          </cell>
          <cell r="N3121" t="str">
            <v>Production</v>
          </cell>
          <cell r="O3121" t="str">
            <v>Everything Benefits</v>
          </cell>
          <cell r="P3121" t="str">
            <v>Production</v>
          </cell>
          <cell r="Q3121" t="str">
            <v>Live</v>
          </cell>
          <cell r="R3121">
            <v>45167.70034722222</v>
          </cell>
          <cell r="S3121" t="str">
            <v>Alaa Yehia</v>
          </cell>
          <cell r="T3121">
            <v>45181</v>
          </cell>
          <cell r="U3121" t="str">
            <v>Trish Kalinczok</v>
          </cell>
          <cell r="V3121">
            <v>45217</v>
          </cell>
          <cell r="W3121">
            <v>45236</v>
          </cell>
          <cell r="Y3121">
            <v>45175</v>
          </cell>
          <cell r="AC3121">
            <v>45235</v>
          </cell>
        </row>
        <row r="3122">
          <cell r="I3122" t="str">
            <v>EDI</v>
          </cell>
          <cell r="L3122">
            <v>2472</v>
          </cell>
          <cell r="N3122" t="str">
            <v>Production</v>
          </cell>
          <cell r="O3122" t="str">
            <v>Everything Benefits</v>
          </cell>
          <cell r="P3122" t="str">
            <v>Production</v>
          </cell>
          <cell r="Q3122" t="str">
            <v>Live</v>
          </cell>
          <cell r="R3122">
            <v>45167.70034722222</v>
          </cell>
          <cell r="S3122" t="str">
            <v>Amira Elshora</v>
          </cell>
          <cell r="T3122">
            <v>45182</v>
          </cell>
          <cell r="U3122" t="str">
            <v>Trish Kalinczok</v>
          </cell>
          <cell r="V3122">
            <v>45189</v>
          </cell>
          <cell r="W3122">
            <v>45229</v>
          </cell>
          <cell r="Y3122">
            <v>45170</v>
          </cell>
          <cell r="AC3122">
            <v>45228</v>
          </cell>
        </row>
        <row r="3123">
          <cell r="I3123" t="str">
            <v>EDI</v>
          </cell>
          <cell r="L3123">
            <v>2440</v>
          </cell>
          <cell r="N3123" t="str">
            <v>Production</v>
          </cell>
          <cell r="O3123" t="str">
            <v>Everything Benefits</v>
          </cell>
          <cell r="P3123" t="str">
            <v>Production</v>
          </cell>
          <cell r="Q3123" t="str">
            <v>Live</v>
          </cell>
          <cell r="R3123">
            <v>45167.658576388887</v>
          </cell>
          <cell r="S3123" t="str">
            <v>Hazem Rostom</v>
          </cell>
          <cell r="T3123">
            <v>45173</v>
          </cell>
          <cell r="U3123" t="str">
            <v>Trish Kalinczok</v>
          </cell>
          <cell r="V3123">
            <v>45238</v>
          </cell>
          <cell r="W3123">
            <v>45250</v>
          </cell>
          <cell r="Y3123">
            <v>45169</v>
          </cell>
          <cell r="AC3123">
            <v>45246</v>
          </cell>
        </row>
        <row r="3124">
          <cell r="I3124" t="str">
            <v>EDI</v>
          </cell>
          <cell r="L3124">
            <v>2471</v>
          </cell>
          <cell r="N3124" t="str">
            <v>Production</v>
          </cell>
          <cell r="O3124" t="str">
            <v>No</v>
          </cell>
          <cell r="Q3124" t="str">
            <v>Live</v>
          </cell>
          <cell r="R3124">
            <v>45163.794305555559</v>
          </cell>
          <cell r="S3124" t="str">
            <v>Mina George</v>
          </cell>
          <cell r="T3124">
            <v>45180</v>
          </cell>
          <cell r="U3124" t="str">
            <v>Hans De Grouw</v>
          </cell>
          <cell r="V3124">
            <v>45215</v>
          </cell>
          <cell r="W3124">
            <v>45302</v>
          </cell>
          <cell r="Y3124">
            <v>45168</v>
          </cell>
          <cell r="AC3124">
            <v>45302</v>
          </cell>
        </row>
        <row r="3125">
          <cell r="I3125" t="str">
            <v>EDI</v>
          </cell>
          <cell r="L3125">
            <v>2465</v>
          </cell>
          <cell r="N3125" t="str">
            <v>Testing</v>
          </cell>
          <cell r="O3125" t="str">
            <v>No</v>
          </cell>
          <cell r="Q3125" t="str">
            <v>Cancelled</v>
          </cell>
          <cell r="R3125">
            <v>45163.794293981482</v>
          </cell>
          <cell r="S3125" t="str">
            <v>Omnia Abdelaziz</v>
          </cell>
          <cell r="T3125">
            <v>45180</v>
          </cell>
          <cell r="U3125" t="str">
            <v>Hans De Grouw</v>
          </cell>
          <cell r="V3125">
            <v>45216</v>
          </cell>
          <cell r="Y3125">
            <v>45177</v>
          </cell>
        </row>
        <row r="3126">
          <cell r="I3126" t="str">
            <v>EDI</v>
          </cell>
          <cell r="L3126">
            <v>2483</v>
          </cell>
          <cell r="N3126" t="str">
            <v>Production</v>
          </cell>
          <cell r="O3126" t="str">
            <v>No</v>
          </cell>
          <cell r="Q3126" t="str">
            <v>Live</v>
          </cell>
          <cell r="R3126">
            <v>45162.953634259262</v>
          </cell>
          <cell r="S3126" t="str">
            <v>Omnia Abdelaziz</v>
          </cell>
          <cell r="T3126">
            <v>45183</v>
          </cell>
          <cell r="U3126" t="str">
            <v>Matt Howell</v>
          </cell>
          <cell r="V3126">
            <v>45216</v>
          </cell>
          <cell r="W3126">
            <v>45226</v>
          </cell>
          <cell r="Y3126">
            <v>45176</v>
          </cell>
          <cell r="AC3126">
            <v>45218</v>
          </cell>
        </row>
        <row r="3127">
          <cell r="I3127" t="str">
            <v>EDI</v>
          </cell>
          <cell r="L3127">
            <v>2560</v>
          </cell>
          <cell r="N3127" t="str">
            <v>Testing</v>
          </cell>
          <cell r="O3127" t="str">
            <v>No</v>
          </cell>
          <cell r="Q3127" t="str">
            <v>Cancelled</v>
          </cell>
          <cell r="R3127">
            <v>45162.953622685192</v>
          </cell>
          <cell r="S3127" t="str">
            <v>Andrew Ramy</v>
          </cell>
          <cell r="T3127">
            <v>45214</v>
          </cell>
          <cell r="U3127" t="str">
            <v>Matt Howell</v>
          </cell>
          <cell r="V3127">
            <v>45225</v>
          </cell>
          <cell r="Y3127">
            <v>45213</v>
          </cell>
        </row>
        <row r="3128">
          <cell r="I3128" t="str">
            <v>EDI</v>
          </cell>
          <cell r="L3128">
            <v>2416</v>
          </cell>
          <cell r="N3128" t="str">
            <v>Production</v>
          </cell>
          <cell r="O3128" t="str">
            <v>No</v>
          </cell>
          <cell r="Q3128" t="str">
            <v>Cancelled</v>
          </cell>
          <cell r="R3128">
            <v>45162.868761574071</v>
          </cell>
          <cell r="S3128" t="str">
            <v>Mina Adel</v>
          </cell>
          <cell r="T3128">
            <v>45165</v>
          </cell>
          <cell r="U3128" t="str">
            <v>Laurence Peters</v>
          </cell>
          <cell r="V3128">
            <v>45166</v>
          </cell>
          <cell r="W3128">
            <v>45170</v>
          </cell>
          <cell r="AC3128">
            <v>45167</v>
          </cell>
        </row>
        <row r="3129">
          <cell r="I3129" t="str">
            <v>EDI</v>
          </cell>
          <cell r="L3129">
            <v>2453</v>
          </cell>
          <cell r="N3129" t="str">
            <v>Testing</v>
          </cell>
          <cell r="O3129" t="str">
            <v>Everything Benefits</v>
          </cell>
          <cell r="P3129" t="str">
            <v>Phase 3</v>
          </cell>
          <cell r="Q3129" t="str">
            <v>Cancelled</v>
          </cell>
          <cell r="R3129">
            <v>45162.63826388889</v>
          </cell>
          <cell r="S3129" t="str">
            <v>Nada Ashraf</v>
          </cell>
          <cell r="T3129">
            <v>45179</v>
          </cell>
          <cell r="U3129" t="str">
            <v>Jene Hamm</v>
          </cell>
          <cell r="V3129">
            <v>45182</v>
          </cell>
          <cell r="Y3129">
            <v>45175</v>
          </cell>
        </row>
        <row r="3130">
          <cell r="I3130" t="str">
            <v>EDI</v>
          </cell>
          <cell r="L3130">
            <v>2469</v>
          </cell>
          <cell r="N3130" t="str">
            <v>Mapping</v>
          </cell>
          <cell r="O3130" t="str">
            <v>Everything Benefits</v>
          </cell>
          <cell r="P3130" t="str">
            <v>Phase 1 - Map Built</v>
          </cell>
          <cell r="Q3130" t="str">
            <v>Cancelled</v>
          </cell>
          <cell r="R3130">
            <v>45162.63826388889</v>
          </cell>
          <cell r="S3130" t="str">
            <v>Alaa Yehia</v>
          </cell>
          <cell r="T3130">
            <v>45175</v>
          </cell>
          <cell r="U3130" t="str">
            <v>Jene Hamm</v>
          </cell>
          <cell r="Y3130">
            <v>45168</v>
          </cell>
        </row>
        <row r="3131">
          <cell r="I3131" t="str">
            <v>EDI</v>
          </cell>
          <cell r="L3131">
            <v>2460</v>
          </cell>
          <cell r="N3131" t="str">
            <v>Testing</v>
          </cell>
          <cell r="O3131" t="str">
            <v>Everything Benefits</v>
          </cell>
          <cell r="P3131" t="str">
            <v>Phase 2</v>
          </cell>
          <cell r="Q3131" t="str">
            <v>Cancelled</v>
          </cell>
          <cell r="R3131">
            <v>45162.63826388889</v>
          </cell>
          <cell r="S3131" t="str">
            <v>Mahmoud Heidar</v>
          </cell>
          <cell r="T3131">
            <v>45175</v>
          </cell>
          <cell r="U3131" t="str">
            <v>Jene Hamm</v>
          </cell>
          <cell r="Y3131">
            <v>45166</v>
          </cell>
        </row>
        <row r="3132">
          <cell r="I3132" t="str">
            <v>EDI</v>
          </cell>
          <cell r="L3132">
            <v>2534</v>
          </cell>
          <cell r="N3132" t="str">
            <v>Dataset Validation</v>
          </cell>
          <cell r="O3132" t="str">
            <v>Everything Benefits</v>
          </cell>
          <cell r="P3132" t="str">
            <v>Phase 1 - Map Built</v>
          </cell>
          <cell r="Q3132" t="str">
            <v>Cancelled</v>
          </cell>
          <cell r="R3132">
            <v>45162.63826388889</v>
          </cell>
          <cell r="S3132" t="str">
            <v>Tarek Medhat</v>
          </cell>
          <cell r="T3132">
            <v>45202</v>
          </cell>
          <cell r="U3132" t="str">
            <v>Jene Hamm</v>
          </cell>
          <cell r="Y3132">
            <v>45196</v>
          </cell>
        </row>
        <row r="3133">
          <cell r="I3133" t="str">
            <v>EDI</v>
          </cell>
          <cell r="L3133">
            <v>2458</v>
          </cell>
          <cell r="N3133" t="str">
            <v>Mapping</v>
          </cell>
          <cell r="O3133" t="str">
            <v>Everything Benefits</v>
          </cell>
          <cell r="P3133" t="str">
            <v>Phase 1 - Map Built</v>
          </cell>
          <cell r="Q3133" t="str">
            <v>Cancelled</v>
          </cell>
          <cell r="R3133">
            <v>45162.572731481479</v>
          </cell>
          <cell r="S3133" t="str">
            <v>Salma Yamani</v>
          </cell>
          <cell r="T3133">
            <v>45166</v>
          </cell>
          <cell r="U3133" t="str">
            <v>Peter Amoruso</v>
          </cell>
          <cell r="Y3133">
            <v>45165</v>
          </cell>
        </row>
        <row r="3134">
          <cell r="I3134" t="str">
            <v>EDI</v>
          </cell>
          <cell r="L3134">
            <v>2457</v>
          </cell>
          <cell r="N3134" t="str">
            <v>Mapping</v>
          </cell>
          <cell r="O3134" t="str">
            <v>Everything Benefits</v>
          </cell>
          <cell r="P3134" t="str">
            <v>Phase 1 - Map Built</v>
          </cell>
          <cell r="Q3134" t="str">
            <v>Cancelled</v>
          </cell>
          <cell r="R3134">
            <v>45162.571979166663</v>
          </cell>
          <cell r="S3134" t="str">
            <v>Salma Yamani</v>
          </cell>
          <cell r="T3134">
            <v>45166</v>
          </cell>
          <cell r="U3134" t="str">
            <v>Peter Amoruso</v>
          </cell>
          <cell r="Y3134">
            <v>45165</v>
          </cell>
        </row>
        <row r="3135">
          <cell r="I3135" t="str">
            <v>EDI</v>
          </cell>
          <cell r="L3135">
            <v>2456</v>
          </cell>
          <cell r="N3135" t="str">
            <v>Mapping</v>
          </cell>
          <cell r="O3135" t="str">
            <v>Everything Benefits</v>
          </cell>
          <cell r="P3135" t="str">
            <v>Phase 1 - Map Built</v>
          </cell>
          <cell r="Q3135" t="str">
            <v>Cancelled</v>
          </cell>
          <cell r="R3135">
            <v>45162.571018518523</v>
          </cell>
          <cell r="S3135" t="str">
            <v>Salma Yamani</v>
          </cell>
          <cell r="T3135">
            <v>45166</v>
          </cell>
          <cell r="U3135" t="str">
            <v>Peter Amoruso</v>
          </cell>
          <cell r="Y3135">
            <v>45165</v>
          </cell>
        </row>
        <row r="3136">
          <cell r="I3136" t="str">
            <v>EDI</v>
          </cell>
          <cell r="L3136">
            <v>2455</v>
          </cell>
          <cell r="N3136" t="str">
            <v>Mapping</v>
          </cell>
          <cell r="O3136" t="str">
            <v>Everything Benefits</v>
          </cell>
          <cell r="P3136" t="str">
            <v>Phase 1 - Map Built</v>
          </cell>
          <cell r="Q3136" t="str">
            <v>Cancelled</v>
          </cell>
          <cell r="R3136">
            <v>45162.564918981479</v>
          </cell>
          <cell r="S3136" t="str">
            <v>Salma Yamani</v>
          </cell>
          <cell r="T3136">
            <v>45166</v>
          </cell>
          <cell r="U3136" t="str">
            <v>Peter Amoruso</v>
          </cell>
          <cell r="Y3136">
            <v>45165</v>
          </cell>
        </row>
        <row r="3137">
          <cell r="I3137" t="str">
            <v>EDI</v>
          </cell>
          <cell r="N3137" t="str">
            <v>Dataset Validation</v>
          </cell>
          <cell r="O3137" t="str">
            <v>Everything Benefits</v>
          </cell>
          <cell r="P3137" t="str">
            <v>Phase 1 - Map Built</v>
          </cell>
          <cell r="Q3137" t="str">
            <v>Cancelled</v>
          </cell>
          <cell r="R3137">
            <v>45162.550532407397</v>
          </cell>
          <cell r="S3137" t="str">
            <v>Salma Yamani</v>
          </cell>
          <cell r="T3137">
            <v>45165</v>
          </cell>
          <cell r="U3137" t="str">
            <v>Peter Amoruso</v>
          </cell>
          <cell r="Y3137">
            <v>45162</v>
          </cell>
        </row>
        <row r="3138">
          <cell r="I3138" t="str">
            <v>EDI</v>
          </cell>
          <cell r="L3138">
            <v>2542</v>
          </cell>
          <cell r="N3138" t="str">
            <v>Testing</v>
          </cell>
          <cell r="O3138" t="str">
            <v>No</v>
          </cell>
          <cell r="Q3138" t="str">
            <v>Cancelled</v>
          </cell>
          <cell r="R3138">
            <v>45161.704814814817</v>
          </cell>
          <cell r="S3138" t="str">
            <v>Andrew Ramy</v>
          </cell>
          <cell r="T3138">
            <v>45207</v>
          </cell>
          <cell r="U3138" t="str">
            <v>SheKas Grimes</v>
          </cell>
          <cell r="Y3138">
            <v>45202</v>
          </cell>
        </row>
        <row r="3139">
          <cell r="I3139" t="str">
            <v>EDI</v>
          </cell>
          <cell r="L3139">
            <v>2614</v>
          </cell>
          <cell r="N3139" t="str">
            <v>Mapping</v>
          </cell>
          <cell r="O3139" t="str">
            <v>No</v>
          </cell>
          <cell r="Q3139" t="str">
            <v>Cancelled</v>
          </cell>
          <cell r="R3139">
            <v>45161.704814814817</v>
          </cell>
          <cell r="S3139" t="str">
            <v>Tarek Medhat</v>
          </cell>
          <cell r="T3139">
            <v>45232</v>
          </cell>
          <cell r="U3139" t="str">
            <v>SheKas Grimes</v>
          </cell>
          <cell r="Y3139">
            <v>45231</v>
          </cell>
        </row>
        <row r="3140">
          <cell r="I3140" t="str">
            <v>EDI</v>
          </cell>
          <cell r="L3140">
            <v>2404</v>
          </cell>
          <cell r="N3140" t="str">
            <v>Production</v>
          </cell>
          <cell r="O3140" t="str">
            <v>eBenefits Network</v>
          </cell>
          <cell r="P3140" t="str">
            <v>Production</v>
          </cell>
          <cell r="Q3140" t="str">
            <v>Live</v>
          </cell>
          <cell r="R3140">
            <v>45160.950231481482</v>
          </cell>
          <cell r="S3140" t="str">
            <v>Karim Tarek</v>
          </cell>
          <cell r="T3140">
            <v>45161</v>
          </cell>
          <cell r="U3140" t="str">
            <v>Matt Howell</v>
          </cell>
          <cell r="V3140">
            <v>45165</v>
          </cell>
          <cell r="W3140">
            <v>45230</v>
          </cell>
          <cell r="AC3140">
            <v>45228</v>
          </cell>
        </row>
        <row r="3141">
          <cell r="I3141" t="str">
            <v>EDI</v>
          </cell>
          <cell r="L3141">
            <v>2405</v>
          </cell>
          <cell r="N3141" t="str">
            <v>Production</v>
          </cell>
          <cell r="O3141" t="str">
            <v>eBenefits Network</v>
          </cell>
          <cell r="P3141" t="str">
            <v>Production</v>
          </cell>
          <cell r="Q3141" t="str">
            <v>Cancelled</v>
          </cell>
          <cell r="R3141">
            <v>45160.916944444441</v>
          </cell>
          <cell r="S3141" t="str">
            <v>Karim Tarek</v>
          </cell>
          <cell r="T3141">
            <v>45161</v>
          </cell>
          <cell r="U3141" t="str">
            <v>Matt Howell</v>
          </cell>
          <cell r="V3141">
            <v>45165</v>
          </cell>
          <cell r="W3141">
            <v>45251</v>
          </cell>
          <cell r="AC3141">
            <v>45249</v>
          </cell>
        </row>
        <row r="3142">
          <cell r="I3142" t="str">
            <v>EDI</v>
          </cell>
          <cell r="L3142">
            <v>2475</v>
          </cell>
          <cell r="N3142" t="str">
            <v>Production</v>
          </cell>
          <cell r="O3142" t="str">
            <v>No</v>
          </cell>
          <cell r="Q3142" t="str">
            <v>Live</v>
          </cell>
          <cell r="R3142">
            <v>45159.821921296287</v>
          </cell>
          <cell r="S3142" t="str">
            <v>Aya Fathy</v>
          </cell>
          <cell r="T3142">
            <v>45182</v>
          </cell>
          <cell r="U3142" t="str">
            <v>Miranda Naeem</v>
          </cell>
          <cell r="V3142">
            <v>45196</v>
          </cell>
          <cell r="W3142">
            <v>45251</v>
          </cell>
          <cell r="Y3142">
            <v>45162</v>
          </cell>
          <cell r="AC3142">
            <v>45246</v>
          </cell>
        </row>
        <row r="3143">
          <cell r="I3143" t="str">
            <v>EDI</v>
          </cell>
          <cell r="L3143">
            <v>2396</v>
          </cell>
          <cell r="N3143" t="str">
            <v>Production</v>
          </cell>
          <cell r="O3143" t="str">
            <v>No</v>
          </cell>
          <cell r="Q3143" t="str">
            <v>Live</v>
          </cell>
          <cell r="R3143">
            <v>45159.574918981481</v>
          </cell>
          <cell r="S3143" t="str">
            <v>Aya Fathy</v>
          </cell>
          <cell r="T3143">
            <v>45160</v>
          </cell>
          <cell r="U3143" t="str">
            <v>Julio Figueroa</v>
          </cell>
          <cell r="V3143">
            <v>45160</v>
          </cell>
          <cell r="W3143">
            <v>25569</v>
          </cell>
          <cell r="Y3143">
            <v>45160</v>
          </cell>
          <cell r="AC3143">
            <v>45179</v>
          </cell>
        </row>
        <row r="3144">
          <cell r="I3144" t="str">
            <v>EDI</v>
          </cell>
          <cell r="L3144">
            <v>2496</v>
          </cell>
          <cell r="N3144" t="str">
            <v>Production</v>
          </cell>
          <cell r="O3144" t="str">
            <v>No</v>
          </cell>
          <cell r="Q3144" t="str">
            <v>Cancelled</v>
          </cell>
          <cell r="R3144">
            <v>45156.871759259258</v>
          </cell>
          <cell r="S3144" t="str">
            <v>Mirna Azmy</v>
          </cell>
          <cell r="T3144">
            <v>45193</v>
          </cell>
          <cell r="U3144" t="str">
            <v>Matt Howell</v>
          </cell>
          <cell r="V3144">
            <v>45207</v>
          </cell>
          <cell r="W3144">
            <v>45232</v>
          </cell>
          <cell r="Y3144">
            <v>45189</v>
          </cell>
          <cell r="AC3144">
            <v>45225</v>
          </cell>
        </row>
        <row r="3145">
          <cell r="I3145" t="str">
            <v>EDI</v>
          </cell>
          <cell r="L3145">
            <v>2464</v>
          </cell>
          <cell r="N3145" t="str">
            <v>Production</v>
          </cell>
          <cell r="O3145" t="str">
            <v>No</v>
          </cell>
          <cell r="Q3145" t="str">
            <v>Cancelled</v>
          </cell>
          <cell r="R3145">
            <v>45156.871747685182</v>
          </cell>
          <cell r="S3145" t="str">
            <v>Aya Fathy</v>
          </cell>
          <cell r="T3145">
            <v>45181</v>
          </cell>
          <cell r="U3145" t="str">
            <v>Matt Howell</v>
          </cell>
          <cell r="V3145">
            <v>25569</v>
          </cell>
          <cell r="W3145">
            <v>45204</v>
          </cell>
          <cell r="Y3145">
            <v>45168</v>
          </cell>
          <cell r="AC3145">
            <v>45201</v>
          </cell>
        </row>
        <row r="3146">
          <cell r="I3146" t="str">
            <v>EDI</v>
          </cell>
          <cell r="L3146">
            <v>2487</v>
          </cell>
          <cell r="N3146" t="str">
            <v>Production</v>
          </cell>
          <cell r="O3146" t="str">
            <v>No</v>
          </cell>
          <cell r="Q3146" t="str">
            <v>Live</v>
          </cell>
          <cell r="R3146">
            <v>45156.871747685182</v>
          </cell>
          <cell r="S3146" t="str">
            <v>Fady Maged</v>
          </cell>
          <cell r="T3146">
            <v>45181</v>
          </cell>
          <cell r="U3146" t="str">
            <v>Matt Howell</v>
          </cell>
          <cell r="V3146">
            <v>45188</v>
          </cell>
          <cell r="W3146">
            <v>45218</v>
          </cell>
          <cell r="Y3146">
            <v>45173</v>
          </cell>
          <cell r="AC3146">
            <v>45218</v>
          </cell>
        </row>
        <row r="3147">
          <cell r="I3147" t="str">
            <v>EDI</v>
          </cell>
          <cell r="L3147">
            <v>2502</v>
          </cell>
          <cell r="N3147" t="str">
            <v>Production</v>
          </cell>
          <cell r="O3147" t="str">
            <v>No</v>
          </cell>
          <cell r="Q3147" t="str">
            <v>Cancelled</v>
          </cell>
          <cell r="R3147">
            <v>45156.871747685182</v>
          </cell>
          <cell r="S3147" t="str">
            <v>Joseph Atef</v>
          </cell>
          <cell r="T3147">
            <v>45182</v>
          </cell>
          <cell r="U3147" t="str">
            <v>Matt Howell</v>
          </cell>
          <cell r="V3147">
            <v>25569</v>
          </cell>
          <cell r="W3147">
            <v>45260</v>
          </cell>
          <cell r="Y3147">
            <v>45169</v>
          </cell>
          <cell r="AC3147">
            <v>45260</v>
          </cell>
        </row>
        <row r="3148">
          <cell r="I3148" t="str">
            <v>EDI</v>
          </cell>
          <cell r="L3148">
            <v>2459</v>
          </cell>
          <cell r="N3148" t="str">
            <v>Production</v>
          </cell>
          <cell r="O3148" t="str">
            <v>No</v>
          </cell>
          <cell r="Q3148" t="str">
            <v>Live</v>
          </cell>
          <cell r="R3148">
            <v>45156.840567129628</v>
          </cell>
          <cell r="S3148" t="str">
            <v>Omnia Abdelaziz</v>
          </cell>
          <cell r="T3148">
            <v>45179</v>
          </cell>
          <cell r="U3148" t="str">
            <v>Jene Hamm</v>
          </cell>
          <cell r="V3148">
            <v>45273</v>
          </cell>
          <cell r="W3148">
            <v>45420</v>
          </cell>
          <cell r="Y3148">
            <v>45167</v>
          </cell>
          <cell r="AC3148">
            <v>45390</v>
          </cell>
        </row>
        <row r="3149">
          <cell r="I3149" t="str">
            <v>EDI</v>
          </cell>
          <cell r="L3149">
            <v>2454</v>
          </cell>
          <cell r="N3149" t="str">
            <v>Mapping</v>
          </cell>
          <cell r="O3149" t="str">
            <v>Everything Benefits</v>
          </cell>
          <cell r="P3149" t="str">
            <v>Phase 2</v>
          </cell>
          <cell r="Q3149" t="str">
            <v>Cancelled</v>
          </cell>
          <cell r="R3149">
            <v>45156.560752314806</v>
          </cell>
          <cell r="S3149" t="str">
            <v>Salma Yamani</v>
          </cell>
          <cell r="T3149">
            <v>45166</v>
          </cell>
          <cell r="U3149" t="str">
            <v>Peter Amoruso</v>
          </cell>
          <cell r="Y3149">
            <v>45165</v>
          </cell>
        </row>
        <row r="3150">
          <cell r="I3150" t="str">
            <v>EDI</v>
          </cell>
          <cell r="L3150">
            <v>2461</v>
          </cell>
          <cell r="N3150" t="str">
            <v>Production</v>
          </cell>
          <cell r="O3150" t="str">
            <v>Everything Benefits</v>
          </cell>
          <cell r="P3150" t="str">
            <v>Production</v>
          </cell>
          <cell r="Q3150" t="str">
            <v>Cancelled</v>
          </cell>
          <cell r="R3150">
            <v>45155.798576388886</v>
          </cell>
          <cell r="S3150" t="str">
            <v>Tarek Medhat</v>
          </cell>
          <cell r="T3150">
            <v>45173</v>
          </cell>
          <cell r="U3150" t="str">
            <v>Matt Howell</v>
          </cell>
          <cell r="V3150">
            <v>45201</v>
          </cell>
          <cell r="W3150">
            <v>45299</v>
          </cell>
          <cell r="Y3150">
            <v>45160</v>
          </cell>
          <cell r="AC3150">
            <v>45299</v>
          </cell>
        </row>
        <row r="3151">
          <cell r="I3151" t="str">
            <v>EDI</v>
          </cell>
          <cell r="L3151">
            <v>2501</v>
          </cell>
          <cell r="N3151" t="str">
            <v>Testing</v>
          </cell>
          <cell r="O3151" t="str">
            <v>No</v>
          </cell>
          <cell r="Q3151" t="str">
            <v>Cancelled</v>
          </cell>
          <cell r="R3151">
            <v>45155.637569444443</v>
          </cell>
          <cell r="S3151" t="str">
            <v>Joseph Atef</v>
          </cell>
          <cell r="T3151">
            <v>45175</v>
          </cell>
          <cell r="U3151" t="str">
            <v>Matt Howell</v>
          </cell>
          <cell r="V3151">
            <v>45308</v>
          </cell>
          <cell r="Y3151">
            <v>45162</v>
          </cell>
        </row>
        <row r="3152">
          <cell r="I3152" t="str">
            <v>EDI</v>
          </cell>
          <cell r="L3152">
            <v>2422</v>
          </cell>
          <cell r="N3152" t="str">
            <v>Testing</v>
          </cell>
          <cell r="O3152" t="str">
            <v>Everything Benefits</v>
          </cell>
          <cell r="P3152" t="str">
            <v>Migration Testing</v>
          </cell>
          <cell r="Q3152" t="str">
            <v>Cancelled</v>
          </cell>
          <cell r="R3152">
            <v>45155.633425925917</v>
          </cell>
          <cell r="S3152" t="str">
            <v>Salma Yamani</v>
          </cell>
          <cell r="T3152">
            <v>45155</v>
          </cell>
          <cell r="U3152" t="str">
            <v>Trish Kalinczok</v>
          </cell>
          <cell r="V3152">
            <v>45170</v>
          </cell>
          <cell r="Y3152">
            <v>45155</v>
          </cell>
        </row>
        <row r="3153">
          <cell r="I3153" t="str">
            <v>EDI</v>
          </cell>
          <cell r="L3153">
            <v>2490</v>
          </cell>
          <cell r="N3153" t="str">
            <v>Production</v>
          </cell>
          <cell r="O3153" t="str">
            <v>Everything Benefits</v>
          </cell>
          <cell r="P3153" t="str">
            <v>Production</v>
          </cell>
          <cell r="Q3153" t="str">
            <v>Cancelled</v>
          </cell>
          <cell r="R3153">
            <v>45155.128564814811</v>
          </cell>
          <cell r="S3153" t="str">
            <v>Tarek Medhat</v>
          </cell>
          <cell r="T3153">
            <v>45186</v>
          </cell>
          <cell r="U3153" t="str">
            <v>Matt Howell</v>
          </cell>
          <cell r="V3153">
            <v>45209</v>
          </cell>
          <cell r="W3153">
            <v>45278</v>
          </cell>
          <cell r="Y3153">
            <v>45175</v>
          </cell>
          <cell r="AC3153">
            <v>45277</v>
          </cell>
        </row>
        <row r="3154">
          <cell r="I3154" t="str">
            <v>EDI</v>
          </cell>
          <cell r="L3154">
            <v>2466</v>
          </cell>
          <cell r="N3154" t="str">
            <v>Production</v>
          </cell>
          <cell r="O3154" t="str">
            <v>No</v>
          </cell>
          <cell r="Q3154" t="str">
            <v>Cancelled</v>
          </cell>
          <cell r="R3154">
            <v>45154.829768518517</v>
          </cell>
          <cell r="S3154" t="str">
            <v>Mina Adel</v>
          </cell>
          <cell r="T3154">
            <v>45179</v>
          </cell>
          <cell r="U3154" t="str">
            <v>Hans De Grouw</v>
          </cell>
          <cell r="V3154">
            <v>45191</v>
          </cell>
          <cell r="W3154">
            <v>45261</v>
          </cell>
          <cell r="Y3154">
            <v>45167</v>
          </cell>
          <cell r="AC3154">
            <v>45256</v>
          </cell>
        </row>
        <row r="3155">
          <cell r="I3155" t="str">
            <v>EDI</v>
          </cell>
          <cell r="L3155">
            <v>2443</v>
          </cell>
          <cell r="N3155" t="str">
            <v>Production</v>
          </cell>
          <cell r="O3155" t="str">
            <v>No</v>
          </cell>
          <cell r="Q3155" t="str">
            <v>Cancelled</v>
          </cell>
          <cell r="R3155">
            <v>45154.825335648151</v>
          </cell>
          <cell r="S3155" t="str">
            <v>Aya Fathy</v>
          </cell>
          <cell r="T3155">
            <v>45174</v>
          </cell>
          <cell r="U3155" t="str">
            <v>Hans De Grouw</v>
          </cell>
          <cell r="V3155">
            <v>25569</v>
          </cell>
          <cell r="W3155">
            <v>45365</v>
          </cell>
          <cell r="Y3155">
            <v>45167</v>
          </cell>
          <cell r="AC3155">
            <v>45361</v>
          </cell>
        </row>
        <row r="3156">
          <cell r="I3156" t="str">
            <v>EDI</v>
          </cell>
          <cell r="L3156">
            <v>2425</v>
          </cell>
          <cell r="N3156" t="str">
            <v>Production</v>
          </cell>
          <cell r="O3156" t="str">
            <v>Everything Benefits</v>
          </cell>
          <cell r="P3156" t="str">
            <v>Production</v>
          </cell>
          <cell r="Q3156" t="str">
            <v>Cancelled</v>
          </cell>
          <cell r="R3156">
            <v>45154.782997685194</v>
          </cell>
          <cell r="S3156" t="str">
            <v>Alaa Yehia</v>
          </cell>
          <cell r="T3156">
            <v>45165</v>
          </cell>
          <cell r="U3156" t="str">
            <v>Matt Howell</v>
          </cell>
          <cell r="V3156">
            <v>45180</v>
          </cell>
          <cell r="W3156">
            <v>25569</v>
          </cell>
          <cell r="Y3156">
            <v>45161</v>
          </cell>
          <cell r="AC3156">
            <v>45235</v>
          </cell>
        </row>
        <row r="3157">
          <cell r="I3157" t="str">
            <v>EDI</v>
          </cell>
          <cell r="L3157">
            <v>2444</v>
          </cell>
          <cell r="N3157" t="str">
            <v>Production</v>
          </cell>
          <cell r="O3157" t="str">
            <v>No</v>
          </cell>
          <cell r="Q3157" t="str">
            <v>Live</v>
          </cell>
          <cell r="R3157">
            <v>45153.869421296287</v>
          </cell>
          <cell r="S3157" t="str">
            <v>Mina George</v>
          </cell>
          <cell r="T3157">
            <v>45172</v>
          </cell>
          <cell r="U3157" t="str">
            <v>Trish Kalinczok</v>
          </cell>
          <cell r="V3157">
            <v>45453</v>
          </cell>
          <cell r="W3157">
            <v>45547</v>
          </cell>
          <cell r="Y3157">
            <v>45160</v>
          </cell>
          <cell r="AC3157">
            <v>45547</v>
          </cell>
        </row>
        <row r="3158">
          <cell r="I3158" t="str">
            <v>EDI</v>
          </cell>
          <cell r="L3158">
            <v>2429</v>
          </cell>
          <cell r="N3158" t="str">
            <v>Production</v>
          </cell>
          <cell r="O3158" t="str">
            <v>No</v>
          </cell>
          <cell r="Q3158" t="str">
            <v>Live</v>
          </cell>
          <cell r="R3158">
            <v>45153.806030092594</v>
          </cell>
          <cell r="S3158" t="str">
            <v>Andrew Ramy</v>
          </cell>
          <cell r="T3158">
            <v>45169</v>
          </cell>
          <cell r="U3158" t="str">
            <v>Destinee Duncan</v>
          </cell>
          <cell r="V3158">
            <v>45179</v>
          </cell>
          <cell r="W3158">
            <v>45211</v>
          </cell>
          <cell r="Y3158">
            <v>45162</v>
          </cell>
          <cell r="AC3158">
            <v>45210</v>
          </cell>
        </row>
        <row r="3159">
          <cell r="I3159" t="str">
            <v>EDI</v>
          </cell>
          <cell r="L3159">
            <v>2431</v>
          </cell>
          <cell r="N3159" t="str">
            <v>Production</v>
          </cell>
          <cell r="O3159" t="str">
            <v>No</v>
          </cell>
          <cell r="Q3159" t="str">
            <v>Live</v>
          </cell>
          <cell r="R3159">
            <v>45153.711145833331</v>
          </cell>
          <cell r="S3159" t="str">
            <v>Fady Maged</v>
          </cell>
          <cell r="T3159">
            <v>45167</v>
          </cell>
          <cell r="U3159" t="str">
            <v>Jay Karas</v>
          </cell>
          <cell r="V3159">
            <v>45247</v>
          </cell>
          <cell r="W3159">
            <v>45261</v>
          </cell>
          <cell r="Y3159">
            <v>45158</v>
          </cell>
          <cell r="AC3159">
            <v>45259</v>
          </cell>
        </row>
        <row r="3160">
          <cell r="I3160" t="str">
            <v>EDI</v>
          </cell>
          <cell r="L3160">
            <v>2420</v>
          </cell>
          <cell r="N3160" t="str">
            <v>Production</v>
          </cell>
          <cell r="O3160" t="str">
            <v>No</v>
          </cell>
          <cell r="Q3160" t="str">
            <v>Live</v>
          </cell>
          <cell r="R3160">
            <v>45153.711134259262</v>
          </cell>
          <cell r="S3160" t="str">
            <v>Aya Fathy</v>
          </cell>
          <cell r="T3160">
            <v>45167</v>
          </cell>
          <cell r="U3160" t="str">
            <v>Jay Karas</v>
          </cell>
          <cell r="V3160">
            <v>45221</v>
          </cell>
          <cell r="W3160">
            <v>45247</v>
          </cell>
          <cell r="Y3160">
            <v>45161</v>
          </cell>
          <cell r="AC3160">
            <v>45247</v>
          </cell>
        </row>
        <row r="3161">
          <cell r="I3161" t="str">
            <v>EDI</v>
          </cell>
          <cell r="L3161">
            <v>2428</v>
          </cell>
          <cell r="N3161" t="str">
            <v>Production</v>
          </cell>
          <cell r="O3161" t="str">
            <v>No</v>
          </cell>
          <cell r="Q3161" t="str">
            <v>Live</v>
          </cell>
          <cell r="R3161">
            <v>45153.586168981477</v>
          </cell>
          <cell r="S3161" t="str">
            <v>Andrew Ramy</v>
          </cell>
          <cell r="T3161">
            <v>45167</v>
          </cell>
          <cell r="U3161" t="str">
            <v>Hans De Grouw</v>
          </cell>
          <cell r="V3161">
            <v>45187</v>
          </cell>
          <cell r="W3161">
            <v>45267</v>
          </cell>
          <cell r="Y3161">
            <v>45158</v>
          </cell>
          <cell r="AC3161">
            <v>45266</v>
          </cell>
        </row>
        <row r="3162">
          <cell r="I3162" t="str">
            <v>EDI</v>
          </cell>
          <cell r="L3162">
            <v>2467</v>
          </cell>
          <cell r="N3162" t="str">
            <v>Production</v>
          </cell>
          <cell r="O3162" t="str">
            <v>No</v>
          </cell>
          <cell r="Q3162" t="str">
            <v>Cancelled</v>
          </cell>
          <cell r="R3162">
            <v>45152.526053240741</v>
          </cell>
          <cell r="S3162" t="str">
            <v>Joseph Atef</v>
          </cell>
          <cell r="T3162">
            <v>45165</v>
          </cell>
          <cell r="U3162" t="str">
            <v>Jene Hamm</v>
          </cell>
          <cell r="V3162">
            <v>45326</v>
          </cell>
          <cell r="W3162">
            <v>45357</v>
          </cell>
          <cell r="Y3162">
            <v>45158</v>
          </cell>
          <cell r="AC3162">
            <v>45351</v>
          </cell>
        </row>
        <row r="3163">
          <cell r="I3163" t="str">
            <v>EDI</v>
          </cell>
          <cell r="L3163">
            <v>2413</v>
          </cell>
          <cell r="N3163" t="str">
            <v>Production</v>
          </cell>
          <cell r="O3163" t="str">
            <v>No</v>
          </cell>
          <cell r="Q3163" t="str">
            <v>Cancelled</v>
          </cell>
          <cell r="R3163">
            <v>45152.526053240741</v>
          </cell>
          <cell r="S3163" t="str">
            <v>Omnia Abdelaziz</v>
          </cell>
          <cell r="T3163">
            <v>45165</v>
          </cell>
          <cell r="U3163" t="str">
            <v>Jene Hamm</v>
          </cell>
          <cell r="V3163">
            <v>45230</v>
          </cell>
          <cell r="W3163">
            <v>25569</v>
          </cell>
          <cell r="Y3163">
            <v>45162</v>
          </cell>
          <cell r="AC3163">
            <v>45244</v>
          </cell>
        </row>
        <row r="3164">
          <cell r="I3164" t="str">
            <v>EDI</v>
          </cell>
          <cell r="L3164">
            <v>2408</v>
          </cell>
          <cell r="N3164" t="str">
            <v>Production</v>
          </cell>
          <cell r="O3164" t="str">
            <v>No</v>
          </cell>
          <cell r="Q3164" t="str">
            <v>Cancelled</v>
          </cell>
          <cell r="R3164">
            <v>45152.526041666657</v>
          </cell>
          <cell r="S3164" t="str">
            <v>Aya Fathy</v>
          </cell>
          <cell r="T3164">
            <v>45165</v>
          </cell>
          <cell r="U3164" t="str">
            <v>Jene Hamm</v>
          </cell>
          <cell r="V3164">
            <v>45219</v>
          </cell>
          <cell r="W3164">
            <v>45245</v>
          </cell>
          <cell r="Y3164">
            <v>45160</v>
          </cell>
          <cell r="AC3164">
            <v>45239</v>
          </cell>
        </row>
        <row r="3165">
          <cell r="I3165" t="str">
            <v>EDI</v>
          </cell>
          <cell r="L3165">
            <v>2478</v>
          </cell>
          <cell r="N3165" t="str">
            <v>Production</v>
          </cell>
          <cell r="O3165" t="str">
            <v>No</v>
          </cell>
          <cell r="Q3165" t="str">
            <v>Live</v>
          </cell>
          <cell r="R3165">
            <v>45149.925173611111</v>
          </cell>
          <cell r="S3165" t="str">
            <v>Andrew Ramy</v>
          </cell>
          <cell r="T3165">
            <v>45181</v>
          </cell>
          <cell r="U3165" t="str">
            <v>Tammy Davies</v>
          </cell>
          <cell r="V3165">
            <v>45371</v>
          </cell>
          <cell r="W3165">
            <v>45460</v>
          </cell>
          <cell r="Y3165">
            <v>45180</v>
          </cell>
          <cell r="AC3165">
            <v>45456</v>
          </cell>
        </row>
        <row r="3166">
          <cell r="I3166" t="str">
            <v>EDI</v>
          </cell>
          <cell r="L3166">
            <v>2462</v>
          </cell>
          <cell r="N3166" t="str">
            <v>Production</v>
          </cell>
          <cell r="O3166" t="str">
            <v>No</v>
          </cell>
          <cell r="Q3166" t="str">
            <v>Live</v>
          </cell>
          <cell r="R3166">
            <v>45149.925162037027</v>
          </cell>
          <cell r="S3166" t="str">
            <v>Mirna Azmy</v>
          </cell>
          <cell r="T3166">
            <v>45231</v>
          </cell>
          <cell r="U3166" t="str">
            <v>Tammy Davies</v>
          </cell>
          <cell r="V3166">
            <v>45216</v>
          </cell>
          <cell r="W3166">
            <v>45257</v>
          </cell>
          <cell r="Y3166">
            <v>45162</v>
          </cell>
          <cell r="AC3166">
            <v>45257</v>
          </cell>
        </row>
        <row r="3167">
          <cell r="I3167" t="str">
            <v>EDI</v>
          </cell>
          <cell r="L3167">
            <v>2424</v>
          </cell>
          <cell r="N3167" t="str">
            <v>Production</v>
          </cell>
          <cell r="O3167" t="str">
            <v>No</v>
          </cell>
          <cell r="Q3167" t="str">
            <v>Cancelled</v>
          </cell>
          <cell r="R3167">
            <v>45149.925162037027</v>
          </cell>
          <cell r="S3167" t="str">
            <v>Aya Fathy</v>
          </cell>
          <cell r="T3167">
            <v>45168</v>
          </cell>
          <cell r="U3167" t="str">
            <v>Tammy Davies</v>
          </cell>
          <cell r="V3167">
            <v>25569</v>
          </cell>
          <cell r="W3167">
            <v>45225</v>
          </cell>
          <cell r="Y3167">
            <v>45168</v>
          </cell>
          <cell r="AC3167">
            <v>45221</v>
          </cell>
        </row>
        <row r="3168">
          <cell r="I3168" t="str">
            <v>EDI</v>
          </cell>
          <cell r="L3168">
            <v>2362</v>
          </cell>
          <cell r="N3168" t="str">
            <v>Production</v>
          </cell>
          <cell r="O3168" t="str">
            <v>No</v>
          </cell>
          <cell r="Q3168" t="str">
            <v>Live</v>
          </cell>
          <cell r="R3168">
            <v>45149.798344907409</v>
          </cell>
          <cell r="S3168" t="str">
            <v>Mina George</v>
          </cell>
          <cell r="T3168">
            <v>45154</v>
          </cell>
          <cell r="U3168" t="str">
            <v>Miranda Naeem</v>
          </cell>
          <cell r="V3168">
            <v>45168</v>
          </cell>
          <cell r="W3168">
            <v>45199</v>
          </cell>
          <cell r="AC3168">
            <v>45194</v>
          </cell>
        </row>
        <row r="3169">
          <cell r="I3169" t="str">
            <v>EDI</v>
          </cell>
          <cell r="L3169">
            <v>2363</v>
          </cell>
          <cell r="N3169" t="str">
            <v>Production</v>
          </cell>
          <cell r="O3169" t="str">
            <v>No</v>
          </cell>
          <cell r="Q3169" t="str">
            <v>Live</v>
          </cell>
          <cell r="R3169">
            <v>45149.797407407408</v>
          </cell>
          <cell r="S3169" t="str">
            <v>Mina Adel</v>
          </cell>
          <cell r="T3169">
            <v>45154</v>
          </cell>
          <cell r="U3169" t="str">
            <v>Miranda Naeem</v>
          </cell>
          <cell r="V3169">
            <v>45155</v>
          </cell>
          <cell r="W3169">
            <v>45185</v>
          </cell>
          <cell r="AC3169">
            <v>45181</v>
          </cell>
        </row>
        <row r="3170">
          <cell r="I3170" t="str">
            <v>EDI</v>
          </cell>
          <cell r="N3170" t="str">
            <v>Dataset Validation</v>
          </cell>
          <cell r="O3170" t="str">
            <v>Everything Benefits</v>
          </cell>
          <cell r="P3170" t="str">
            <v>Phase 1 - Map Built</v>
          </cell>
          <cell r="Q3170" t="str">
            <v>Cancelled</v>
          </cell>
          <cell r="R3170">
            <v>45149.672349537039</v>
          </cell>
          <cell r="S3170" t="str">
            <v>Salma Yamani</v>
          </cell>
          <cell r="T3170">
            <v>45165</v>
          </cell>
          <cell r="U3170" t="str">
            <v>Peter Amoruso</v>
          </cell>
          <cell r="Y3170">
            <v>45162</v>
          </cell>
        </row>
        <row r="3171">
          <cell r="I3171" t="str">
            <v>EDI</v>
          </cell>
          <cell r="L3171">
            <v>2414</v>
          </cell>
          <cell r="N3171" t="str">
            <v>Production</v>
          </cell>
          <cell r="O3171" t="str">
            <v>Everything Benefits</v>
          </cell>
          <cell r="P3171" t="str">
            <v>Production</v>
          </cell>
          <cell r="Q3171" t="str">
            <v>Live</v>
          </cell>
          <cell r="R3171">
            <v>45148.834467592591</v>
          </cell>
          <cell r="S3171" t="str">
            <v>Salma Yamani</v>
          </cell>
          <cell r="T3171">
            <v>45190</v>
          </cell>
          <cell r="U3171" t="str">
            <v>Matt Howell</v>
          </cell>
          <cell r="V3171">
            <v>45213</v>
          </cell>
          <cell r="W3171">
            <v>45281</v>
          </cell>
          <cell r="Y3171">
            <v>45155</v>
          </cell>
          <cell r="AC3171">
            <v>45267</v>
          </cell>
        </row>
        <row r="3172">
          <cell r="I3172" t="str">
            <v>EDI</v>
          </cell>
          <cell r="L3172">
            <v>2415</v>
          </cell>
          <cell r="N3172" t="str">
            <v>Production</v>
          </cell>
          <cell r="O3172" t="str">
            <v>Everything Benefits</v>
          </cell>
          <cell r="P3172" t="str">
            <v>Production</v>
          </cell>
          <cell r="Q3172" t="str">
            <v>Live</v>
          </cell>
          <cell r="R3172">
            <v>45148.833252314813</v>
          </cell>
          <cell r="S3172" t="str">
            <v>Hazem Rostom</v>
          </cell>
          <cell r="T3172">
            <v>45165</v>
          </cell>
          <cell r="U3172" t="str">
            <v>Matt Howell</v>
          </cell>
          <cell r="W3172">
            <v>45201</v>
          </cell>
          <cell r="Y3172">
            <v>45155</v>
          </cell>
          <cell r="AC3172">
            <v>45200</v>
          </cell>
        </row>
        <row r="3173">
          <cell r="I3173" t="str">
            <v>EDI</v>
          </cell>
          <cell r="L3173">
            <v>2537</v>
          </cell>
          <cell r="N3173" t="str">
            <v>Testing</v>
          </cell>
          <cell r="O3173" t="str">
            <v>No</v>
          </cell>
          <cell r="Q3173" t="str">
            <v>Cancelled</v>
          </cell>
          <cell r="R3173">
            <v>45148.615439814806</v>
          </cell>
          <cell r="S3173" t="str">
            <v>Mirna Azmy</v>
          </cell>
          <cell r="T3173">
            <v>45210</v>
          </cell>
          <cell r="U3173" t="str">
            <v>Trish Kalinczok</v>
          </cell>
          <cell r="V3173">
            <v>45217</v>
          </cell>
          <cell r="Y3173">
            <v>45210</v>
          </cell>
        </row>
        <row r="3174">
          <cell r="I3174" t="str">
            <v>EDI</v>
          </cell>
          <cell r="L3174">
            <v>2418</v>
          </cell>
          <cell r="N3174" t="str">
            <v>Testing</v>
          </cell>
          <cell r="O3174" t="str">
            <v>Everything Benefits</v>
          </cell>
          <cell r="P3174" t="str">
            <v>Migration Testing</v>
          </cell>
          <cell r="Q3174" t="str">
            <v>Cancelled</v>
          </cell>
          <cell r="R3174">
            <v>45148.603680555563</v>
          </cell>
          <cell r="S3174" t="str">
            <v>Salma Yamani</v>
          </cell>
          <cell r="T3174">
            <v>45148</v>
          </cell>
          <cell r="U3174" t="str">
            <v>Trish Kalinczok</v>
          </cell>
          <cell r="V3174">
            <v>45176</v>
          </cell>
        </row>
        <row r="3175">
          <cell r="I3175" t="str">
            <v>EDI</v>
          </cell>
          <cell r="L3175">
            <v>2442</v>
          </cell>
          <cell r="N3175" t="str">
            <v>Testing</v>
          </cell>
          <cell r="O3175" t="str">
            <v>Everything Benefits</v>
          </cell>
          <cell r="P3175" t="str">
            <v>Migration Testing</v>
          </cell>
          <cell r="Q3175" t="str">
            <v>Cancelled</v>
          </cell>
          <cell r="R3175">
            <v>45148.596921296303</v>
          </cell>
          <cell r="S3175" t="str">
            <v>Mina Kamil</v>
          </cell>
          <cell r="T3175">
            <v>45158</v>
          </cell>
          <cell r="U3175" t="str">
            <v>Trish Kalinczok</v>
          </cell>
          <cell r="V3175">
            <v>45210</v>
          </cell>
          <cell r="Y3175">
            <v>45151</v>
          </cell>
        </row>
        <row r="3176">
          <cell r="I3176" t="str">
            <v>EDI</v>
          </cell>
          <cell r="L3176">
            <v>2391</v>
          </cell>
          <cell r="N3176" t="str">
            <v>Production</v>
          </cell>
          <cell r="O3176" t="str">
            <v>Everything Benefits</v>
          </cell>
          <cell r="P3176" t="str">
            <v>Production</v>
          </cell>
          <cell r="Q3176" t="str">
            <v>Live</v>
          </cell>
          <cell r="R3176">
            <v>45147.92224537037</v>
          </cell>
          <cell r="S3176" t="str">
            <v>Alaa Yehia</v>
          </cell>
          <cell r="T3176">
            <v>45158</v>
          </cell>
          <cell r="U3176" t="str">
            <v>Matt Howell</v>
          </cell>
          <cell r="V3176">
            <v>45166</v>
          </cell>
          <cell r="W3176">
            <v>45180</v>
          </cell>
          <cell r="Y3176">
            <v>45153</v>
          </cell>
          <cell r="AC3176">
            <v>45179</v>
          </cell>
        </row>
        <row r="3177">
          <cell r="I3177" t="str">
            <v>EDI</v>
          </cell>
          <cell r="L3177">
            <v>2417</v>
          </cell>
          <cell r="N3177" t="str">
            <v>Production</v>
          </cell>
          <cell r="O3177" t="str">
            <v>Everything Benefits</v>
          </cell>
          <cell r="P3177" t="str">
            <v>Production</v>
          </cell>
          <cell r="Q3177" t="str">
            <v>Live</v>
          </cell>
          <cell r="R3177">
            <v>45147.92224537037</v>
          </cell>
          <cell r="S3177" t="str">
            <v>Zeyad Khaled</v>
          </cell>
          <cell r="T3177">
            <v>45159</v>
          </cell>
          <cell r="U3177" t="str">
            <v>Matt Howell</v>
          </cell>
          <cell r="V3177">
            <v>45180</v>
          </cell>
          <cell r="W3177">
            <v>45222</v>
          </cell>
          <cell r="Y3177">
            <v>45148</v>
          </cell>
          <cell r="AC3177">
            <v>45221</v>
          </cell>
        </row>
        <row r="3178">
          <cell r="I3178" t="str">
            <v>EDI</v>
          </cell>
          <cell r="L3178">
            <v>2397</v>
          </cell>
          <cell r="N3178" t="str">
            <v>Production</v>
          </cell>
          <cell r="O3178" t="str">
            <v>Everything Benefits</v>
          </cell>
          <cell r="P3178" t="str">
            <v>Production</v>
          </cell>
          <cell r="Q3178" t="str">
            <v>Live</v>
          </cell>
          <cell r="R3178">
            <v>45147.922233796293</v>
          </cell>
          <cell r="S3178" t="str">
            <v>Hazem Rostom</v>
          </cell>
          <cell r="T3178">
            <v>45158</v>
          </cell>
          <cell r="U3178" t="str">
            <v>Matt Howell</v>
          </cell>
          <cell r="V3178">
            <v>45194</v>
          </cell>
          <cell r="W3178">
            <v>45218</v>
          </cell>
          <cell r="Y3178">
            <v>45158</v>
          </cell>
          <cell r="AC3178">
            <v>45214</v>
          </cell>
        </row>
        <row r="3179">
          <cell r="I3179" t="str">
            <v>EDI</v>
          </cell>
          <cell r="L3179">
            <v>2540</v>
          </cell>
          <cell r="N3179" t="str">
            <v>Production</v>
          </cell>
          <cell r="O3179" t="str">
            <v>No</v>
          </cell>
          <cell r="Q3179" t="str">
            <v>Cancelled</v>
          </cell>
          <cell r="R3179">
            <v>45147.746388888889</v>
          </cell>
          <cell r="S3179" t="str">
            <v>Andrew Ramy</v>
          </cell>
          <cell r="T3179">
            <v>45209</v>
          </cell>
          <cell r="U3179" t="str">
            <v>Miranda Naeem</v>
          </cell>
          <cell r="V3179">
            <v>45274</v>
          </cell>
          <cell r="W3179">
            <v>45358</v>
          </cell>
          <cell r="Y3179">
            <v>45208</v>
          </cell>
          <cell r="AC3179">
            <v>45350</v>
          </cell>
        </row>
        <row r="3180">
          <cell r="I3180" t="str">
            <v>EDI</v>
          </cell>
          <cell r="L3180">
            <v>2470</v>
          </cell>
          <cell r="N3180" t="str">
            <v>Production</v>
          </cell>
          <cell r="O3180" t="str">
            <v>Everything Benefits</v>
          </cell>
          <cell r="P3180" t="str">
            <v>Production</v>
          </cell>
          <cell r="Q3180" t="str">
            <v>Cancelled</v>
          </cell>
          <cell r="R3180">
            <v>45147.457395833328</v>
          </cell>
          <cell r="S3180" t="str">
            <v>Mahmoud Ahmed</v>
          </cell>
          <cell r="T3180">
            <v>45153</v>
          </cell>
          <cell r="U3180" t="str">
            <v>Trish Kalinczok</v>
          </cell>
          <cell r="V3180">
            <v>45225</v>
          </cell>
          <cell r="W3180">
            <v>45265</v>
          </cell>
          <cell r="Y3180">
            <v>45148</v>
          </cell>
          <cell r="AC3180">
            <v>45252</v>
          </cell>
        </row>
        <row r="3181">
          <cell r="I3181" t="str">
            <v>EDI</v>
          </cell>
          <cell r="L3181">
            <v>2421</v>
          </cell>
          <cell r="N3181" t="str">
            <v>Production</v>
          </cell>
          <cell r="O3181" t="str">
            <v>No</v>
          </cell>
          <cell r="Q3181" t="str">
            <v>Cancelled</v>
          </cell>
          <cell r="R3181">
            <v>45146.747453703712</v>
          </cell>
          <cell r="S3181" t="str">
            <v>Mina Adel</v>
          </cell>
          <cell r="T3181">
            <v>45161</v>
          </cell>
          <cell r="U3181" t="str">
            <v>Trish Kalinczok</v>
          </cell>
          <cell r="V3181">
            <v>45176</v>
          </cell>
          <cell r="W3181">
            <v>25569</v>
          </cell>
          <cell r="Y3181">
            <v>45158</v>
          </cell>
          <cell r="AC3181">
            <v>45237</v>
          </cell>
        </row>
        <row r="3182">
          <cell r="I3182" t="str">
            <v>EDI</v>
          </cell>
          <cell r="L3182">
            <v>2493</v>
          </cell>
          <cell r="N3182" t="str">
            <v>Mapping</v>
          </cell>
          <cell r="O3182" t="str">
            <v>No</v>
          </cell>
          <cell r="Q3182" t="str">
            <v>Cancelled</v>
          </cell>
          <cell r="R3182">
            <v>45146.684305555558</v>
          </cell>
          <cell r="S3182" t="str">
            <v>Mirna Azmy</v>
          </cell>
          <cell r="T3182">
            <v>45189</v>
          </cell>
          <cell r="U3182" t="str">
            <v>Trish Kalinczok</v>
          </cell>
          <cell r="Y3182">
            <v>45188</v>
          </cell>
        </row>
        <row r="3183">
          <cell r="I3183" t="str">
            <v>EDI</v>
          </cell>
          <cell r="N3183" t="str">
            <v>Requirements Gathering</v>
          </cell>
          <cell r="O3183" t="str">
            <v>Everything Benefits</v>
          </cell>
          <cell r="P3183" t="str">
            <v>Phase 1 - Map Built</v>
          </cell>
          <cell r="Q3183" t="str">
            <v>Cancelled</v>
          </cell>
          <cell r="R3183">
            <v>45146.648229166669</v>
          </cell>
          <cell r="S3183" t="str">
            <v>Sandra Adel</v>
          </cell>
          <cell r="T3183">
            <v>45147</v>
          </cell>
          <cell r="U3183" t="str">
            <v>Jene Hamm</v>
          </cell>
        </row>
        <row r="3184">
          <cell r="I3184" t="str">
            <v>EDI</v>
          </cell>
          <cell r="L3184">
            <v>2406</v>
          </cell>
          <cell r="N3184" t="str">
            <v>Production</v>
          </cell>
          <cell r="O3184" t="str">
            <v>Everything Benefits</v>
          </cell>
          <cell r="P3184" t="str">
            <v>Production</v>
          </cell>
          <cell r="Q3184" t="str">
            <v>Cancelled</v>
          </cell>
          <cell r="R3184">
            <v>45146.639363425929</v>
          </cell>
          <cell r="S3184" t="str">
            <v>Mahmoud Ahmed</v>
          </cell>
          <cell r="T3184">
            <v>45158</v>
          </cell>
          <cell r="U3184" t="str">
            <v>Trish Kalinczok</v>
          </cell>
          <cell r="V3184">
            <v>45166</v>
          </cell>
          <cell r="W3184">
            <v>45292</v>
          </cell>
          <cell r="Y3184">
            <v>45155</v>
          </cell>
          <cell r="AC3184">
            <v>45291</v>
          </cell>
        </row>
        <row r="3185">
          <cell r="I3185" t="str">
            <v>EDI</v>
          </cell>
          <cell r="L3185">
            <v>2437</v>
          </cell>
          <cell r="N3185" t="str">
            <v>Production</v>
          </cell>
          <cell r="O3185" t="str">
            <v>Everything Benefits</v>
          </cell>
          <cell r="P3185" t="str">
            <v>Production</v>
          </cell>
          <cell r="Q3185" t="str">
            <v>Live</v>
          </cell>
          <cell r="R3185">
            <v>45146.631747685176</v>
          </cell>
          <cell r="S3185" t="str">
            <v>Alaa Yehia</v>
          </cell>
          <cell r="T3185">
            <v>45168</v>
          </cell>
          <cell r="U3185" t="str">
            <v>Trish Kalinczok</v>
          </cell>
          <cell r="V3185">
            <v>45187</v>
          </cell>
          <cell r="W3185">
            <v>45320</v>
          </cell>
          <cell r="Y3185">
            <v>45162</v>
          </cell>
          <cell r="AC3185">
            <v>45319</v>
          </cell>
        </row>
        <row r="3186">
          <cell r="I3186" t="str">
            <v>EDI</v>
          </cell>
          <cell r="L3186">
            <v>2446</v>
          </cell>
          <cell r="N3186" t="str">
            <v>Production</v>
          </cell>
          <cell r="O3186" t="str">
            <v>Everything Benefits</v>
          </cell>
          <cell r="P3186" t="str">
            <v>Production</v>
          </cell>
          <cell r="Q3186" t="str">
            <v>Cancelled</v>
          </cell>
          <cell r="R3186">
            <v>45146.623287037037</v>
          </cell>
          <cell r="S3186" t="str">
            <v>Karen Ramy</v>
          </cell>
          <cell r="T3186">
            <v>45154</v>
          </cell>
          <cell r="U3186" t="str">
            <v>Trish Kalinczok</v>
          </cell>
          <cell r="V3186">
            <v>45208</v>
          </cell>
          <cell r="W3186">
            <v>45278</v>
          </cell>
          <cell r="Y3186">
            <v>45151</v>
          </cell>
          <cell r="AC3186">
            <v>45267</v>
          </cell>
        </row>
        <row r="3187">
          <cell r="I3187" t="str">
            <v>EDI</v>
          </cell>
          <cell r="L3187">
            <v>2360</v>
          </cell>
          <cell r="N3187" t="str">
            <v>Production</v>
          </cell>
          <cell r="O3187" t="str">
            <v>Everything Benefits</v>
          </cell>
          <cell r="P3187" t="str">
            <v>Production</v>
          </cell>
          <cell r="Q3187" t="str">
            <v>Live</v>
          </cell>
          <cell r="R3187">
            <v>45146.60361111111</v>
          </cell>
          <cell r="S3187" t="str">
            <v>Zeyad Khaled</v>
          </cell>
          <cell r="T3187">
            <v>45153</v>
          </cell>
          <cell r="U3187" t="str">
            <v>Trish Kalinczok</v>
          </cell>
          <cell r="V3187">
            <v>45202</v>
          </cell>
          <cell r="W3187">
            <v>45236</v>
          </cell>
          <cell r="Y3187">
            <v>45148</v>
          </cell>
          <cell r="AC3187">
            <v>45235</v>
          </cell>
        </row>
        <row r="3188">
          <cell r="I3188" t="str">
            <v>EDI</v>
          </cell>
          <cell r="L3188">
            <v>2371</v>
          </cell>
          <cell r="N3188" t="str">
            <v>Production</v>
          </cell>
          <cell r="O3188" t="str">
            <v>Everything Benefits</v>
          </cell>
          <cell r="P3188" t="str">
            <v>Production</v>
          </cell>
          <cell r="Q3188" t="str">
            <v>Live</v>
          </cell>
          <cell r="R3188">
            <v>45146.60361111111</v>
          </cell>
          <cell r="S3188" t="str">
            <v>Zeyad Khaled</v>
          </cell>
          <cell r="T3188">
            <v>45153</v>
          </cell>
          <cell r="U3188" t="str">
            <v>Trish Kalinczok</v>
          </cell>
          <cell r="V3188">
            <v>45202</v>
          </cell>
          <cell r="W3188">
            <v>45208</v>
          </cell>
          <cell r="Y3188">
            <v>45148</v>
          </cell>
          <cell r="AC3188">
            <v>45207</v>
          </cell>
        </row>
        <row r="3189">
          <cell r="I3189" t="str">
            <v>EDI</v>
          </cell>
          <cell r="L3189">
            <v>2383</v>
          </cell>
          <cell r="N3189" t="str">
            <v>Production</v>
          </cell>
          <cell r="O3189" t="str">
            <v>Everything Benefits</v>
          </cell>
          <cell r="P3189" t="str">
            <v>Production</v>
          </cell>
          <cell r="Q3189" t="str">
            <v>Cancelled</v>
          </cell>
          <cell r="R3189">
            <v>45146.587083333332</v>
          </cell>
          <cell r="S3189" t="str">
            <v>Mahmoud Ahmed</v>
          </cell>
          <cell r="T3189">
            <v>45153</v>
          </cell>
          <cell r="U3189" t="str">
            <v>Trish Kalinczok</v>
          </cell>
          <cell r="V3189">
            <v>25569</v>
          </cell>
          <cell r="W3189">
            <v>45460</v>
          </cell>
          <cell r="Y3189">
            <v>45148</v>
          </cell>
          <cell r="AC3189">
            <v>45456</v>
          </cell>
        </row>
        <row r="3190">
          <cell r="I3190" t="str">
            <v>EDI</v>
          </cell>
          <cell r="L3190">
            <v>2381</v>
          </cell>
          <cell r="N3190" t="str">
            <v>Production</v>
          </cell>
          <cell r="O3190" t="str">
            <v>Everything Benefits</v>
          </cell>
          <cell r="P3190" t="str">
            <v>Production</v>
          </cell>
          <cell r="Q3190" t="str">
            <v>Cancelled</v>
          </cell>
          <cell r="R3190">
            <v>45146.587083333332</v>
          </cell>
          <cell r="S3190" t="str">
            <v>Mahmoud Ahmed</v>
          </cell>
          <cell r="T3190">
            <v>45153</v>
          </cell>
          <cell r="U3190" t="str">
            <v>Trish Kalinczok</v>
          </cell>
          <cell r="V3190">
            <v>45235</v>
          </cell>
          <cell r="W3190">
            <v>45265</v>
          </cell>
          <cell r="Y3190">
            <v>45148</v>
          </cell>
          <cell r="AC3190">
            <v>45252</v>
          </cell>
        </row>
        <row r="3191">
          <cell r="I3191" t="str">
            <v>EDI</v>
          </cell>
          <cell r="L3191">
            <v>2382</v>
          </cell>
          <cell r="N3191" t="str">
            <v>Production</v>
          </cell>
          <cell r="O3191" t="str">
            <v>Everything Benefits</v>
          </cell>
          <cell r="P3191" t="str">
            <v>Production</v>
          </cell>
          <cell r="Q3191" t="str">
            <v>Cancelled</v>
          </cell>
          <cell r="R3191">
            <v>45146.587083333332</v>
          </cell>
          <cell r="S3191" t="str">
            <v>Mahmoud Ahmed</v>
          </cell>
          <cell r="T3191">
            <v>45153</v>
          </cell>
          <cell r="U3191" t="str">
            <v>Trish Kalinczok</v>
          </cell>
          <cell r="V3191">
            <v>45172</v>
          </cell>
          <cell r="W3191">
            <v>45222</v>
          </cell>
          <cell r="Y3191">
            <v>45152</v>
          </cell>
          <cell r="AC3191">
            <v>45221</v>
          </cell>
        </row>
        <row r="3192">
          <cell r="I3192" t="str">
            <v>EDI</v>
          </cell>
          <cell r="L3192">
            <v>2389</v>
          </cell>
          <cell r="N3192" t="str">
            <v>Production</v>
          </cell>
          <cell r="O3192" t="str">
            <v>Everything Benefits</v>
          </cell>
          <cell r="P3192" t="str">
            <v>Production</v>
          </cell>
          <cell r="Q3192" t="str">
            <v>Cancelled</v>
          </cell>
          <cell r="R3192">
            <v>45146.569664351853</v>
          </cell>
          <cell r="S3192" t="str">
            <v>Tarek Medhat</v>
          </cell>
          <cell r="T3192">
            <v>45153</v>
          </cell>
          <cell r="U3192" t="str">
            <v>Trish Kalinczok</v>
          </cell>
          <cell r="V3192">
            <v>45187</v>
          </cell>
          <cell r="W3192">
            <v>45250</v>
          </cell>
          <cell r="Y3192">
            <v>45151</v>
          </cell>
          <cell r="AC3192">
            <v>45249</v>
          </cell>
        </row>
        <row r="3193">
          <cell r="I3193" t="str">
            <v>EDI</v>
          </cell>
          <cell r="L3193">
            <v>2376</v>
          </cell>
          <cell r="N3193" t="str">
            <v>Production</v>
          </cell>
          <cell r="O3193" t="str">
            <v>Everything Benefits</v>
          </cell>
          <cell r="P3193" t="str">
            <v>Production</v>
          </cell>
          <cell r="Q3193" t="str">
            <v>Cancelled</v>
          </cell>
          <cell r="R3193">
            <v>45146.569664351853</v>
          </cell>
          <cell r="S3193" t="str">
            <v>Tarek Medhat</v>
          </cell>
          <cell r="T3193">
            <v>45152</v>
          </cell>
          <cell r="U3193" t="str">
            <v>Trish Kalinczok</v>
          </cell>
          <cell r="V3193">
            <v>45187</v>
          </cell>
          <cell r="W3193">
            <v>45201</v>
          </cell>
          <cell r="Y3193">
            <v>45148</v>
          </cell>
          <cell r="AC3193">
            <v>45200</v>
          </cell>
        </row>
        <row r="3194">
          <cell r="I3194" t="str">
            <v>EDI</v>
          </cell>
          <cell r="L3194">
            <v>2364</v>
          </cell>
          <cell r="N3194" t="str">
            <v>Production</v>
          </cell>
          <cell r="O3194" t="str">
            <v>Everything Benefits</v>
          </cell>
          <cell r="P3194" t="str">
            <v>Production</v>
          </cell>
          <cell r="Q3194" t="str">
            <v>Cancelled</v>
          </cell>
          <cell r="R3194">
            <v>45146.569652777784</v>
          </cell>
          <cell r="S3194" t="str">
            <v>Tarek Medhat</v>
          </cell>
          <cell r="T3194">
            <v>45153</v>
          </cell>
          <cell r="U3194" t="str">
            <v>Trish Kalinczok</v>
          </cell>
          <cell r="V3194">
            <v>45187</v>
          </cell>
          <cell r="W3194">
            <v>45201</v>
          </cell>
          <cell r="Y3194">
            <v>45152</v>
          </cell>
          <cell r="AC3194">
            <v>45200</v>
          </cell>
        </row>
        <row r="3195">
          <cell r="I3195" t="str">
            <v>EDI</v>
          </cell>
          <cell r="L3195">
            <v>2386</v>
          </cell>
          <cell r="N3195" t="str">
            <v>Production</v>
          </cell>
          <cell r="O3195" t="str">
            <v>Everything Benefits</v>
          </cell>
          <cell r="P3195" t="str">
            <v>Production</v>
          </cell>
          <cell r="Q3195" t="str">
            <v>Live</v>
          </cell>
          <cell r="R3195">
            <v>45146.557881944442</v>
          </cell>
          <cell r="S3195" t="str">
            <v>Hazem Rostom</v>
          </cell>
          <cell r="T3195">
            <v>45152</v>
          </cell>
          <cell r="U3195" t="str">
            <v>Jene Hamm</v>
          </cell>
          <cell r="W3195">
            <v>45314</v>
          </cell>
          <cell r="Y3195">
            <v>45148</v>
          </cell>
          <cell r="AC3195">
            <v>45305</v>
          </cell>
        </row>
        <row r="3196">
          <cell r="I3196" t="str">
            <v>EDI</v>
          </cell>
          <cell r="L3196">
            <v>2374</v>
          </cell>
          <cell r="N3196" t="str">
            <v>Production</v>
          </cell>
          <cell r="O3196" t="str">
            <v>Everything Benefits</v>
          </cell>
          <cell r="P3196" t="str">
            <v>Production</v>
          </cell>
          <cell r="Q3196" t="str">
            <v>Live</v>
          </cell>
          <cell r="R3196">
            <v>45146.546643518523</v>
          </cell>
          <cell r="S3196" t="str">
            <v>Zeyad Khaled</v>
          </cell>
          <cell r="T3196">
            <v>45153</v>
          </cell>
          <cell r="U3196" t="str">
            <v>Trish Kalinczok</v>
          </cell>
          <cell r="V3196">
            <v>45173</v>
          </cell>
          <cell r="W3196">
            <v>45187</v>
          </cell>
          <cell r="Y3196">
            <v>45148</v>
          </cell>
          <cell r="AC3196">
            <v>45186</v>
          </cell>
        </row>
        <row r="3197">
          <cell r="I3197" t="str">
            <v>EDI</v>
          </cell>
          <cell r="L3197">
            <v>2526</v>
          </cell>
          <cell r="N3197" t="str">
            <v>Production</v>
          </cell>
          <cell r="O3197" t="str">
            <v>Everything Benefits</v>
          </cell>
          <cell r="P3197" t="str">
            <v>Production</v>
          </cell>
          <cell r="Q3197" t="str">
            <v>Live</v>
          </cell>
          <cell r="R3197">
            <v>45146.546643518523</v>
          </cell>
          <cell r="S3197" t="str">
            <v>Mohamed Abdelhamed</v>
          </cell>
          <cell r="T3197">
            <v>45203</v>
          </cell>
          <cell r="U3197" t="str">
            <v>Trish Kalinczok</v>
          </cell>
          <cell r="V3197">
            <v>45223</v>
          </cell>
          <cell r="W3197">
            <v>45257</v>
          </cell>
          <cell r="AC3197">
            <v>45252</v>
          </cell>
        </row>
        <row r="3198">
          <cell r="I3198" t="str">
            <v>EDI</v>
          </cell>
          <cell r="L3198">
            <v>2337</v>
          </cell>
          <cell r="N3198" t="str">
            <v>Testing</v>
          </cell>
          <cell r="O3198" t="str">
            <v>eBenefits Network</v>
          </cell>
          <cell r="P3198" t="str">
            <v>Phase 3</v>
          </cell>
          <cell r="Q3198" t="str">
            <v>Cancelled</v>
          </cell>
          <cell r="R3198">
            <v>45146.531956018523</v>
          </cell>
          <cell r="S3198" t="str">
            <v>Karim Tarek</v>
          </cell>
          <cell r="T3198">
            <v>45201</v>
          </cell>
          <cell r="U3198" t="str">
            <v>Trish Kalinczok</v>
          </cell>
          <cell r="V3198">
            <v>45181</v>
          </cell>
        </row>
        <row r="3199">
          <cell r="I3199" t="str">
            <v>EDI</v>
          </cell>
          <cell r="L3199">
            <v>2336</v>
          </cell>
          <cell r="N3199" t="str">
            <v>Production</v>
          </cell>
          <cell r="O3199" t="str">
            <v>eBenefits Network</v>
          </cell>
          <cell r="P3199" t="str">
            <v>Production</v>
          </cell>
          <cell r="Q3199" t="str">
            <v>Cancelled</v>
          </cell>
          <cell r="R3199">
            <v>45146.524594907409</v>
          </cell>
          <cell r="S3199" t="str">
            <v>Karim Tarek</v>
          </cell>
          <cell r="T3199">
            <v>45432</v>
          </cell>
          <cell r="U3199" t="str">
            <v>Trish Kalinczok</v>
          </cell>
          <cell r="V3199">
            <v>45154</v>
          </cell>
          <cell r="W3199">
            <v>45519</v>
          </cell>
          <cell r="AC3199">
            <v>45515</v>
          </cell>
        </row>
        <row r="3200">
          <cell r="I3200" t="str">
            <v>EDI</v>
          </cell>
          <cell r="L3200">
            <v>2359</v>
          </cell>
          <cell r="N3200" t="str">
            <v>Production</v>
          </cell>
          <cell r="O3200" t="str">
            <v>No</v>
          </cell>
          <cell r="Q3200" t="str">
            <v>Cancelled</v>
          </cell>
          <cell r="R3200">
            <v>45145.855983796297</v>
          </cell>
          <cell r="S3200" t="str">
            <v>Mina George</v>
          </cell>
          <cell r="T3200">
            <v>45154</v>
          </cell>
          <cell r="U3200" t="str">
            <v>Robbie Schappell</v>
          </cell>
          <cell r="V3200">
            <v>45189</v>
          </cell>
          <cell r="W3200">
            <v>45199</v>
          </cell>
          <cell r="Y3200">
            <v>45151</v>
          </cell>
          <cell r="AC3200">
            <v>45195</v>
          </cell>
        </row>
        <row r="3201">
          <cell r="I3201" t="str">
            <v>EDI</v>
          </cell>
          <cell r="L3201">
            <v>2392</v>
          </cell>
          <cell r="N3201" t="str">
            <v>Production</v>
          </cell>
          <cell r="O3201" t="str">
            <v>Everything Benefits</v>
          </cell>
          <cell r="P3201" t="str">
            <v>Production</v>
          </cell>
          <cell r="Q3201" t="str">
            <v>Cancelled</v>
          </cell>
          <cell r="R3201">
            <v>45145.823541666658</v>
          </cell>
          <cell r="S3201" t="str">
            <v>Alaa Yehia</v>
          </cell>
          <cell r="T3201">
            <v>45158</v>
          </cell>
          <cell r="U3201" t="str">
            <v>Trish Kalinczok</v>
          </cell>
          <cell r="V3201">
            <v>45173</v>
          </cell>
          <cell r="W3201">
            <v>25569</v>
          </cell>
          <cell r="Y3201">
            <v>45154</v>
          </cell>
          <cell r="AC3201">
            <v>45214</v>
          </cell>
        </row>
        <row r="3202">
          <cell r="I3202" t="str">
            <v>EDI</v>
          </cell>
          <cell r="L3202">
            <v>2479</v>
          </cell>
          <cell r="N3202" t="str">
            <v>Production</v>
          </cell>
          <cell r="O3202" t="str">
            <v>Everything Benefits</v>
          </cell>
          <cell r="P3202" t="str">
            <v>Production</v>
          </cell>
          <cell r="Q3202" t="str">
            <v>Live</v>
          </cell>
          <cell r="R3202">
            <v>45145.823541666658</v>
          </cell>
          <cell r="S3202" t="str">
            <v>Alaa Yehia</v>
          </cell>
          <cell r="T3202">
            <v>45186</v>
          </cell>
          <cell r="U3202" t="str">
            <v>Trish Kalinczok</v>
          </cell>
          <cell r="V3202">
            <v>45194</v>
          </cell>
          <cell r="W3202">
            <v>45229</v>
          </cell>
          <cell r="Y3202">
            <v>45185</v>
          </cell>
          <cell r="AC3202">
            <v>45228</v>
          </cell>
        </row>
        <row r="3203">
          <cell r="I3203" t="str">
            <v>EDI</v>
          </cell>
          <cell r="L3203">
            <v>2366</v>
          </cell>
          <cell r="N3203" t="str">
            <v>Production</v>
          </cell>
          <cell r="O3203" t="str">
            <v>Everything Benefits</v>
          </cell>
          <cell r="P3203" t="str">
            <v>Production</v>
          </cell>
          <cell r="Q3203" t="str">
            <v>Live</v>
          </cell>
          <cell r="R3203">
            <v>45145.823541666658</v>
          </cell>
          <cell r="S3203" t="str">
            <v>Alaa Yehia</v>
          </cell>
          <cell r="T3203">
            <v>45147</v>
          </cell>
          <cell r="U3203" t="str">
            <v>Trish Kalinczok</v>
          </cell>
          <cell r="V3203">
            <v>45166</v>
          </cell>
          <cell r="W3203">
            <v>45173</v>
          </cell>
          <cell r="Y3203">
            <v>45146</v>
          </cell>
          <cell r="AC3203">
            <v>45172</v>
          </cell>
        </row>
        <row r="3204">
          <cell r="I3204" t="str">
            <v>EDI</v>
          </cell>
          <cell r="L3204">
            <v>2512</v>
          </cell>
          <cell r="N3204" t="str">
            <v>Testing</v>
          </cell>
          <cell r="O3204" t="str">
            <v>Everything Benefits</v>
          </cell>
          <cell r="P3204" t="str">
            <v>Migration Testing</v>
          </cell>
          <cell r="Q3204" t="str">
            <v>Cancelled</v>
          </cell>
          <cell r="R3204">
            <v>45145.823541666658</v>
          </cell>
          <cell r="S3204" t="str">
            <v>Mohamed Abdelhamed</v>
          </cell>
          <cell r="T3204">
            <v>45217</v>
          </cell>
          <cell r="U3204" t="str">
            <v>Trish Kalinczok</v>
          </cell>
        </row>
        <row r="3205">
          <cell r="I3205" t="str">
            <v>EDI</v>
          </cell>
          <cell r="L3205">
            <v>2402</v>
          </cell>
          <cell r="N3205" t="str">
            <v>Production</v>
          </cell>
          <cell r="O3205" t="str">
            <v>Everything Benefits</v>
          </cell>
          <cell r="P3205" t="str">
            <v>Production</v>
          </cell>
          <cell r="Q3205" t="str">
            <v>Live</v>
          </cell>
          <cell r="R3205">
            <v>45145.823530092603</v>
          </cell>
          <cell r="S3205" t="str">
            <v>Mina Kamil</v>
          </cell>
          <cell r="T3205">
            <v>45152</v>
          </cell>
          <cell r="U3205" t="str">
            <v>Trish Kalinczok</v>
          </cell>
          <cell r="W3205">
            <v>45222</v>
          </cell>
          <cell r="Y3205">
            <v>45147</v>
          </cell>
          <cell r="AC3205">
            <v>45221</v>
          </cell>
        </row>
        <row r="3206">
          <cell r="I3206" t="str">
            <v>EDI</v>
          </cell>
          <cell r="N3206" t="str">
            <v>Requirements Gathering</v>
          </cell>
          <cell r="O3206" t="str">
            <v>No</v>
          </cell>
          <cell r="Q3206" t="str">
            <v>Cancelled</v>
          </cell>
          <cell r="R3206">
            <v>45145.803657407407</v>
          </cell>
          <cell r="S3206" t="str">
            <v>Lourina Edmon</v>
          </cell>
          <cell r="T3206">
            <v>45146</v>
          </cell>
          <cell r="U3206" t="str">
            <v>Miranda Naeem</v>
          </cell>
        </row>
        <row r="3207">
          <cell r="I3207" t="str">
            <v>EDI</v>
          </cell>
          <cell r="N3207" t="str">
            <v>Requirements Gathering</v>
          </cell>
          <cell r="O3207" t="str">
            <v>No</v>
          </cell>
          <cell r="Q3207" t="str">
            <v>Cancelled</v>
          </cell>
          <cell r="R3207">
            <v>45145.658321759263</v>
          </cell>
          <cell r="S3207" t="str">
            <v>Sandra Adel</v>
          </cell>
          <cell r="T3207">
            <v>45146</v>
          </cell>
          <cell r="U3207" t="str">
            <v>Hans De Grouw</v>
          </cell>
        </row>
        <row r="3208">
          <cell r="I3208" t="str">
            <v>EDI</v>
          </cell>
          <cell r="N3208" t="str">
            <v>Requirements Gathering</v>
          </cell>
          <cell r="O3208" t="str">
            <v>No</v>
          </cell>
          <cell r="Q3208" t="str">
            <v>Cancelled</v>
          </cell>
          <cell r="R3208">
            <v>45145.654907407406</v>
          </cell>
          <cell r="S3208" t="str">
            <v>Sandra Adel</v>
          </cell>
          <cell r="T3208">
            <v>45146</v>
          </cell>
          <cell r="U3208" t="str">
            <v>Hans De Grouw</v>
          </cell>
        </row>
        <row r="3209">
          <cell r="I3209" t="str">
            <v>EDI</v>
          </cell>
          <cell r="N3209" t="str">
            <v>Requirements Gathering</v>
          </cell>
          <cell r="O3209" t="str">
            <v>No</v>
          </cell>
          <cell r="Q3209" t="str">
            <v>Cancelled</v>
          </cell>
          <cell r="R3209">
            <v>45145.65384259259</v>
          </cell>
          <cell r="S3209" t="str">
            <v>Sandra Adel</v>
          </cell>
          <cell r="T3209">
            <v>45146</v>
          </cell>
          <cell r="U3209" t="str">
            <v>Hans De Grouw</v>
          </cell>
        </row>
        <row r="3210">
          <cell r="I3210" t="str">
            <v>EDI</v>
          </cell>
          <cell r="L3210">
            <v>2372</v>
          </cell>
          <cell r="N3210" t="str">
            <v>Production</v>
          </cell>
          <cell r="O3210" t="str">
            <v>No</v>
          </cell>
          <cell r="Q3210" t="str">
            <v>Live</v>
          </cell>
          <cell r="R3210">
            <v>45145.650648148148</v>
          </cell>
          <cell r="S3210" t="str">
            <v>Mina Adel</v>
          </cell>
          <cell r="T3210">
            <v>45152</v>
          </cell>
          <cell r="U3210" t="str">
            <v>Hans De Grouw</v>
          </cell>
          <cell r="W3210">
            <v>45225</v>
          </cell>
          <cell r="Y3210">
            <v>45146</v>
          </cell>
          <cell r="AC3210">
            <v>45221</v>
          </cell>
        </row>
        <row r="3211">
          <cell r="I3211" t="str">
            <v>EDI</v>
          </cell>
          <cell r="L3211">
            <v>2427</v>
          </cell>
          <cell r="N3211" t="str">
            <v>Dataset Validation</v>
          </cell>
          <cell r="O3211" t="str">
            <v>Everything Benefits</v>
          </cell>
          <cell r="P3211" t="str">
            <v>Map Under Review</v>
          </cell>
          <cell r="Q3211" t="str">
            <v>Cancelled</v>
          </cell>
          <cell r="R3211">
            <v>45145.33630787037</v>
          </cell>
          <cell r="S3211" t="str">
            <v>Mohamed Abdelhamed</v>
          </cell>
          <cell r="T3211">
            <v>45169</v>
          </cell>
          <cell r="U3211" t="str">
            <v>Matt Howell</v>
          </cell>
          <cell r="Y3211">
            <v>45146</v>
          </cell>
        </row>
        <row r="3212">
          <cell r="I3212" t="str">
            <v>EDI</v>
          </cell>
          <cell r="L3212">
            <v>2426</v>
          </cell>
          <cell r="N3212" t="str">
            <v>Production</v>
          </cell>
          <cell r="O3212" t="str">
            <v>Everything Benefits</v>
          </cell>
          <cell r="P3212" t="str">
            <v>Production</v>
          </cell>
          <cell r="Q3212" t="str">
            <v>Live</v>
          </cell>
          <cell r="R3212">
            <v>45142.859525462962</v>
          </cell>
          <cell r="S3212" t="str">
            <v>Mohamed Abdelhamed</v>
          </cell>
          <cell r="T3212">
            <v>45169</v>
          </cell>
          <cell r="U3212" t="str">
            <v>Matt Howell</v>
          </cell>
          <cell r="V3212">
            <v>45172</v>
          </cell>
          <cell r="W3212">
            <v>45187</v>
          </cell>
          <cell r="Y3212">
            <v>45146</v>
          </cell>
          <cell r="AC3212">
            <v>45186</v>
          </cell>
        </row>
        <row r="3213">
          <cell r="I3213" t="str">
            <v>EDI</v>
          </cell>
          <cell r="L3213">
            <v>2400</v>
          </cell>
          <cell r="N3213" t="str">
            <v>Production</v>
          </cell>
          <cell r="O3213" t="str">
            <v>No</v>
          </cell>
          <cell r="Q3213" t="str">
            <v>Cancelled</v>
          </cell>
          <cell r="R3213">
            <v>45142.851747685178</v>
          </cell>
          <cell r="S3213" t="str">
            <v>Aya Fathy</v>
          </cell>
          <cell r="T3213">
            <v>45161</v>
          </cell>
          <cell r="U3213" t="str">
            <v>Robbie Schappell</v>
          </cell>
          <cell r="V3213">
            <v>45196</v>
          </cell>
          <cell r="W3213">
            <v>45245</v>
          </cell>
          <cell r="Y3213">
            <v>45160</v>
          </cell>
          <cell r="AC3213">
            <v>45239</v>
          </cell>
        </row>
        <row r="3214">
          <cell r="I3214" t="str">
            <v>EDI</v>
          </cell>
          <cell r="L3214">
            <v>2463</v>
          </cell>
          <cell r="N3214" t="str">
            <v>Production</v>
          </cell>
          <cell r="O3214" t="str">
            <v>No</v>
          </cell>
          <cell r="Q3214" t="str">
            <v>Live</v>
          </cell>
          <cell r="R3214">
            <v>45142.83085648148</v>
          </cell>
          <cell r="S3214" t="str">
            <v>Omnia Abdelaziz</v>
          </cell>
          <cell r="T3214">
            <v>45231</v>
          </cell>
          <cell r="U3214" t="str">
            <v>Robbie Schappell</v>
          </cell>
          <cell r="V3214">
            <v>45273</v>
          </cell>
          <cell r="W3214">
            <v>45342</v>
          </cell>
          <cell r="Y3214">
            <v>45159</v>
          </cell>
          <cell r="AC3214">
            <v>45337</v>
          </cell>
        </row>
        <row r="3215">
          <cell r="I3215" t="str">
            <v>EDI</v>
          </cell>
          <cell r="L3215">
            <v>2407</v>
          </cell>
          <cell r="N3215" t="str">
            <v>Production</v>
          </cell>
          <cell r="O3215" t="str">
            <v>No</v>
          </cell>
          <cell r="Q3215" t="str">
            <v>Live</v>
          </cell>
          <cell r="R3215">
            <v>45142.83085648148</v>
          </cell>
          <cell r="S3215" t="str">
            <v>Omnia Abdelaziz</v>
          </cell>
          <cell r="T3215">
            <v>45160</v>
          </cell>
          <cell r="U3215" t="str">
            <v>Robbie Schappell</v>
          </cell>
          <cell r="V3215">
            <v>45214</v>
          </cell>
          <cell r="W3215">
            <v>45251</v>
          </cell>
          <cell r="Y3215">
            <v>45152</v>
          </cell>
          <cell r="AC3215">
            <v>45249</v>
          </cell>
        </row>
        <row r="3216">
          <cell r="I3216" t="str">
            <v>EDI</v>
          </cell>
          <cell r="L3216">
            <v>2410</v>
          </cell>
          <cell r="N3216" t="str">
            <v>Production</v>
          </cell>
          <cell r="O3216" t="str">
            <v>No</v>
          </cell>
          <cell r="Q3216" t="str">
            <v>Live</v>
          </cell>
          <cell r="R3216">
            <v>45142.83085648148</v>
          </cell>
          <cell r="S3216" t="str">
            <v>Andrew Ramy</v>
          </cell>
          <cell r="T3216">
            <v>45161</v>
          </cell>
          <cell r="U3216" t="str">
            <v>Robbie Schappell</v>
          </cell>
          <cell r="V3216">
            <v>45174</v>
          </cell>
          <cell r="W3216">
            <v>45204</v>
          </cell>
          <cell r="Y3216">
            <v>45149</v>
          </cell>
          <cell r="AC3216">
            <v>45202</v>
          </cell>
        </row>
        <row r="3217">
          <cell r="I3217" t="str">
            <v>EDI</v>
          </cell>
          <cell r="L3217">
            <v>2432</v>
          </cell>
          <cell r="N3217" t="str">
            <v>Production</v>
          </cell>
          <cell r="O3217" t="str">
            <v>Everything Benefits</v>
          </cell>
          <cell r="P3217" t="str">
            <v>Production</v>
          </cell>
          <cell r="Q3217" t="str">
            <v>Cancelled</v>
          </cell>
          <cell r="R3217">
            <v>45142.733495370368</v>
          </cell>
          <cell r="S3217" t="str">
            <v>Nada Ashraf</v>
          </cell>
          <cell r="T3217">
            <v>45153</v>
          </cell>
          <cell r="U3217" t="str">
            <v>Matt Howell</v>
          </cell>
          <cell r="V3217">
            <v>45172</v>
          </cell>
          <cell r="W3217">
            <v>45187</v>
          </cell>
          <cell r="Y3217">
            <v>45151</v>
          </cell>
          <cell r="AC3217">
            <v>45186</v>
          </cell>
        </row>
        <row r="3218">
          <cell r="I3218" t="str">
            <v>EDI</v>
          </cell>
          <cell r="L3218">
            <v>2339</v>
          </cell>
          <cell r="N3218" t="str">
            <v>Production</v>
          </cell>
          <cell r="O3218" t="str">
            <v>Everything Benefits</v>
          </cell>
          <cell r="P3218" t="str">
            <v>Production</v>
          </cell>
          <cell r="Q3218" t="str">
            <v>Cancelled</v>
          </cell>
          <cell r="R3218">
            <v>45142.733495370368</v>
          </cell>
          <cell r="S3218" t="str">
            <v>Mohamed Abdelhamed</v>
          </cell>
          <cell r="T3218">
            <v>45147</v>
          </cell>
          <cell r="U3218" t="str">
            <v>Matt Howell</v>
          </cell>
          <cell r="V3218">
            <v>45168</v>
          </cell>
          <cell r="W3218">
            <v>45173</v>
          </cell>
          <cell r="Y3218">
            <v>45146</v>
          </cell>
          <cell r="AC3218">
            <v>45172</v>
          </cell>
        </row>
        <row r="3219">
          <cell r="I3219" t="str">
            <v>EDI</v>
          </cell>
          <cell r="L3219">
            <v>2433</v>
          </cell>
          <cell r="N3219" t="str">
            <v>Production</v>
          </cell>
          <cell r="O3219" t="str">
            <v>Everything Benefits</v>
          </cell>
          <cell r="P3219" t="str">
            <v>Production</v>
          </cell>
          <cell r="Q3219" t="str">
            <v>Cancelled</v>
          </cell>
          <cell r="R3219">
            <v>45142.733483796299</v>
          </cell>
          <cell r="S3219" t="str">
            <v>Mohamed Abdelhamed</v>
          </cell>
          <cell r="T3219">
            <v>45172</v>
          </cell>
          <cell r="U3219" t="str">
            <v>Matt Howell</v>
          </cell>
          <cell r="V3219">
            <v>45176</v>
          </cell>
          <cell r="W3219">
            <v>45180</v>
          </cell>
          <cell r="Y3219">
            <v>45149</v>
          </cell>
          <cell r="AC3219">
            <v>45179</v>
          </cell>
        </row>
        <row r="3220">
          <cell r="I3220" t="str">
            <v>EDI</v>
          </cell>
          <cell r="L3220">
            <v>2435</v>
          </cell>
          <cell r="N3220" t="str">
            <v>Production</v>
          </cell>
          <cell r="O3220" t="str">
            <v>Everything Benefits</v>
          </cell>
          <cell r="P3220" t="str">
            <v>Production</v>
          </cell>
          <cell r="Q3220" t="str">
            <v>Cancelled</v>
          </cell>
          <cell r="R3220">
            <v>45142.733483796299</v>
          </cell>
          <cell r="S3220" t="str">
            <v>Mina Kamil</v>
          </cell>
          <cell r="T3220">
            <v>45154</v>
          </cell>
          <cell r="U3220" t="str">
            <v>Matt Howell</v>
          </cell>
          <cell r="W3220">
            <v>45208</v>
          </cell>
          <cell r="Y3220">
            <v>45154</v>
          </cell>
          <cell r="AC3220">
            <v>45207</v>
          </cell>
        </row>
        <row r="3221">
          <cell r="I3221" t="str">
            <v>EDI</v>
          </cell>
          <cell r="L3221">
            <v>2434</v>
          </cell>
          <cell r="N3221" t="str">
            <v>Production</v>
          </cell>
          <cell r="O3221" t="str">
            <v>Everything Benefits</v>
          </cell>
          <cell r="P3221" t="str">
            <v>Production</v>
          </cell>
          <cell r="Q3221" t="str">
            <v>Cancelled</v>
          </cell>
          <cell r="R3221">
            <v>45142.733472222222</v>
          </cell>
          <cell r="S3221" t="str">
            <v>Nada Ashraf</v>
          </cell>
          <cell r="T3221">
            <v>45153</v>
          </cell>
          <cell r="U3221" t="str">
            <v>Matt Howell</v>
          </cell>
          <cell r="V3221">
            <v>45172</v>
          </cell>
          <cell r="W3221">
            <v>45187</v>
          </cell>
          <cell r="Y3221">
            <v>45153</v>
          </cell>
          <cell r="AC3221">
            <v>45186</v>
          </cell>
        </row>
        <row r="3222">
          <cell r="I3222" t="str">
            <v>EDI</v>
          </cell>
          <cell r="L3222">
            <v>2436</v>
          </cell>
          <cell r="N3222" t="str">
            <v>Testing</v>
          </cell>
          <cell r="O3222" t="str">
            <v>Everything Benefits</v>
          </cell>
          <cell r="P3222" t="str">
            <v>Migration Testing</v>
          </cell>
          <cell r="Q3222" t="str">
            <v>Cancelled</v>
          </cell>
          <cell r="R3222">
            <v>45142.701747685183</v>
          </cell>
          <cell r="S3222" t="str">
            <v>Mahmoud Ahmed</v>
          </cell>
          <cell r="T3222">
            <v>45168</v>
          </cell>
          <cell r="U3222" t="str">
            <v>Matt Howell</v>
          </cell>
          <cell r="V3222">
            <v>45179</v>
          </cell>
          <cell r="Y3222">
            <v>45162</v>
          </cell>
        </row>
        <row r="3223">
          <cell r="I3223" t="str">
            <v>EDI</v>
          </cell>
          <cell r="L3223">
            <v>2393</v>
          </cell>
          <cell r="N3223" t="str">
            <v>Production</v>
          </cell>
          <cell r="O3223" t="str">
            <v>Everything Benefits</v>
          </cell>
          <cell r="P3223" t="str">
            <v>Production</v>
          </cell>
          <cell r="Q3223" t="str">
            <v>Live</v>
          </cell>
          <cell r="R3223">
            <v>45141.908310185187</v>
          </cell>
          <cell r="S3223" t="str">
            <v>Mahmoud Heidar</v>
          </cell>
          <cell r="T3223">
            <v>45153</v>
          </cell>
          <cell r="U3223" t="str">
            <v>Matt Howell</v>
          </cell>
          <cell r="V3223">
            <v>45169</v>
          </cell>
          <cell r="W3223">
            <v>45180</v>
          </cell>
          <cell r="Y3223">
            <v>45151</v>
          </cell>
          <cell r="AC3223">
            <v>45179</v>
          </cell>
        </row>
        <row r="3224">
          <cell r="I3224" t="str">
            <v>EDI</v>
          </cell>
          <cell r="L3224">
            <v>2581</v>
          </cell>
          <cell r="N3224" t="str">
            <v>Production</v>
          </cell>
          <cell r="O3224" t="str">
            <v>No</v>
          </cell>
          <cell r="Q3224" t="str">
            <v>Live</v>
          </cell>
          <cell r="R3224">
            <v>45141.842662037037</v>
          </cell>
          <cell r="S3224" t="str">
            <v>Aya Fathy</v>
          </cell>
          <cell r="T3224">
            <v>45228</v>
          </cell>
          <cell r="U3224" t="str">
            <v>Matt Howell</v>
          </cell>
          <cell r="V3224">
            <v>45231</v>
          </cell>
          <cell r="W3224">
            <v>45267</v>
          </cell>
          <cell r="Y3224">
            <v>45225</v>
          </cell>
          <cell r="AC3224">
            <v>45251</v>
          </cell>
        </row>
        <row r="3225">
          <cell r="I3225" t="str">
            <v>EDI</v>
          </cell>
          <cell r="L3225">
            <v>2379</v>
          </cell>
          <cell r="N3225" t="str">
            <v>Production</v>
          </cell>
          <cell r="O3225" t="str">
            <v>No</v>
          </cell>
          <cell r="Q3225" t="str">
            <v>Live</v>
          </cell>
          <cell r="R3225">
            <v>45140.886736111112</v>
          </cell>
          <cell r="S3225" t="str">
            <v>Andrew Ramy</v>
          </cell>
          <cell r="T3225">
            <v>45158</v>
          </cell>
          <cell r="U3225" t="str">
            <v>Trish Kalinczok</v>
          </cell>
          <cell r="V3225">
            <v>45160</v>
          </cell>
          <cell r="W3225">
            <v>45455</v>
          </cell>
          <cell r="Y3225">
            <v>45141</v>
          </cell>
          <cell r="AC3225">
            <v>45448</v>
          </cell>
        </row>
        <row r="3226">
          <cell r="I3226" t="str">
            <v>EDI</v>
          </cell>
          <cell r="L3226">
            <v>2412</v>
          </cell>
          <cell r="N3226" t="str">
            <v>Production</v>
          </cell>
          <cell r="O3226" t="str">
            <v>No</v>
          </cell>
          <cell r="Q3226" t="str">
            <v>Live</v>
          </cell>
          <cell r="R3226">
            <v>45140.886736111112</v>
          </cell>
          <cell r="S3226" t="str">
            <v>Mina Kamil</v>
          </cell>
          <cell r="T3226">
            <v>45413</v>
          </cell>
          <cell r="U3226" t="str">
            <v>Trish Kalinczok</v>
          </cell>
          <cell r="V3226">
            <v>45165</v>
          </cell>
          <cell r="W3226">
            <v>45441</v>
          </cell>
          <cell r="Y3226">
            <v>45151</v>
          </cell>
          <cell r="AC3226">
            <v>45438</v>
          </cell>
        </row>
        <row r="3227">
          <cell r="I3227" t="str">
            <v>EDI</v>
          </cell>
          <cell r="L3227">
            <v>2348</v>
          </cell>
          <cell r="N3227" t="str">
            <v>Testing</v>
          </cell>
          <cell r="O3227" t="str">
            <v>No</v>
          </cell>
          <cell r="Q3227" t="str">
            <v>Cancelled</v>
          </cell>
          <cell r="R3227">
            <v>45140.646469907413</v>
          </cell>
          <cell r="S3227" t="str">
            <v>Mina Adel</v>
          </cell>
          <cell r="T3227">
            <v>45151</v>
          </cell>
          <cell r="U3227" t="str">
            <v>Tammy Trexler</v>
          </cell>
          <cell r="V3227">
            <v>45159</v>
          </cell>
          <cell r="Y3227">
            <v>45141</v>
          </cell>
        </row>
        <row r="3228">
          <cell r="I3228" t="str">
            <v>EDI</v>
          </cell>
          <cell r="L3228">
            <v>2395</v>
          </cell>
          <cell r="N3228" t="str">
            <v>Production</v>
          </cell>
          <cell r="O3228" t="str">
            <v>No</v>
          </cell>
          <cell r="Q3228" t="str">
            <v>Live</v>
          </cell>
          <cell r="R3228">
            <v>45140.597453703696</v>
          </cell>
          <cell r="S3228" t="str">
            <v>Mina George</v>
          </cell>
          <cell r="T3228">
            <v>45151</v>
          </cell>
          <cell r="U3228" t="str">
            <v>Hans De Grouw</v>
          </cell>
          <cell r="V3228">
            <v>45405</v>
          </cell>
          <cell r="W3228">
            <v>45566</v>
          </cell>
          <cell r="Y3228">
            <v>45146</v>
          </cell>
          <cell r="AC3228">
            <v>45566</v>
          </cell>
        </row>
        <row r="3229">
          <cell r="I3229" t="str">
            <v>EDI</v>
          </cell>
          <cell r="L3229">
            <v>2346</v>
          </cell>
          <cell r="N3229" t="str">
            <v>Testing</v>
          </cell>
          <cell r="O3229" t="str">
            <v>No</v>
          </cell>
          <cell r="Q3229" t="str">
            <v>Cancelled</v>
          </cell>
          <cell r="R3229">
            <v>45139.925254629627</v>
          </cell>
          <cell r="S3229" t="str">
            <v>Aya Fathy</v>
          </cell>
          <cell r="T3229">
            <v>45151</v>
          </cell>
          <cell r="U3229" t="str">
            <v>Tammy Trexler</v>
          </cell>
          <cell r="V3229">
            <v>45158</v>
          </cell>
          <cell r="Y3229">
            <v>45141</v>
          </cell>
        </row>
        <row r="3230">
          <cell r="I3230" t="str">
            <v>EDI</v>
          </cell>
          <cell r="L3230">
            <v>2338</v>
          </cell>
          <cell r="N3230" t="str">
            <v>Testing</v>
          </cell>
          <cell r="O3230" t="str">
            <v>No</v>
          </cell>
          <cell r="Q3230" t="str">
            <v>Cancelled</v>
          </cell>
          <cell r="R3230">
            <v>45139.925243055557</v>
          </cell>
          <cell r="S3230" t="str">
            <v>Aya Fathy</v>
          </cell>
          <cell r="T3230">
            <v>45147</v>
          </cell>
          <cell r="U3230" t="str">
            <v>Tammy Trexler</v>
          </cell>
          <cell r="V3230">
            <v>45152</v>
          </cell>
          <cell r="Y3230">
            <v>45140</v>
          </cell>
        </row>
        <row r="3231">
          <cell r="I3231" t="str">
            <v>EDI</v>
          </cell>
          <cell r="L3231">
            <v>2373</v>
          </cell>
          <cell r="N3231" t="str">
            <v>Mapping</v>
          </cell>
          <cell r="O3231" t="str">
            <v>No</v>
          </cell>
          <cell r="Q3231" t="str">
            <v>Cancelled</v>
          </cell>
          <cell r="R3231">
            <v>45139.783171296287</v>
          </cell>
          <cell r="S3231" t="str">
            <v>Andrew Ramy</v>
          </cell>
          <cell r="T3231">
            <v>45155</v>
          </cell>
          <cell r="U3231" t="str">
            <v>Tammy Davies</v>
          </cell>
          <cell r="Y3231">
            <v>45155</v>
          </cell>
        </row>
        <row r="3232">
          <cell r="I3232" t="str">
            <v>EDI</v>
          </cell>
          <cell r="L3232">
            <v>2450</v>
          </cell>
          <cell r="N3232" t="str">
            <v>Production</v>
          </cell>
          <cell r="O3232" t="str">
            <v>No</v>
          </cell>
          <cell r="Q3232" t="str">
            <v>Cancelled</v>
          </cell>
          <cell r="R3232">
            <v>45139.783171296287</v>
          </cell>
          <cell r="S3232" t="str">
            <v>Aya Fathy</v>
          </cell>
          <cell r="T3232">
            <v>45179</v>
          </cell>
          <cell r="U3232" t="str">
            <v>Tammy Davies</v>
          </cell>
          <cell r="V3232">
            <v>45193</v>
          </cell>
          <cell r="W3232">
            <v>45377</v>
          </cell>
          <cell r="Y3232">
            <v>45179</v>
          </cell>
          <cell r="AC3232">
            <v>45372</v>
          </cell>
        </row>
        <row r="3233">
          <cell r="I3233" t="str">
            <v>EDI</v>
          </cell>
          <cell r="L3233">
            <v>2451</v>
          </cell>
          <cell r="N3233" t="str">
            <v>Production</v>
          </cell>
          <cell r="O3233" t="str">
            <v>No</v>
          </cell>
          <cell r="Q3233" t="str">
            <v>Cancelled</v>
          </cell>
          <cell r="R3233">
            <v>45139.756747685176</v>
          </cell>
          <cell r="S3233" t="str">
            <v>Mina Adel</v>
          </cell>
          <cell r="T3233">
            <v>45172</v>
          </cell>
          <cell r="U3233" t="str">
            <v>Miranda Naeem</v>
          </cell>
          <cell r="W3233">
            <v>45258</v>
          </cell>
          <cell r="Y3233">
            <v>45168</v>
          </cell>
          <cell r="AC3233">
            <v>45256</v>
          </cell>
        </row>
        <row r="3234">
          <cell r="I3234" t="str">
            <v>EDI</v>
          </cell>
          <cell r="L3234">
            <v>2335</v>
          </cell>
          <cell r="N3234" t="str">
            <v>Testing</v>
          </cell>
          <cell r="O3234" t="str">
            <v>eBenefits Network</v>
          </cell>
          <cell r="P3234" t="str">
            <v>Migration Testing</v>
          </cell>
          <cell r="Q3234" t="str">
            <v>Cancelled</v>
          </cell>
          <cell r="R3234">
            <v>45139.554270833331</v>
          </cell>
          <cell r="S3234" t="str">
            <v>Karim Tarek</v>
          </cell>
          <cell r="T3234">
            <v>45139</v>
          </cell>
          <cell r="U3234" t="str">
            <v>Jene Hamm</v>
          </cell>
          <cell r="V3234">
            <v>45151</v>
          </cell>
        </row>
        <row r="3235">
          <cell r="I3235" t="str">
            <v>EDI</v>
          </cell>
          <cell r="L3235">
            <v>2289</v>
          </cell>
          <cell r="N3235" t="str">
            <v>Production</v>
          </cell>
          <cell r="O3235" t="str">
            <v>eBenefits Network</v>
          </cell>
          <cell r="P3235" t="str">
            <v>Production</v>
          </cell>
          <cell r="Q3235" t="str">
            <v>Cancelled</v>
          </cell>
          <cell r="R3235">
            <v>45138.86241898148</v>
          </cell>
          <cell r="S3235" t="str">
            <v>Amira Elshora</v>
          </cell>
          <cell r="T3235">
            <v>45147</v>
          </cell>
          <cell r="U3235" t="str">
            <v>Trish Kalinczok</v>
          </cell>
          <cell r="V3235">
            <v>45159</v>
          </cell>
          <cell r="W3235">
            <v>25569</v>
          </cell>
          <cell r="AC3235">
            <v>45228</v>
          </cell>
        </row>
        <row r="3236">
          <cell r="I3236" t="str">
            <v>EDI</v>
          </cell>
          <cell r="L3236">
            <v>2290</v>
          </cell>
          <cell r="N3236" t="str">
            <v>Production</v>
          </cell>
          <cell r="O3236" t="str">
            <v>eBenefits Network</v>
          </cell>
          <cell r="P3236" t="str">
            <v>Production</v>
          </cell>
          <cell r="Q3236" t="str">
            <v>Cancelled</v>
          </cell>
          <cell r="R3236">
            <v>45138.86241898148</v>
          </cell>
          <cell r="S3236" t="str">
            <v>Amira Elshora</v>
          </cell>
          <cell r="T3236">
            <v>45147</v>
          </cell>
          <cell r="U3236" t="str">
            <v>Trish Kalinczok</v>
          </cell>
          <cell r="V3236">
            <v>45167</v>
          </cell>
          <cell r="W3236">
            <v>45321</v>
          </cell>
          <cell r="AC3236">
            <v>45319</v>
          </cell>
        </row>
        <row r="3237">
          <cell r="I3237" t="str">
            <v>EDI</v>
          </cell>
          <cell r="L3237">
            <v>2288</v>
          </cell>
          <cell r="N3237" t="str">
            <v>Production</v>
          </cell>
          <cell r="O3237" t="str">
            <v>No</v>
          </cell>
          <cell r="Q3237" t="str">
            <v>Live</v>
          </cell>
          <cell r="R3237">
            <v>45138.809618055559</v>
          </cell>
          <cell r="S3237" t="str">
            <v>Omar Elmahalwy</v>
          </cell>
          <cell r="T3237">
            <v>45138</v>
          </cell>
          <cell r="U3237" t="str">
            <v>Jene Hamm</v>
          </cell>
          <cell r="V3237">
            <v>45140</v>
          </cell>
          <cell r="W3237">
            <v>25569</v>
          </cell>
          <cell r="AC3237">
            <v>45160</v>
          </cell>
        </row>
        <row r="3238">
          <cell r="I3238" t="str">
            <v>EDI</v>
          </cell>
          <cell r="L3238">
            <v>2275</v>
          </cell>
          <cell r="N3238" t="str">
            <v>Production</v>
          </cell>
          <cell r="O3238" t="str">
            <v>eBenefits Network</v>
          </cell>
          <cell r="P3238" t="str">
            <v>Production</v>
          </cell>
          <cell r="Q3238" t="str">
            <v>Live</v>
          </cell>
          <cell r="R3238">
            <v>45137.545243055552</v>
          </cell>
          <cell r="S3238" t="str">
            <v>Karim Tarek</v>
          </cell>
          <cell r="T3238">
            <v>45137</v>
          </cell>
          <cell r="U3238" t="str">
            <v>Trish Kalinczok</v>
          </cell>
          <cell r="V3238">
            <v>45160</v>
          </cell>
          <cell r="W3238">
            <v>45237</v>
          </cell>
          <cell r="AC3238">
            <v>45221</v>
          </cell>
        </row>
        <row r="3239">
          <cell r="I3239" t="str">
            <v>EDI</v>
          </cell>
          <cell r="L3239">
            <v>2377</v>
          </cell>
          <cell r="N3239" t="str">
            <v>Testing</v>
          </cell>
          <cell r="O3239" t="str">
            <v>Everything Benefits</v>
          </cell>
          <cell r="P3239" t="str">
            <v>Migration Testing</v>
          </cell>
          <cell r="Q3239" t="str">
            <v>Cancelled</v>
          </cell>
          <cell r="R3239">
            <v>45135.868483796286</v>
          </cell>
          <cell r="S3239" t="str">
            <v>Mahmoud Heidar</v>
          </cell>
          <cell r="T3239">
            <v>45153</v>
          </cell>
          <cell r="U3239" t="str">
            <v>Trish Kalinczok</v>
          </cell>
          <cell r="V3239">
            <v>45169</v>
          </cell>
          <cell r="Y3239">
            <v>45151</v>
          </cell>
        </row>
        <row r="3240">
          <cell r="I3240" t="str">
            <v>EDI</v>
          </cell>
          <cell r="L3240">
            <v>2329</v>
          </cell>
          <cell r="N3240" t="str">
            <v>Production</v>
          </cell>
          <cell r="O3240" t="str">
            <v>Everything Benefits</v>
          </cell>
          <cell r="P3240" t="str">
            <v>Production</v>
          </cell>
          <cell r="Q3240" t="str">
            <v>Live</v>
          </cell>
          <cell r="R3240">
            <v>45135.85465277778</v>
          </cell>
          <cell r="S3240" t="str">
            <v>Mina Kamil</v>
          </cell>
          <cell r="T3240">
            <v>45139</v>
          </cell>
          <cell r="U3240" t="str">
            <v>Trish Kalinczok</v>
          </cell>
          <cell r="W3240">
            <v>25569</v>
          </cell>
          <cell r="Y3240">
            <v>45138</v>
          </cell>
          <cell r="AC3240">
            <v>45252</v>
          </cell>
        </row>
        <row r="3241">
          <cell r="I3241" t="str">
            <v>EDI</v>
          </cell>
          <cell r="L3241">
            <v>2330</v>
          </cell>
          <cell r="N3241" t="str">
            <v>Production</v>
          </cell>
          <cell r="O3241" t="str">
            <v>Everything Benefits</v>
          </cell>
          <cell r="P3241" t="str">
            <v>Production</v>
          </cell>
          <cell r="Q3241" t="str">
            <v>Live</v>
          </cell>
          <cell r="R3241">
            <v>45135.854641203703</v>
          </cell>
          <cell r="S3241" t="str">
            <v>Mina Kamil</v>
          </cell>
          <cell r="T3241">
            <v>45144</v>
          </cell>
          <cell r="U3241" t="str">
            <v>Trish Kalinczok</v>
          </cell>
          <cell r="W3241">
            <v>45222</v>
          </cell>
          <cell r="Y3241">
            <v>45144</v>
          </cell>
          <cell r="AC3241">
            <v>45221</v>
          </cell>
        </row>
        <row r="3242">
          <cell r="I3242" t="str">
            <v>EDI</v>
          </cell>
          <cell r="L3242">
            <v>2320</v>
          </cell>
          <cell r="N3242" t="str">
            <v>Production</v>
          </cell>
          <cell r="O3242" t="str">
            <v>Everything Benefits</v>
          </cell>
          <cell r="P3242" t="str">
            <v>Production</v>
          </cell>
          <cell r="Q3242" t="str">
            <v>Cancelled</v>
          </cell>
          <cell r="R3242">
            <v>45135.838865740741</v>
          </cell>
          <cell r="S3242" t="str">
            <v>Alaa Yehia</v>
          </cell>
          <cell r="T3242">
            <v>45139</v>
          </cell>
          <cell r="U3242" t="str">
            <v>Trish Kalinczok</v>
          </cell>
          <cell r="V3242">
            <v>45148</v>
          </cell>
          <cell r="W3242">
            <v>45173</v>
          </cell>
          <cell r="Y3242">
            <v>45138</v>
          </cell>
          <cell r="AC3242">
            <v>45172</v>
          </cell>
        </row>
        <row r="3243">
          <cell r="I3243" t="str">
            <v>EDI</v>
          </cell>
          <cell r="L3243">
            <v>2270</v>
          </cell>
          <cell r="N3243" t="str">
            <v>Production</v>
          </cell>
          <cell r="O3243" t="str">
            <v>eBenefits Network</v>
          </cell>
          <cell r="P3243" t="str">
            <v>Production</v>
          </cell>
          <cell r="Q3243" t="str">
            <v>Live</v>
          </cell>
          <cell r="R3243">
            <v>45135.787511574083</v>
          </cell>
          <cell r="S3243" t="str">
            <v>Karim Tarek</v>
          </cell>
          <cell r="T3243">
            <v>45137</v>
          </cell>
          <cell r="U3243" t="str">
            <v>Trish Kalinczok</v>
          </cell>
          <cell r="V3243">
            <v>45139</v>
          </cell>
          <cell r="W3243">
            <v>45183</v>
          </cell>
          <cell r="AC3243">
            <v>45179</v>
          </cell>
        </row>
        <row r="3244">
          <cell r="I3244" t="str">
            <v>EDI</v>
          </cell>
          <cell r="L3244">
            <v>2272</v>
          </cell>
          <cell r="N3244" t="str">
            <v>Production</v>
          </cell>
          <cell r="O3244" t="str">
            <v>eBenefits Network</v>
          </cell>
          <cell r="P3244" t="str">
            <v>Production</v>
          </cell>
          <cell r="Q3244" t="str">
            <v>Live</v>
          </cell>
          <cell r="R3244">
            <v>45135.776990740742</v>
          </cell>
          <cell r="S3244" t="str">
            <v>Karim Tarek</v>
          </cell>
          <cell r="T3244">
            <v>45137</v>
          </cell>
          <cell r="U3244" t="str">
            <v>Trish Kalinczok</v>
          </cell>
          <cell r="V3244">
            <v>45173</v>
          </cell>
          <cell r="W3244">
            <v>45201</v>
          </cell>
          <cell r="AC3244">
            <v>45200</v>
          </cell>
        </row>
        <row r="3245">
          <cell r="I3245" t="str">
            <v>EDI</v>
          </cell>
          <cell r="L3245">
            <v>2271</v>
          </cell>
          <cell r="N3245" t="str">
            <v>Production</v>
          </cell>
          <cell r="O3245" t="str">
            <v>eBenefits Network</v>
          </cell>
          <cell r="P3245" t="str">
            <v>Production</v>
          </cell>
          <cell r="Q3245" t="str">
            <v>Cancelled</v>
          </cell>
          <cell r="R3245">
            <v>45135.776990740742</v>
          </cell>
          <cell r="S3245" t="str">
            <v>Karim Tarek</v>
          </cell>
          <cell r="T3245">
            <v>45137</v>
          </cell>
          <cell r="U3245" t="str">
            <v>Trish Kalinczok</v>
          </cell>
          <cell r="V3245">
            <v>45140</v>
          </cell>
          <cell r="W3245">
            <v>45223</v>
          </cell>
          <cell r="AC3245">
            <v>45221</v>
          </cell>
        </row>
        <row r="3246">
          <cell r="I3246" t="str">
            <v>EDI</v>
          </cell>
          <cell r="L3246">
            <v>2273</v>
          </cell>
          <cell r="N3246" t="str">
            <v>Testing</v>
          </cell>
          <cell r="O3246" t="str">
            <v>eBenefits Network</v>
          </cell>
          <cell r="P3246" t="str">
            <v>Migration Testing</v>
          </cell>
          <cell r="Q3246" t="str">
            <v>Cancelled</v>
          </cell>
          <cell r="R3246">
            <v>45135.776979166672</v>
          </cell>
          <cell r="S3246" t="str">
            <v>Karim Tarek</v>
          </cell>
          <cell r="T3246">
            <v>45137</v>
          </cell>
          <cell r="U3246" t="str">
            <v>Trish Kalinczok</v>
          </cell>
          <cell r="V3246">
            <v>45145</v>
          </cell>
        </row>
        <row r="3247">
          <cell r="I3247" t="str">
            <v>EDI</v>
          </cell>
          <cell r="L3247">
            <v>2276</v>
          </cell>
          <cell r="N3247" t="str">
            <v>Production</v>
          </cell>
          <cell r="O3247" t="str">
            <v>eBenefits Network</v>
          </cell>
          <cell r="P3247" t="str">
            <v>Production</v>
          </cell>
          <cell r="Q3247" t="str">
            <v>Live</v>
          </cell>
          <cell r="R3247">
            <v>45135.76221064815</v>
          </cell>
          <cell r="S3247" t="str">
            <v>Karim Tarek</v>
          </cell>
          <cell r="T3247">
            <v>45137</v>
          </cell>
          <cell r="U3247" t="str">
            <v>Trish Kalinczok</v>
          </cell>
          <cell r="V3247">
            <v>45160</v>
          </cell>
          <cell r="W3247">
            <v>45237</v>
          </cell>
          <cell r="AC3247">
            <v>45221</v>
          </cell>
        </row>
        <row r="3248">
          <cell r="I3248" t="str">
            <v>EDI</v>
          </cell>
          <cell r="L3248">
            <v>2274</v>
          </cell>
          <cell r="N3248" t="str">
            <v>Production</v>
          </cell>
          <cell r="O3248" t="str">
            <v>eBenefits Network</v>
          </cell>
          <cell r="P3248" t="str">
            <v>Production</v>
          </cell>
          <cell r="Q3248" t="str">
            <v>Live</v>
          </cell>
          <cell r="R3248">
            <v>45135.762199074074</v>
          </cell>
          <cell r="S3248" t="str">
            <v>Karim Tarek</v>
          </cell>
          <cell r="T3248">
            <v>45137</v>
          </cell>
          <cell r="U3248" t="str">
            <v>Trish Kalinczok</v>
          </cell>
          <cell r="V3248">
            <v>45153</v>
          </cell>
          <cell r="W3248">
            <v>45223</v>
          </cell>
          <cell r="AC3248">
            <v>45221</v>
          </cell>
        </row>
        <row r="3249">
          <cell r="I3249" t="str">
            <v>EDI</v>
          </cell>
          <cell r="L3249">
            <v>2295</v>
          </cell>
          <cell r="N3249" t="str">
            <v>Production</v>
          </cell>
          <cell r="O3249" t="str">
            <v>Everything Benefits</v>
          </cell>
          <cell r="P3249" t="str">
            <v>Production</v>
          </cell>
          <cell r="Q3249" t="str">
            <v>Live</v>
          </cell>
          <cell r="R3249">
            <v>45134.829386574071</v>
          </cell>
          <cell r="S3249" t="str">
            <v>Zeyad Khaled</v>
          </cell>
          <cell r="T3249">
            <v>45139</v>
          </cell>
          <cell r="U3249" t="str">
            <v>Trish Kalinczok</v>
          </cell>
          <cell r="V3249">
            <v>45152</v>
          </cell>
          <cell r="W3249">
            <v>25569</v>
          </cell>
          <cell r="Y3249">
            <v>45139</v>
          </cell>
          <cell r="AC3249">
            <v>45179</v>
          </cell>
        </row>
        <row r="3250">
          <cell r="I3250" t="str">
            <v>EDI</v>
          </cell>
          <cell r="L3250">
            <v>2323</v>
          </cell>
          <cell r="N3250" t="str">
            <v>Production</v>
          </cell>
          <cell r="O3250" t="str">
            <v>Everything Benefits</v>
          </cell>
          <cell r="P3250" t="str">
            <v>Production</v>
          </cell>
          <cell r="Q3250" t="str">
            <v>Cancelled</v>
          </cell>
          <cell r="R3250">
            <v>45134.795532407406</v>
          </cell>
          <cell r="S3250" t="str">
            <v>Mohamed Abdelhamed</v>
          </cell>
          <cell r="T3250">
            <v>45139</v>
          </cell>
          <cell r="U3250" t="str">
            <v>Trish Kalinczok</v>
          </cell>
          <cell r="V3250">
            <v>45152</v>
          </cell>
          <cell r="W3250">
            <v>45173</v>
          </cell>
          <cell r="Y3250">
            <v>45138</v>
          </cell>
          <cell r="AC3250">
            <v>45172</v>
          </cell>
        </row>
        <row r="3251">
          <cell r="I3251" t="str">
            <v>EDI</v>
          </cell>
          <cell r="L3251">
            <v>2322</v>
          </cell>
          <cell r="N3251" t="str">
            <v>Production</v>
          </cell>
          <cell r="O3251" t="str">
            <v>Everything Benefits</v>
          </cell>
          <cell r="P3251" t="str">
            <v>Production</v>
          </cell>
          <cell r="Q3251" t="str">
            <v>Cancelled</v>
          </cell>
          <cell r="R3251">
            <v>45134.795520833337</v>
          </cell>
          <cell r="S3251" t="str">
            <v>Mohamed Abdelhamed</v>
          </cell>
          <cell r="T3251">
            <v>45139</v>
          </cell>
          <cell r="U3251" t="str">
            <v>Trish Kalinczok</v>
          </cell>
          <cell r="V3251">
            <v>45181</v>
          </cell>
          <cell r="W3251">
            <v>45187</v>
          </cell>
          <cell r="Y3251">
            <v>45139</v>
          </cell>
          <cell r="AC3251">
            <v>45186</v>
          </cell>
        </row>
        <row r="3252">
          <cell r="I3252" t="str">
            <v>EDI</v>
          </cell>
          <cell r="L3252">
            <v>2301</v>
          </cell>
          <cell r="N3252" t="str">
            <v>Production</v>
          </cell>
          <cell r="O3252" t="str">
            <v>Everything Benefits</v>
          </cell>
          <cell r="P3252" t="str">
            <v>Production</v>
          </cell>
          <cell r="Q3252" t="str">
            <v>Cancelled</v>
          </cell>
          <cell r="R3252">
            <v>45134.795520833337</v>
          </cell>
          <cell r="S3252" t="str">
            <v>Mahmoud Ahmed</v>
          </cell>
          <cell r="T3252">
            <v>45139</v>
          </cell>
          <cell r="U3252" t="str">
            <v>Trish Kalinczok</v>
          </cell>
          <cell r="V3252">
            <v>45187</v>
          </cell>
          <cell r="W3252">
            <v>45209</v>
          </cell>
          <cell r="Y3252">
            <v>45139</v>
          </cell>
          <cell r="AC3252">
            <v>45207</v>
          </cell>
        </row>
        <row r="3253">
          <cell r="I3253" t="str">
            <v>EDI</v>
          </cell>
          <cell r="L3253">
            <v>2369</v>
          </cell>
          <cell r="N3253" t="str">
            <v>Production</v>
          </cell>
          <cell r="O3253" t="str">
            <v>Everything Benefits</v>
          </cell>
          <cell r="P3253" t="str">
            <v>Production</v>
          </cell>
          <cell r="Q3253" t="str">
            <v>Live</v>
          </cell>
          <cell r="R3253">
            <v>45134.694490740738</v>
          </cell>
          <cell r="S3253" t="str">
            <v>Alaa Yehia</v>
          </cell>
          <cell r="T3253">
            <v>45144</v>
          </cell>
          <cell r="U3253" t="str">
            <v>Trish Kalinczok</v>
          </cell>
          <cell r="V3253">
            <v>45166</v>
          </cell>
          <cell r="W3253">
            <v>25569</v>
          </cell>
          <cell r="Y3253">
            <v>45141</v>
          </cell>
          <cell r="AC3253">
            <v>45200</v>
          </cell>
        </row>
        <row r="3254">
          <cell r="I3254" t="str">
            <v>EDI</v>
          </cell>
          <cell r="N3254" t="str">
            <v>Requirements Gathering</v>
          </cell>
          <cell r="O3254" t="str">
            <v>Everything Benefits</v>
          </cell>
          <cell r="P3254" t="str">
            <v>Phase 1 - Map Built</v>
          </cell>
          <cell r="Q3254" t="str">
            <v>Cancelled</v>
          </cell>
          <cell r="R3254">
            <v>45134.694490740738</v>
          </cell>
          <cell r="S3254" t="str">
            <v>Lourina Edmon</v>
          </cell>
          <cell r="T3254">
            <v>45137</v>
          </cell>
          <cell r="U3254" t="str">
            <v>Trish Kalinczok</v>
          </cell>
        </row>
        <row r="3255">
          <cell r="I3255" t="str">
            <v>EDI</v>
          </cell>
          <cell r="L3255">
            <v>2361</v>
          </cell>
          <cell r="N3255" t="str">
            <v>Production</v>
          </cell>
          <cell r="O3255" t="str">
            <v>Everything Benefits</v>
          </cell>
          <cell r="P3255" t="str">
            <v>Production</v>
          </cell>
          <cell r="Q3255" t="str">
            <v>Live</v>
          </cell>
          <cell r="R3255">
            <v>45134.694479166668</v>
          </cell>
          <cell r="S3255" t="str">
            <v>Nada Ashraf</v>
          </cell>
          <cell r="T3255">
            <v>45147</v>
          </cell>
          <cell r="U3255" t="str">
            <v>Trish Kalinczok</v>
          </cell>
          <cell r="V3255">
            <v>45176</v>
          </cell>
          <cell r="W3255">
            <v>25569</v>
          </cell>
          <cell r="Y3255">
            <v>45146</v>
          </cell>
          <cell r="AC3255">
            <v>45246</v>
          </cell>
        </row>
        <row r="3256">
          <cell r="I3256" t="str">
            <v>EDI</v>
          </cell>
          <cell r="L3256">
            <v>2385</v>
          </cell>
          <cell r="N3256" t="str">
            <v>Production</v>
          </cell>
          <cell r="O3256" t="str">
            <v>Everything Benefits</v>
          </cell>
          <cell r="P3256" t="str">
            <v>Production</v>
          </cell>
          <cell r="Q3256" t="str">
            <v>Live</v>
          </cell>
          <cell r="R3256">
            <v>45134.694479166668</v>
          </cell>
          <cell r="S3256" t="str">
            <v>Hazem Rostom</v>
          </cell>
          <cell r="T3256">
            <v>45154</v>
          </cell>
          <cell r="U3256" t="str">
            <v>Trish Kalinczok</v>
          </cell>
          <cell r="V3256">
            <v>45225</v>
          </cell>
          <cell r="W3256">
            <v>25569</v>
          </cell>
          <cell r="Y3256">
            <v>45154</v>
          </cell>
          <cell r="AC3256">
            <v>45252</v>
          </cell>
        </row>
        <row r="3257">
          <cell r="I3257" t="str">
            <v>EDI</v>
          </cell>
          <cell r="L3257">
            <v>2375</v>
          </cell>
          <cell r="N3257" t="str">
            <v>Production</v>
          </cell>
          <cell r="O3257" t="str">
            <v>Everything Benefits</v>
          </cell>
          <cell r="P3257" t="str">
            <v>Production</v>
          </cell>
          <cell r="Q3257" t="str">
            <v>Live</v>
          </cell>
          <cell r="R3257">
            <v>45134.694479166668</v>
          </cell>
          <cell r="S3257" t="str">
            <v>Zeyad Khaled</v>
          </cell>
          <cell r="T3257">
            <v>45158</v>
          </cell>
          <cell r="U3257" t="str">
            <v>Trish Kalinczok</v>
          </cell>
          <cell r="V3257">
            <v>45174</v>
          </cell>
          <cell r="W3257">
            <v>45201</v>
          </cell>
          <cell r="Y3257">
            <v>45152</v>
          </cell>
          <cell r="AC3257">
            <v>45200</v>
          </cell>
        </row>
        <row r="3258">
          <cell r="I3258" t="str">
            <v>EDI</v>
          </cell>
          <cell r="L3258">
            <v>2438</v>
          </cell>
          <cell r="N3258" t="str">
            <v>Production</v>
          </cell>
          <cell r="O3258" t="str">
            <v>Everything Benefits</v>
          </cell>
          <cell r="P3258" t="str">
            <v>Production</v>
          </cell>
          <cell r="Q3258" t="str">
            <v>Live</v>
          </cell>
          <cell r="R3258">
            <v>45134.694479166668</v>
          </cell>
          <cell r="S3258" t="str">
            <v>Nada Ashraf</v>
          </cell>
          <cell r="T3258">
            <v>45158</v>
          </cell>
          <cell r="U3258" t="str">
            <v>Trish Kalinczok</v>
          </cell>
          <cell r="V3258">
            <v>45173</v>
          </cell>
          <cell r="W3258">
            <v>25569</v>
          </cell>
          <cell r="Y3258">
            <v>45158</v>
          </cell>
          <cell r="AC3258">
            <v>45228</v>
          </cell>
        </row>
        <row r="3259">
          <cell r="I3259" t="str">
            <v>EDI</v>
          </cell>
          <cell r="L3259">
            <v>2332</v>
          </cell>
          <cell r="N3259" t="str">
            <v>Production</v>
          </cell>
          <cell r="O3259" t="str">
            <v>Everything Benefits</v>
          </cell>
          <cell r="P3259" t="str">
            <v>Production</v>
          </cell>
          <cell r="Q3259" t="str">
            <v>Cancelled</v>
          </cell>
          <cell r="R3259">
            <v>45134.660034722219</v>
          </cell>
          <cell r="S3259" t="str">
            <v>Hazem Rostom</v>
          </cell>
          <cell r="T3259">
            <v>45144</v>
          </cell>
          <cell r="U3259" t="str">
            <v>Trish Kalinczok</v>
          </cell>
          <cell r="V3259">
            <v>45186</v>
          </cell>
          <cell r="W3259">
            <v>25569</v>
          </cell>
          <cell r="Y3259">
            <v>45141</v>
          </cell>
          <cell r="AC3259">
            <v>45186</v>
          </cell>
        </row>
        <row r="3260">
          <cell r="I3260" t="str">
            <v>EDI</v>
          </cell>
          <cell r="L3260">
            <v>2384</v>
          </cell>
          <cell r="N3260" t="str">
            <v>Production</v>
          </cell>
          <cell r="O3260" t="str">
            <v>Everything Benefits</v>
          </cell>
          <cell r="P3260" t="str">
            <v>Production</v>
          </cell>
          <cell r="Q3260" t="str">
            <v>Live</v>
          </cell>
          <cell r="R3260">
            <v>45134.660034722219</v>
          </cell>
          <cell r="S3260" t="str">
            <v>Hazem Rostom</v>
          </cell>
          <cell r="T3260">
            <v>45154</v>
          </cell>
          <cell r="U3260" t="str">
            <v>Trish Kalinczok</v>
          </cell>
          <cell r="V3260">
            <v>45218</v>
          </cell>
          <cell r="W3260">
            <v>45271</v>
          </cell>
          <cell r="Y3260">
            <v>45153</v>
          </cell>
          <cell r="AC3260">
            <v>45267</v>
          </cell>
        </row>
        <row r="3261">
          <cell r="I3261" t="str">
            <v>EDI</v>
          </cell>
          <cell r="L3261">
            <v>2419</v>
          </cell>
          <cell r="N3261" t="str">
            <v>Production</v>
          </cell>
          <cell r="O3261" t="str">
            <v>Everything Benefits</v>
          </cell>
          <cell r="P3261" t="str">
            <v>Production</v>
          </cell>
          <cell r="Q3261" t="str">
            <v>Live</v>
          </cell>
          <cell r="R3261">
            <v>45134.66002314815</v>
          </cell>
          <cell r="S3261" t="str">
            <v>Alaa Yehia</v>
          </cell>
          <cell r="T3261">
            <v>45159</v>
          </cell>
          <cell r="U3261" t="str">
            <v>Trish Kalinczok</v>
          </cell>
          <cell r="V3261">
            <v>45173</v>
          </cell>
          <cell r="W3261">
            <v>45208</v>
          </cell>
          <cell r="Y3261">
            <v>45153</v>
          </cell>
          <cell r="AC3261">
            <v>45207</v>
          </cell>
        </row>
        <row r="3262">
          <cell r="I3262" t="str">
            <v>EDI</v>
          </cell>
          <cell r="L3262">
            <v>2349</v>
          </cell>
          <cell r="N3262" t="str">
            <v>Production</v>
          </cell>
          <cell r="O3262" t="str">
            <v>Everything Benefits</v>
          </cell>
          <cell r="P3262" t="str">
            <v>Production</v>
          </cell>
          <cell r="Q3262" t="str">
            <v>Live</v>
          </cell>
          <cell r="R3262">
            <v>45134.58662037037</v>
          </cell>
          <cell r="S3262" t="str">
            <v>Nada Ashraf</v>
          </cell>
          <cell r="T3262">
            <v>45147</v>
          </cell>
          <cell r="U3262" t="str">
            <v>Trish Kalinczok</v>
          </cell>
          <cell r="V3262">
            <v>45154</v>
          </cell>
          <cell r="W3262">
            <v>45229</v>
          </cell>
          <cell r="Y3262">
            <v>45146</v>
          </cell>
          <cell r="AC3262">
            <v>45228</v>
          </cell>
        </row>
        <row r="3263">
          <cell r="I3263" t="str">
            <v>EDI</v>
          </cell>
          <cell r="L3263">
            <v>2390</v>
          </cell>
          <cell r="N3263" t="str">
            <v>Production</v>
          </cell>
          <cell r="O3263" t="str">
            <v>Everything Benefits</v>
          </cell>
          <cell r="P3263" t="str">
            <v>Production</v>
          </cell>
          <cell r="Q3263" t="str">
            <v>Cancelled</v>
          </cell>
          <cell r="R3263">
            <v>45134.56521990741</v>
          </cell>
          <cell r="S3263" t="str">
            <v>Tarek Medhat</v>
          </cell>
          <cell r="T3263">
            <v>45158</v>
          </cell>
          <cell r="U3263" t="str">
            <v>Trish Kalinczok</v>
          </cell>
          <cell r="V3263">
            <v>25569</v>
          </cell>
          <cell r="W3263">
            <v>45306</v>
          </cell>
          <cell r="Y3263">
            <v>45154</v>
          </cell>
          <cell r="AC3263">
            <v>45305</v>
          </cell>
        </row>
        <row r="3264">
          <cell r="I3264" t="str">
            <v>EDI</v>
          </cell>
          <cell r="L3264">
            <v>2317</v>
          </cell>
          <cell r="N3264" t="str">
            <v>Production</v>
          </cell>
          <cell r="O3264" t="str">
            <v>Everything Benefits</v>
          </cell>
          <cell r="P3264" t="str">
            <v>Production</v>
          </cell>
          <cell r="Q3264" t="str">
            <v>Cancelled</v>
          </cell>
          <cell r="R3264">
            <v>45134.565208333333</v>
          </cell>
          <cell r="S3264" t="str">
            <v>Karen Ramy</v>
          </cell>
          <cell r="T3264">
            <v>45139</v>
          </cell>
          <cell r="U3264" t="str">
            <v>Trish Kalinczok</v>
          </cell>
          <cell r="V3264">
            <v>45152</v>
          </cell>
          <cell r="W3264">
            <v>45303</v>
          </cell>
          <cell r="Y3264">
            <v>45138</v>
          </cell>
          <cell r="AC3264">
            <v>45305</v>
          </cell>
        </row>
        <row r="3265">
          <cell r="I3265" t="str">
            <v>EDI</v>
          </cell>
          <cell r="L3265">
            <v>2333</v>
          </cell>
          <cell r="N3265" t="str">
            <v>Production</v>
          </cell>
          <cell r="O3265" t="str">
            <v>Everything Benefits</v>
          </cell>
          <cell r="P3265" t="str">
            <v>Production</v>
          </cell>
          <cell r="Q3265" t="str">
            <v>Cancelled</v>
          </cell>
          <cell r="R3265">
            <v>45134.565208333333</v>
          </cell>
          <cell r="S3265" t="str">
            <v>Hazem Rostom</v>
          </cell>
          <cell r="T3265">
            <v>45139</v>
          </cell>
          <cell r="U3265" t="str">
            <v>Trish Kalinczok</v>
          </cell>
          <cell r="V3265">
            <v>45197</v>
          </cell>
          <cell r="W3265">
            <v>45208</v>
          </cell>
          <cell r="Y3265">
            <v>45138</v>
          </cell>
          <cell r="AC3265">
            <v>45207</v>
          </cell>
        </row>
        <row r="3266">
          <cell r="I3266" t="str">
            <v>EDI</v>
          </cell>
          <cell r="N3266" t="str">
            <v>Requirements Gathering</v>
          </cell>
          <cell r="O3266" t="str">
            <v>Everything Benefits</v>
          </cell>
          <cell r="P3266" t="str">
            <v>Phase 1 - Map Built</v>
          </cell>
          <cell r="Q3266" t="str">
            <v>Cancelled</v>
          </cell>
          <cell r="R3266">
            <v>45133.908275462964</v>
          </cell>
          <cell r="S3266" t="str">
            <v>Abdulrahman Tarek</v>
          </cell>
          <cell r="T3266">
            <v>45134</v>
          </cell>
          <cell r="U3266" t="str">
            <v>Trish Kalinczok</v>
          </cell>
        </row>
        <row r="3267">
          <cell r="I3267" t="str">
            <v>EDI</v>
          </cell>
          <cell r="L3267">
            <v>2367</v>
          </cell>
          <cell r="N3267" t="str">
            <v>Production</v>
          </cell>
          <cell r="O3267" t="str">
            <v>Everything Benefits</v>
          </cell>
          <cell r="P3267" t="str">
            <v>Production</v>
          </cell>
          <cell r="Q3267" t="str">
            <v>Live</v>
          </cell>
          <cell r="R3267">
            <v>45133.496493055558</v>
          </cell>
          <cell r="S3267" t="str">
            <v>Tarek Medhat</v>
          </cell>
          <cell r="T3267">
            <v>45152</v>
          </cell>
          <cell r="U3267" t="str">
            <v>Matt Howell</v>
          </cell>
          <cell r="W3267">
            <v>45215</v>
          </cell>
          <cell r="Y3267">
            <v>45147</v>
          </cell>
          <cell r="AC3267">
            <v>45214</v>
          </cell>
        </row>
        <row r="3268">
          <cell r="I3268" t="str">
            <v>EDI</v>
          </cell>
          <cell r="L3268">
            <v>2304</v>
          </cell>
          <cell r="N3268" t="str">
            <v>Production</v>
          </cell>
          <cell r="O3268" t="str">
            <v>Everything Benefits</v>
          </cell>
          <cell r="P3268" t="str">
            <v>Production</v>
          </cell>
          <cell r="Q3268" t="str">
            <v>Cancelled</v>
          </cell>
          <cell r="R3268">
            <v>45132.920358796298</v>
          </cell>
          <cell r="S3268" t="str">
            <v>Zeyad Khaled</v>
          </cell>
          <cell r="T3268">
            <v>45139</v>
          </cell>
          <cell r="U3268" t="str">
            <v>Matt Howell</v>
          </cell>
          <cell r="V3268">
            <v>45176</v>
          </cell>
          <cell r="W3268">
            <v>45187</v>
          </cell>
          <cell r="Y3268">
            <v>45134</v>
          </cell>
          <cell r="AC3268">
            <v>45186</v>
          </cell>
        </row>
        <row r="3269">
          <cell r="I3269" t="str">
            <v>EDI</v>
          </cell>
          <cell r="L3269">
            <v>2351</v>
          </cell>
          <cell r="N3269" t="str">
            <v>Production</v>
          </cell>
          <cell r="O3269" t="str">
            <v>Everything Benefits</v>
          </cell>
          <cell r="P3269" t="str">
            <v>Production</v>
          </cell>
          <cell r="Q3269" t="str">
            <v>Cancelled</v>
          </cell>
          <cell r="R3269">
            <v>45132.920358796298</v>
          </cell>
          <cell r="S3269" t="str">
            <v>Mahmoud Ahmed</v>
          </cell>
          <cell r="T3269">
            <v>45144</v>
          </cell>
          <cell r="U3269" t="str">
            <v>Matt Howell</v>
          </cell>
          <cell r="V3269">
            <v>45155</v>
          </cell>
          <cell r="W3269">
            <v>45194</v>
          </cell>
          <cell r="Y3269">
            <v>45140</v>
          </cell>
          <cell r="AC3269">
            <v>45193</v>
          </cell>
        </row>
        <row r="3270">
          <cell r="I3270" t="str">
            <v>EDI</v>
          </cell>
          <cell r="L3270">
            <v>2403</v>
          </cell>
          <cell r="N3270" t="str">
            <v>Production</v>
          </cell>
          <cell r="O3270" t="str">
            <v>Everything Benefits</v>
          </cell>
          <cell r="P3270" t="str">
            <v>Production</v>
          </cell>
          <cell r="Q3270" t="str">
            <v>Cancelled</v>
          </cell>
          <cell r="R3270">
            <v>45132.920347222222</v>
          </cell>
          <cell r="S3270" t="str">
            <v>Mina Kamil</v>
          </cell>
          <cell r="T3270">
            <v>45154</v>
          </cell>
          <cell r="U3270" t="str">
            <v>Matt Howell</v>
          </cell>
          <cell r="W3270">
            <v>25569</v>
          </cell>
          <cell r="Y3270">
            <v>45154</v>
          </cell>
          <cell r="AC3270">
            <v>45247</v>
          </cell>
        </row>
        <row r="3271">
          <cell r="I3271" t="str">
            <v>EDI</v>
          </cell>
          <cell r="L3271">
            <v>2300</v>
          </cell>
          <cell r="N3271" t="str">
            <v>Production</v>
          </cell>
          <cell r="O3271" t="str">
            <v>Everything Benefits</v>
          </cell>
          <cell r="P3271" t="str">
            <v>Production</v>
          </cell>
          <cell r="Q3271" t="str">
            <v>Cancelled</v>
          </cell>
          <cell r="R3271">
            <v>45132.920347222222</v>
          </cell>
          <cell r="S3271" t="str">
            <v>Mahmoud Ahmed</v>
          </cell>
          <cell r="T3271">
            <v>45139</v>
          </cell>
          <cell r="U3271" t="str">
            <v>Matt Howell</v>
          </cell>
          <cell r="V3271">
            <v>25569</v>
          </cell>
          <cell r="W3271">
            <v>45229</v>
          </cell>
          <cell r="Y3271">
            <v>45133</v>
          </cell>
          <cell r="AC3271">
            <v>45228</v>
          </cell>
        </row>
        <row r="3272">
          <cell r="I3272" t="str">
            <v>EDI</v>
          </cell>
          <cell r="L3272">
            <v>2334</v>
          </cell>
          <cell r="N3272" t="str">
            <v>Production</v>
          </cell>
          <cell r="O3272" t="str">
            <v>Everything Benefits</v>
          </cell>
          <cell r="P3272" t="str">
            <v>Production</v>
          </cell>
          <cell r="Q3272" t="str">
            <v>Cancelled</v>
          </cell>
          <cell r="R3272">
            <v>45132.920347222222</v>
          </cell>
          <cell r="S3272" t="str">
            <v>Hazem Rostom</v>
          </cell>
          <cell r="T3272">
            <v>45139</v>
          </cell>
          <cell r="U3272" t="str">
            <v>Matt Howell</v>
          </cell>
          <cell r="V3272">
            <v>45235</v>
          </cell>
          <cell r="W3272">
            <v>45251</v>
          </cell>
          <cell r="Y3272">
            <v>45138</v>
          </cell>
          <cell r="AC3272">
            <v>45250</v>
          </cell>
        </row>
        <row r="3273">
          <cell r="I3273" t="str">
            <v>EDI</v>
          </cell>
          <cell r="L3273">
            <v>2331</v>
          </cell>
          <cell r="N3273" t="str">
            <v>Testing</v>
          </cell>
          <cell r="O3273" t="str">
            <v>Everything Benefits</v>
          </cell>
          <cell r="P3273" t="str">
            <v>Migration Testing</v>
          </cell>
          <cell r="Q3273" t="str">
            <v>Cancelled</v>
          </cell>
          <cell r="R3273">
            <v>45132.911643518521</v>
          </cell>
          <cell r="S3273" t="str">
            <v>Mina Kamil</v>
          </cell>
          <cell r="T3273">
            <v>45139</v>
          </cell>
          <cell r="U3273" t="str">
            <v>Trish Kalinczok</v>
          </cell>
          <cell r="Y3273">
            <v>45138</v>
          </cell>
        </row>
        <row r="3274">
          <cell r="I3274" t="str">
            <v>EDI</v>
          </cell>
          <cell r="L3274">
            <v>2297</v>
          </cell>
          <cell r="N3274" t="str">
            <v>Production</v>
          </cell>
          <cell r="O3274" t="str">
            <v>Everything Benefits</v>
          </cell>
          <cell r="P3274" t="str">
            <v>Production</v>
          </cell>
          <cell r="Q3274" t="str">
            <v>Live</v>
          </cell>
          <cell r="R3274">
            <v>45132.911643518521</v>
          </cell>
          <cell r="S3274" t="str">
            <v>Mahmoud Ahmed</v>
          </cell>
          <cell r="T3274">
            <v>45139</v>
          </cell>
          <cell r="U3274" t="str">
            <v>Trish Kalinczok</v>
          </cell>
          <cell r="V3274">
            <v>45159</v>
          </cell>
          <cell r="W3274">
            <v>45187</v>
          </cell>
          <cell r="Y3274">
            <v>45139</v>
          </cell>
          <cell r="AC3274">
            <v>45186</v>
          </cell>
        </row>
        <row r="3275">
          <cell r="I3275" t="str">
            <v>EDI</v>
          </cell>
          <cell r="L3275">
            <v>2309</v>
          </cell>
          <cell r="N3275" t="str">
            <v>Production</v>
          </cell>
          <cell r="O3275" t="str">
            <v>Everything Benefits</v>
          </cell>
          <cell r="P3275" t="str">
            <v>Production</v>
          </cell>
          <cell r="Q3275" t="str">
            <v>Cancelled</v>
          </cell>
          <cell r="R3275">
            <v>45132.911631944437</v>
          </cell>
          <cell r="S3275" t="str">
            <v>Alaa Yehia</v>
          </cell>
          <cell r="T3275">
            <v>45139</v>
          </cell>
          <cell r="U3275" t="str">
            <v>Trish Kalinczok</v>
          </cell>
          <cell r="V3275">
            <v>45152</v>
          </cell>
          <cell r="W3275">
            <v>45180</v>
          </cell>
          <cell r="Y3275">
            <v>45134</v>
          </cell>
          <cell r="AC3275">
            <v>45179</v>
          </cell>
        </row>
        <row r="3276">
          <cell r="I3276" t="str">
            <v>EDI</v>
          </cell>
          <cell r="L3276">
            <v>2321</v>
          </cell>
          <cell r="N3276" t="str">
            <v>Production</v>
          </cell>
          <cell r="O3276" t="str">
            <v>Everything Benefits</v>
          </cell>
          <cell r="P3276" t="str">
            <v>Production</v>
          </cell>
          <cell r="Q3276" t="str">
            <v>Live</v>
          </cell>
          <cell r="R3276">
            <v>45132.911631944437</v>
          </cell>
          <cell r="S3276" t="str">
            <v>Nada Ashraf</v>
          </cell>
          <cell r="T3276">
            <v>45139</v>
          </cell>
          <cell r="U3276" t="str">
            <v>Trish Kalinczok</v>
          </cell>
          <cell r="V3276">
            <v>45147</v>
          </cell>
          <cell r="W3276">
            <v>45211</v>
          </cell>
          <cell r="Y3276">
            <v>45134</v>
          </cell>
          <cell r="AC3276">
            <v>45207</v>
          </cell>
        </row>
        <row r="3277">
          <cell r="I3277" t="str">
            <v>EDI</v>
          </cell>
          <cell r="N3277" t="str">
            <v>Pending Start</v>
          </cell>
          <cell r="O3277" t="str">
            <v>Everything Benefits</v>
          </cell>
          <cell r="P3277" t="str">
            <v>Map Under Review</v>
          </cell>
          <cell r="Q3277" t="str">
            <v>Cancelled</v>
          </cell>
          <cell r="R3277">
            <v>45132.856087962973</v>
          </cell>
          <cell r="U3277" t="str">
            <v>Trish Kalinczok</v>
          </cell>
        </row>
        <row r="3278">
          <cell r="I3278" t="str">
            <v>EDI</v>
          </cell>
          <cell r="N3278" t="str">
            <v>Pending Start</v>
          </cell>
          <cell r="O3278" t="str">
            <v>Everything Benefits</v>
          </cell>
          <cell r="P3278" t="str">
            <v>Map Under Review</v>
          </cell>
          <cell r="Q3278" t="str">
            <v>Cancelled</v>
          </cell>
          <cell r="R3278">
            <v>45132.856076388889</v>
          </cell>
          <cell r="U3278" t="str">
            <v>Trish Kalinczok</v>
          </cell>
        </row>
        <row r="3279">
          <cell r="I3279" t="str">
            <v>EDI</v>
          </cell>
          <cell r="L3279">
            <v>2347</v>
          </cell>
          <cell r="N3279" t="str">
            <v>Production</v>
          </cell>
          <cell r="O3279" t="str">
            <v>No</v>
          </cell>
          <cell r="Q3279" t="str">
            <v>Live</v>
          </cell>
          <cell r="R3279">
            <v>45132.824976851851</v>
          </cell>
          <cell r="S3279" t="str">
            <v>Mina Adel</v>
          </cell>
          <cell r="T3279">
            <v>45152</v>
          </cell>
          <cell r="U3279" t="str">
            <v>Destinee Duncan</v>
          </cell>
          <cell r="V3279">
            <v>45175</v>
          </cell>
          <cell r="W3279">
            <v>45260</v>
          </cell>
          <cell r="Y3279">
            <v>45134</v>
          </cell>
          <cell r="AC3279">
            <v>45237</v>
          </cell>
        </row>
        <row r="3280">
          <cell r="I3280" t="str">
            <v>EDI</v>
          </cell>
          <cell r="L3280">
            <v>2370</v>
          </cell>
          <cell r="N3280" t="str">
            <v>Testing</v>
          </cell>
          <cell r="O3280" t="str">
            <v>No</v>
          </cell>
          <cell r="Q3280" t="str">
            <v>Cancelled</v>
          </cell>
          <cell r="R3280">
            <v>45132.824976851851</v>
          </cell>
          <cell r="S3280" t="str">
            <v>Fady Maged</v>
          </cell>
          <cell r="T3280">
            <v>45151</v>
          </cell>
          <cell r="U3280" t="str">
            <v>Destinee Duncan</v>
          </cell>
          <cell r="V3280">
            <v>45283</v>
          </cell>
          <cell r="Y3280">
            <v>45151</v>
          </cell>
        </row>
        <row r="3281">
          <cell r="I3281" t="str">
            <v>EDI</v>
          </cell>
          <cell r="L3281">
            <v>2409</v>
          </cell>
          <cell r="N3281" t="str">
            <v>Production</v>
          </cell>
          <cell r="O3281" t="str">
            <v>No</v>
          </cell>
          <cell r="Q3281" t="str">
            <v>Live</v>
          </cell>
          <cell r="R3281">
            <v>45132.824965277781</v>
          </cell>
          <cell r="S3281" t="str">
            <v>Salma Yamani</v>
          </cell>
          <cell r="T3281">
            <v>45146</v>
          </cell>
          <cell r="U3281" t="str">
            <v>Destinee Duncan</v>
          </cell>
          <cell r="V3281">
            <v>45169</v>
          </cell>
          <cell r="W3281">
            <v>45211</v>
          </cell>
          <cell r="Y3281">
            <v>45145</v>
          </cell>
          <cell r="AC3281">
            <v>45207</v>
          </cell>
        </row>
        <row r="3282">
          <cell r="I3282" t="str">
            <v>EDI</v>
          </cell>
          <cell r="L3282">
            <v>2341</v>
          </cell>
          <cell r="N3282" t="str">
            <v>Production</v>
          </cell>
          <cell r="O3282" t="str">
            <v>No</v>
          </cell>
          <cell r="Q3282" t="str">
            <v>Live</v>
          </cell>
          <cell r="R3282">
            <v>45132.824965277781</v>
          </cell>
          <cell r="S3282" t="str">
            <v>Mina George</v>
          </cell>
          <cell r="T3282">
            <v>45146</v>
          </cell>
          <cell r="U3282" t="str">
            <v>Destinee Duncan</v>
          </cell>
          <cell r="V3282">
            <v>45180</v>
          </cell>
          <cell r="W3282">
            <v>45267</v>
          </cell>
          <cell r="Y3282">
            <v>45139</v>
          </cell>
          <cell r="AC3282">
            <v>45266</v>
          </cell>
        </row>
        <row r="3283">
          <cell r="I3283" t="str">
            <v>EDI</v>
          </cell>
          <cell r="L3283">
            <v>2256</v>
          </cell>
          <cell r="N3283" t="str">
            <v>Production</v>
          </cell>
          <cell r="O3283" t="str">
            <v>eBenefits Network</v>
          </cell>
          <cell r="P3283" t="str">
            <v>Production</v>
          </cell>
          <cell r="Q3283" t="str">
            <v>Cancelled</v>
          </cell>
          <cell r="R3283">
            <v>45132.812048611107</v>
          </cell>
          <cell r="S3283" t="str">
            <v>Karim Tarek</v>
          </cell>
          <cell r="T3283">
            <v>45133</v>
          </cell>
          <cell r="U3283" t="str">
            <v>Trish Kalinczok</v>
          </cell>
          <cell r="V3283">
            <v>45139</v>
          </cell>
          <cell r="W3283">
            <v>45260</v>
          </cell>
          <cell r="AC3283">
            <v>45249</v>
          </cell>
        </row>
        <row r="3284">
          <cell r="I3284" t="str">
            <v>EDI</v>
          </cell>
          <cell r="L3284">
            <v>2257</v>
          </cell>
          <cell r="N3284" t="str">
            <v>Production</v>
          </cell>
          <cell r="O3284" t="str">
            <v>eBenefits Network</v>
          </cell>
          <cell r="P3284" t="str">
            <v>Production</v>
          </cell>
          <cell r="Q3284" t="str">
            <v>Live</v>
          </cell>
          <cell r="R3284">
            <v>45132.812048611107</v>
          </cell>
          <cell r="S3284" t="str">
            <v>Karim Tarek</v>
          </cell>
          <cell r="T3284">
            <v>45133</v>
          </cell>
          <cell r="U3284" t="str">
            <v>Trish Kalinczok</v>
          </cell>
          <cell r="V3284">
            <v>45140</v>
          </cell>
          <cell r="W3284">
            <v>45217</v>
          </cell>
          <cell r="AC3284">
            <v>45214</v>
          </cell>
        </row>
        <row r="3285">
          <cell r="I3285" t="str">
            <v>EDI</v>
          </cell>
          <cell r="L3285">
            <v>2340</v>
          </cell>
          <cell r="N3285" t="str">
            <v>Production</v>
          </cell>
          <cell r="O3285" t="str">
            <v>Everything Benefits</v>
          </cell>
          <cell r="P3285" t="str">
            <v>Production</v>
          </cell>
          <cell r="Q3285" t="str">
            <v>Live</v>
          </cell>
          <cell r="R3285">
            <v>45132.79115740741</v>
          </cell>
          <cell r="S3285" t="str">
            <v>Mohamed Abdelhamed</v>
          </cell>
          <cell r="T3285">
            <v>45147</v>
          </cell>
          <cell r="U3285" t="str">
            <v>Trish Kalinczok</v>
          </cell>
          <cell r="V3285">
            <v>45175</v>
          </cell>
          <cell r="W3285">
            <v>45202</v>
          </cell>
          <cell r="Y3285">
            <v>45145</v>
          </cell>
          <cell r="AC3285">
            <v>45193</v>
          </cell>
        </row>
        <row r="3286">
          <cell r="I3286" t="str">
            <v>EDI</v>
          </cell>
          <cell r="L3286">
            <v>2316</v>
          </cell>
          <cell r="N3286" t="str">
            <v>Production</v>
          </cell>
          <cell r="O3286" t="str">
            <v>Everything Benefits</v>
          </cell>
          <cell r="P3286" t="str">
            <v>Production</v>
          </cell>
          <cell r="Q3286" t="str">
            <v>Live</v>
          </cell>
          <cell r="R3286">
            <v>45132.79115740741</v>
          </cell>
          <cell r="S3286" t="str">
            <v>Karen Ramy</v>
          </cell>
          <cell r="T3286">
            <v>45139</v>
          </cell>
          <cell r="U3286" t="str">
            <v>Trish Kalinczok</v>
          </cell>
          <cell r="V3286">
            <v>45168</v>
          </cell>
          <cell r="W3286">
            <v>45208</v>
          </cell>
          <cell r="Y3286">
            <v>45138</v>
          </cell>
          <cell r="AC3286">
            <v>45207</v>
          </cell>
        </row>
        <row r="3287">
          <cell r="I3287" t="str">
            <v>EDI</v>
          </cell>
          <cell r="L3287">
            <v>2448</v>
          </cell>
          <cell r="N3287" t="str">
            <v>Production</v>
          </cell>
          <cell r="O3287" t="str">
            <v>Everything Benefits</v>
          </cell>
          <cell r="P3287" t="str">
            <v>Production</v>
          </cell>
          <cell r="Q3287" t="str">
            <v>Live</v>
          </cell>
          <cell r="R3287">
            <v>45132.791145833333</v>
          </cell>
          <cell r="S3287" t="str">
            <v>Alaa Yehia</v>
          </cell>
          <cell r="T3287">
            <v>45165</v>
          </cell>
          <cell r="U3287" t="str">
            <v>Trish Kalinczok</v>
          </cell>
          <cell r="V3287">
            <v>45187</v>
          </cell>
          <cell r="W3287">
            <v>45313</v>
          </cell>
          <cell r="Y3287">
            <v>45162</v>
          </cell>
          <cell r="AC3287">
            <v>45312</v>
          </cell>
        </row>
        <row r="3288">
          <cell r="I3288" t="str">
            <v>EDI</v>
          </cell>
          <cell r="L3288">
            <v>2401</v>
          </cell>
          <cell r="N3288" t="str">
            <v>Production</v>
          </cell>
          <cell r="O3288" t="str">
            <v>Everything Benefits</v>
          </cell>
          <cell r="P3288" t="str">
            <v>Production</v>
          </cell>
          <cell r="Q3288" t="str">
            <v>Live</v>
          </cell>
          <cell r="R3288">
            <v>45132.683761574073</v>
          </cell>
          <cell r="S3288" t="str">
            <v>Mina Kamil</v>
          </cell>
          <cell r="T3288">
            <v>45144</v>
          </cell>
          <cell r="U3288" t="str">
            <v>Trish Kalinczok</v>
          </cell>
          <cell r="V3288">
            <v>46084</v>
          </cell>
          <cell r="W3288">
            <v>25569</v>
          </cell>
          <cell r="Y3288">
            <v>45141</v>
          </cell>
          <cell r="AC3288">
            <v>45252</v>
          </cell>
        </row>
        <row r="3289">
          <cell r="I3289" t="str">
            <v>EDI</v>
          </cell>
          <cell r="L3289">
            <v>2326</v>
          </cell>
          <cell r="N3289" t="str">
            <v>Production</v>
          </cell>
          <cell r="O3289" t="str">
            <v>Everything Benefits</v>
          </cell>
          <cell r="P3289" t="str">
            <v>Production</v>
          </cell>
          <cell r="Q3289" t="str">
            <v>Live</v>
          </cell>
          <cell r="R3289">
            <v>45132.683749999997</v>
          </cell>
          <cell r="S3289" t="str">
            <v>Nada Ashraf</v>
          </cell>
          <cell r="T3289">
            <v>45139</v>
          </cell>
          <cell r="U3289" t="str">
            <v>Trish Kalinczok</v>
          </cell>
          <cell r="V3289">
            <v>45154</v>
          </cell>
          <cell r="W3289">
            <v>25569</v>
          </cell>
          <cell r="Y3289">
            <v>45138</v>
          </cell>
          <cell r="AC3289">
            <v>45200</v>
          </cell>
        </row>
        <row r="3290">
          <cell r="I3290" t="str">
            <v>EDI</v>
          </cell>
          <cell r="L3290">
            <v>2299</v>
          </cell>
          <cell r="N3290" t="str">
            <v>Production</v>
          </cell>
          <cell r="O3290" t="str">
            <v>Everything Benefits</v>
          </cell>
          <cell r="P3290" t="str">
            <v>Production</v>
          </cell>
          <cell r="Q3290" t="str">
            <v>Cancelled</v>
          </cell>
          <cell r="R3290">
            <v>45132.334837962961</v>
          </cell>
          <cell r="S3290" t="str">
            <v>Salma Yamani</v>
          </cell>
          <cell r="T3290">
            <v>45132</v>
          </cell>
          <cell r="U3290" t="str">
            <v>Matt Howell</v>
          </cell>
          <cell r="V3290">
            <v>45158</v>
          </cell>
          <cell r="W3290">
            <v>45241</v>
          </cell>
          <cell r="AC3290">
            <v>45235</v>
          </cell>
        </row>
        <row r="3291">
          <cell r="I3291" t="str">
            <v>EDI</v>
          </cell>
          <cell r="L3291">
            <v>2298</v>
          </cell>
          <cell r="N3291" t="str">
            <v>Production</v>
          </cell>
          <cell r="O3291" t="str">
            <v>Everything Benefits</v>
          </cell>
          <cell r="P3291" t="str">
            <v>Production</v>
          </cell>
          <cell r="Q3291" t="str">
            <v>Live</v>
          </cell>
          <cell r="R3291">
            <v>45132.304803240739</v>
          </cell>
          <cell r="S3291" t="str">
            <v>Salma Yamani</v>
          </cell>
          <cell r="T3291">
            <v>45132</v>
          </cell>
          <cell r="U3291" t="str">
            <v>Trish Kalinczok</v>
          </cell>
          <cell r="V3291">
            <v>45162</v>
          </cell>
          <cell r="W3291">
            <v>45185</v>
          </cell>
          <cell r="Y3291">
            <v>45132</v>
          </cell>
          <cell r="AC3291">
            <v>45183</v>
          </cell>
        </row>
        <row r="3292">
          <cell r="I3292" t="str">
            <v>EDI</v>
          </cell>
          <cell r="L3292">
            <v>2284</v>
          </cell>
          <cell r="N3292" t="str">
            <v>Production</v>
          </cell>
          <cell r="O3292" t="str">
            <v>Everything Benefits</v>
          </cell>
          <cell r="P3292" t="str">
            <v>Production</v>
          </cell>
          <cell r="Q3292" t="str">
            <v>Live</v>
          </cell>
          <cell r="R3292">
            <v>45131.738344907397</v>
          </cell>
          <cell r="S3292" t="str">
            <v>Mahmoud Heidar</v>
          </cell>
          <cell r="T3292">
            <v>45138</v>
          </cell>
          <cell r="U3292" t="str">
            <v>Trish Kalinczok</v>
          </cell>
          <cell r="V3292">
            <v>45169</v>
          </cell>
          <cell r="W3292">
            <v>45180</v>
          </cell>
          <cell r="Y3292">
            <v>45137</v>
          </cell>
          <cell r="AC3292">
            <v>45179</v>
          </cell>
        </row>
        <row r="3293">
          <cell r="I3293" t="str">
            <v>EDI</v>
          </cell>
          <cell r="L3293">
            <v>2315</v>
          </cell>
          <cell r="N3293" t="str">
            <v>Production</v>
          </cell>
          <cell r="O3293" t="str">
            <v>Everything Benefits</v>
          </cell>
          <cell r="P3293" t="str">
            <v>Production</v>
          </cell>
          <cell r="Q3293" t="str">
            <v>Live</v>
          </cell>
          <cell r="R3293">
            <v>45131.727314814823</v>
          </cell>
          <cell r="S3293" t="str">
            <v>Karen Ramy</v>
          </cell>
          <cell r="T3293">
            <v>45138</v>
          </cell>
          <cell r="U3293" t="str">
            <v>Trish Kalinczok</v>
          </cell>
          <cell r="V3293">
            <v>45146</v>
          </cell>
          <cell r="W3293">
            <v>45166</v>
          </cell>
          <cell r="Y3293">
            <v>45137</v>
          </cell>
          <cell r="AC3293">
            <v>45165</v>
          </cell>
        </row>
        <row r="3294">
          <cell r="I3294" t="str">
            <v>EDI</v>
          </cell>
          <cell r="L3294">
            <v>2439</v>
          </cell>
          <cell r="N3294" t="str">
            <v>Production</v>
          </cell>
          <cell r="O3294" t="str">
            <v>Everything Benefits</v>
          </cell>
          <cell r="P3294" t="str">
            <v>Production</v>
          </cell>
          <cell r="Q3294" t="str">
            <v>Cancelled</v>
          </cell>
          <cell r="R3294">
            <v>45131.685567129629</v>
          </cell>
          <cell r="S3294" t="str">
            <v>Karen Ramy</v>
          </cell>
          <cell r="T3294">
            <v>45154</v>
          </cell>
          <cell r="U3294" t="str">
            <v>Matt Howell</v>
          </cell>
          <cell r="V3294">
            <v>45181</v>
          </cell>
          <cell r="W3294">
            <v>45289</v>
          </cell>
          <cell r="Y3294">
            <v>45148</v>
          </cell>
          <cell r="AC3294">
            <v>45291</v>
          </cell>
        </row>
        <row r="3295">
          <cell r="I3295" t="str">
            <v>EDI</v>
          </cell>
          <cell r="L3295">
            <v>2441</v>
          </cell>
          <cell r="N3295" t="str">
            <v>Testing</v>
          </cell>
          <cell r="O3295" t="str">
            <v>Everything Benefits</v>
          </cell>
          <cell r="P3295" t="str">
            <v>Migration Testing</v>
          </cell>
          <cell r="Q3295" t="str">
            <v>Cancelled</v>
          </cell>
          <cell r="R3295">
            <v>45131.685567129629</v>
          </cell>
          <cell r="S3295" t="str">
            <v>Mina Kamil</v>
          </cell>
          <cell r="T3295">
            <v>45168</v>
          </cell>
          <cell r="U3295" t="str">
            <v>Matt Howell</v>
          </cell>
          <cell r="Y3295">
            <v>45162</v>
          </cell>
        </row>
        <row r="3296">
          <cell r="I3296" t="str">
            <v>EDI</v>
          </cell>
          <cell r="L3296">
            <v>2449</v>
          </cell>
          <cell r="N3296" t="str">
            <v>Production</v>
          </cell>
          <cell r="O3296" t="str">
            <v>Everything Benefits</v>
          </cell>
          <cell r="P3296" t="str">
            <v>Production</v>
          </cell>
          <cell r="Q3296" t="str">
            <v>Live</v>
          </cell>
          <cell r="R3296">
            <v>45131.685567129629</v>
          </cell>
          <cell r="S3296" t="str">
            <v>Mohamed Abdelhamed</v>
          </cell>
          <cell r="T3296">
            <v>45176</v>
          </cell>
          <cell r="U3296" t="str">
            <v>Matt Howell</v>
          </cell>
          <cell r="V3296">
            <v>45180</v>
          </cell>
          <cell r="W3296">
            <v>45222</v>
          </cell>
          <cell r="Y3296">
            <v>45176</v>
          </cell>
          <cell r="AC3296">
            <v>45221</v>
          </cell>
        </row>
        <row r="3297">
          <cell r="I3297" t="str">
            <v>EDI</v>
          </cell>
          <cell r="L3297">
            <v>2394</v>
          </cell>
          <cell r="N3297" t="str">
            <v>Production</v>
          </cell>
          <cell r="O3297" t="str">
            <v>Everything Benefits</v>
          </cell>
          <cell r="P3297" t="str">
            <v>Production</v>
          </cell>
          <cell r="Q3297" t="str">
            <v>Cancelled</v>
          </cell>
          <cell r="R3297">
            <v>45131.685567129629</v>
          </cell>
          <cell r="S3297" t="str">
            <v>Mahmoud Heidar</v>
          </cell>
          <cell r="T3297">
            <v>45158</v>
          </cell>
          <cell r="U3297" t="str">
            <v>Matt Howell</v>
          </cell>
          <cell r="V3297">
            <v>45194</v>
          </cell>
          <cell r="W3297">
            <v>45201</v>
          </cell>
          <cell r="Y3297">
            <v>45158</v>
          </cell>
          <cell r="AC3297">
            <v>45200</v>
          </cell>
        </row>
        <row r="3298">
          <cell r="I3298" t="str">
            <v>EDI</v>
          </cell>
          <cell r="L3298">
            <v>2261</v>
          </cell>
          <cell r="N3298" t="str">
            <v>Production</v>
          </cell>
          <cell r="O3298" t="str">
            <v>eBenefits Network</v>
          </cell>
          <cell r="P3298" t="str">
            <v>Production</v>
          </cell>
          <cell r="Q3298" t="str">
            <v>Cancelled</v>
          </cell>
          <cell r="R3298">
            <v>45131.503784722219</v>
          </cell>
          <cell r="S3298" t="str">
            <v>Amira Elshora</v>
          </cell>
          <cell r="T3298">
            <v>45132</v>
          </cell>
          <cell r="U3298" t="str">
            <v>Trish Kalinczok</v>
          </cell>
          <cell r="V3298">
            <v>45179</v>
          </cell>
          <cell r="W3298">
            <v>45237</v>
          </cell>
          <cell r="Y3298">
            <v>45131</v>
          </cell>
          <cell r="AC3298">
            <v>45221</v>
          </cell>
        </row>
        <row r="3299">
          <cell r="I3299" t="str">
            <v>EDI</v>
          </cell>
          <cell r="L3299">
            <v>2480</v>
          </cell>
          <cell r="N3299" t="str">
            <v>Production</v>
          </cell>
          <cell r="O3299" t="str">
            <v>Everything Benefits</v>
          </cell>
          <cell r="P3299" t="str">
            <v>Production</v>
          </cell>
          <cell r="Q3299" t="str">
            <v>Live</v>
          </cell>
          <cell r="R3299">
            <v>45128.900324074071</v>
          </cell>
          <cell r="S3299" t="str">
            <v>Mohamed Abdelhamed</v>
          </cell>
          <cell r="T3299">
            <v>45188</v>
          </cell>
          <cell r="U3299" t="str">
            <v>Trish Kalinczok</v>
          </cell>
          <cell r="V3299">
            <v>45187</v>
          </cell>
          <cell r="W3299">
            <v>45242</v>
          </cell>
          <cell r="AC3299">
            <v>45221</v>
          </cell>
        </row>
        <row r="3300">
          <cell r="I3300" t="str">
            <v>EDI</v>
          </cell>
          <cell r="L3300">
            <v>2269</v>
          </cell>
          <cell r="N3300" t="str">
            <v>Production</v>
          </cell>
          <cell r="O3300" t="str">
            <v>Everything Benefits</v>
          </cell>
          <cell r="P3300" t="str">
            <v>Production</v>
          </cell>
          <cell r="Q3300" t="str">
            <v>Live</v>
          </cell>
          <cell r="R3300">
            <v>45128.900312500002</v>
          </cell>
          <cell r="S3300" t="str">
            <v>Mohamed Abdelhamed</v>
          </cell>
          <cell r="T3300">
            <v>45137</v>
          </cell>
          <cell r="U3300" t="str">
            <v>Trish Kalinczok</v>
          </cell>
          <cell r="V3300">
            <v>45145</v>
          </cell>
          <cell r="W3300">
            <v>45173</v>
          </cell>
          <cell r="Y3300">
            <v>45134</v>
          </cell>
          <cell r="AC3300">
            <v>45172</v>
          </cell>
        </row>
        <row r="3301">
          <cell r="I3301" t="str">
            <v>EDI</v>
          </cell>
          <cell r="L3301">
            <v>2356</v>
          </cell>
          <cell r="N3301" t="str">
            <v>Production</v>
          </cell>
          <cell r="O3301" t="str">
            <v>Everything Benefits</v>
          </cell>
          <cell r="P3301" t="str">
            <v>Production</v>
          </cell>
          <cell r="Q3301" t="str">
            <v>Live</v>
          </cell>
          <cell r="R3301">
            <v>45128.892430555563</v>
          </cell>
          <cell r="S3301" t="str">
            <v>Zeyad Khaled</v>
          </cell>
          <cell r="T3301">
            <v>45152</v>
          </cell>
          <cell r="U3301" t="str">
            <v>Matt Howell</v>
          </cell>
          <cell r="V3301">
            <v>45173</v>
          </cell>
          <cell r="W3301">
            <v>45187</v>
          </cell>
          <cell r="Y3301">
            <v>45148</v>
          </cell>
          <cell r="AC3301">
            <v>45186</v>
          </cell>
        </row>
        <row r="3302">
          <cell r="I3302" t="str">
            <v>EDI</v>
          </cell>
          <cell r="L3302">
            <v>2387</v>
          </cell>
          <cell r="N3302" t="str">
            <v>Production</v>
          </cell>
          <cell r="O3302" t="str">
            <v>Everything Benefits</v>
          </cell>
          <cell r="P3302" t="str">
            <v>Production</v>
          </cell>
          <cell r="Q3302" t="str">
            <v>Live</v>
          </cell>
          <cell r="R3302">
            <v>45128.882986111108</v>
          </cell>
          <cell r="S3302" t="str">
            <v>Hazem Rostom</v>
          </cell>
          <cell r="T3302">
            <v>45144</v>
          </cell>
          <cell r="U3302" t="str">
            <v>Trish Kalinczok</v>
          </cell>
          <cell r="V3302">
            <v>45231</v>
          </cell>
          <cell r="W3302">
            <v>45243</v>
          </cell>
          <cell r="Y3302">
            <v>45144</v>
          </cell>
          <cell r="AC3302">
            <v>45241</v>
          </cell>
        </row>
        <row r="3303">
          <cell r="I3303" t="str">
            <v>EDI</v>
          </cell>
          <cell r="L3303">
            <v>2253</v>
          </cell>
          <cell r="N3303" t="str">
            <v>Production</v>
          </cell>
          <cell r="O3303" t="str">
            <v>Everything Benefits</v>
          </cell>
          <cell r="P3303" t="str">
            <v>Production</v>
          </cell>
          <cell r="Q3303" t="str">
            <v>Live</v>
          </cell>
          <cell r="R3303">
            <v>45128.882986111108</v>
          </cell>
          <cell r="S3303" t="str">
            <v>Mohamed Abdelhamed</v>
          </cell>
          <cell r="T3303">
            <v>45133</v>
          </cell>
          <cell r="U3303" t="str">
            <v>Trish Kalinczok</v>
          </cell>
          <cell r="V3303">
            <v>45167</v>
          </cell>
          <cell r="W3303">
            <v>45173</v>
          </cell>
          <cell r="Y3303">
            <v>45133</v>
          </cell>
          <cell r="AC3303">
            <v>45172</v>
          </cell>
        </row>
        <row r="3304">
          <cell r="I3304" t="str">
            <v>EDI</v>
          </cell>
          <cell r="L3304">
            <v>2452</v>
          </cell>
          <cell r="N3304" t="str">
            <v>Production</v>
          </cell>
          <cell r="O3304" t="str">
            <v>Everything Benefits</v>
          </cell>
          <cell r="P3304" t="str">
            <v>Production</v>
          </cell>
          <cell r="Q3304" t="str">
            <v>Cancelled</v>
          </cell>
          <cell r="R3304">
            <v>45128.882986111108</v>
          </cell>
          <cell r="S3304" t="str">
            <v>Alaa Yehia</v>
          </cell>
          <cell r="T3304">
            <v>45179</v>
          </cell>
          <cell r="U3304" t="str">
            <v>Trish Kalinczok</v>
          </cell>
          <cell r="V3304">
            <v>45181</v>
          </cell>
          <cell r="W3304">
            <v>45236</v>
          </cell>
          <cell r="Y3304">
            <v>45175</v>
          </cell>
          <cell r="AC3304">
            <v>45235</v>
          </cell>
        </row>
        <row r="3305">
          <cell r="I3305" t="str">
            <v>EDI</v>
          </cell>
          <cell r="L3305">
            <v>2291</v>
          </cell>
          <cell r="N3305" t="str">
            <v>Production</v>
          </cell>
          <cell r="O3305" t="str">
            <v>Everything Benefits</v>
          </cell>
          <cell r="P3305" t="str">
            <v>Production</v>
          </cell>
          <cell r="Q3305" t="str">
            <v>Cancelled</v>
          </cell>
          <cell r="R3305">
            <v>45128.735520833332</v>
          </cell>
          <cell r="S3305" t="str">
            <v>Zeyad Khaled</v>
          </cell>
          <cell r="T3305">
            <v>45138</v>
          </cell>
          <cell r="U3305" t="str">
            <v>Matt Howell</v>
          </cell>
          <cell r="V3305">
            <v>45147</v>
          </cell>
          <cell r="W3305">
            <v>45187</v>
          </cell>
          <cell r="Y3305">
            <v>45133</v>
          </cell>
          <cell r="AC3305">
            <v>45186</v>
          </cell>
        </row>
        <row r="3306">
          <cell r="I3306" t="str">
            <v>EDI</v>
          </cell>
          <cell r="L3306">
            <v>2319</v>
          </cell>
          <cell r="N3306" t="str">
            <v>Production</v>
          </cell>
          <cell r="O3306" t="str">
            <v>Everything Benefits</v>
          </cell>
          <cell r="P3306" t="str">
            <v>Production</v>
          </cell>
          <cell r="Q3306" t="str">
            <v>Live</v>
          </cell>
          <cell r="R3306">
            <v>45128.709872685176</v>
          </cell>
          <cell r="S3306" t="str">
            <v>Nada Ashraf</v>
          </cell>
          <cell r="T3306">
            <v>45138</v>
          </cell>
          <cell r="U3306" t="str">
            <v>Trish Kalinczok</v>
          </cell>
          <cell r="V3306">
            <v>45144</v>
          </cell>
          <cell r="W3306">
            <v>45173</v>
          </cell>
          <cell r="Y3306">
            <v>45133</v>
          </cell>
          <cell r="AC3306">
            <v>45172</v>
          </cell>
        </row>
        <row r="3307">
          <cell r="I3307" t="str">
            <v>EDI</v>
          </cell>
          <cell r="L3307">
            <v>2447</v>
          </cell>
          <cell r="N3307" t="str">
            <v>Production</v>
          </cell>
          <cell r="O3307" t="str">
            <v>Everything Benefits</v>
          </cell>
          <cell r="P3307" t="str">
            <v>Production</v>
          </cell>
          <cell r="Q3307" t="str">
            <v>Live</v>
          </cell>
          <cell r="R3307">
            <v>45128.709861111107</v>
          </cell>
          <cell r="S3307" t="str">
            <v>Mahmoud Heidar</v>
          </cell>
          <cell r="T3307">
            <v>45168</v>
          </cell>
          <cell r="U3307" t="str">
            <v>Trish Kalinczok</v>
          </cell>
          <cell r="V3307">
            <v>45184</v>
          </cell>
          <cell r="W3307">
            <v>45231</v>
          </cell>
          <cell r="Y3307">
            <v>45168</v>
          </cell>
          <cell r="AC3307">
            <v>45228</v>
          </cell>
        </row>
        <row r="3308">
          <cell r="I3308" t="str">
            <v>EDI</v>
          </cell>
          <cell r="L3308">
            <v>2343</v>
          </cell>
          <cell r="N3308" t="str">
            <v>Production</v>
          </cell>
          <cell r="O3308" t="str">
            <v>Everything Benefits</v>
          </cell>
          <cell r="P3308" t="str">
            <v>Production</v>
          </cell>
          <cell r="Q3308" t="str">
            <v>Live</v>
          </cell>
          <cell r="R3308">
            <v>45128.709849537037</v>
          </cell>
          <cell r="S3308" t="str">
            <v>Alaa Yehia</v>
          </cell>
          <cell r="T3308">
            <v>45147</v>
          </cell>
          <cell r="U3308" t="str">
            <v>Trish Kalinczok</v>
          </cell>
          <cell r="V3308">
            <v>45159</v>
          </cell>
          <cell r="W3308">
            <v>45341</v>
          </cell>
          <cell r="Y3308">
            <v>45145</v>
          </cell>
          <cell r="AC3308">
            <v>45340</v>
          </cell>
        </row>
        <row r="3309">
          <cell r="I3309" t="str">
            <v>EDI</v>
          </cell>
          <cell r="L3309">
            <v>2285</v>
          </cell>
          <cell r="N3309" t="str">
            <v>Production</v>
          </cell>
          <cell r="O3309" t="str">
            <v>Everything Benefits</v>
          </cell>
          <cell r="P3309" t="str">
            <v>Production</v>
          </cell>
          <cell r="Q3309" t="str">
            <v>Cancelled</v>
          </cell>
          <cell r="R3309">
            <v>45128.684629629628</v>
          </cell>
          <cell r="S3309" t="str">
            <v>Mahmoud Heidar</v>
          </cell>
          <cell r="T3309">
            <v>45137</v>
          </cell>
          <cell r="U3309" t="str">
            <v>Trish Kalinczok</v>
          </cell>
          <cell r="V3309">
            <v>45175</v>
          </cell>
          <cell r="W3309">
            <v>45224</v>
          </cell>
          <cell r="Y3309">
            <v>45137</v>
          </cell>
          <cell r="AC3309">
            <v>45221</v>
          </cell>
        </row>
        <row r="3310">
          <cell r="I3310" t="str">
            <v>EDI</v>
          </cell>
          <cell r="L3310">
            <v>2280</v>
          </cell>
          <cell r="N3310" t="str">
            <v>Production</v>
          </cell>
          <cell r="O3310" t="str">
            <v>Everything Benefits</v>
          </cell>
          <cell r="P3310" t="str">
            <v>Production</v>
          </cell>
          <cell r="Q3310" t="str">
            <v>Cancelled</v>
          </cell>
          <cell r="R3310">
            <v>45128.654814814807</v>
          </cell>
          <cell r="S3310" t="str">
            <v>Zeyad Khaled</v>
          </cell>
          <cell r="T3310">
            <v>45137</v>
          </cell>
          <cell r="U3310" t="str">
            <v>Jene Hamm</v>
          </cell>
          <cell r="V3310">
            <v>45141</v>
          </cell>
          <cell r="W3310">
            <v>45161</v>
          </cell>
          <cell r="Y3310">
            <v>45133</v>
          </cell>
          <cell r="AC3310">
            <v>45158</v>
          </cell>
        </row>
        <row r="3311">
          <cell r="I3311" t="str">
            <v>EDI</v>
          </cell>
          <cell r="L3311">
            <v>2445</v>
          </cell>
          <cell r="N3311" t="str">
            <v>Testing</v>
          </cell>
          <cell r="O3311" t="str">
            <v>Everything Benefits</v>
          </cell>
          <cell r="P3311" t="str">
            <v>Migration Testing</v>
          </cell>
          <cell r="Q3311" t="str">
            <v>Cancelled</v>
          </cell>
          <cell r="R3311">
            <v>45128.654814814807</v>
          </cell>
          <cell r="S3311" t="str">
            <v>Karen Ramy</v>
          </cell>
          <cell r="T3311">
            <v>45158</v>
          </cell>
          <cell r="U3311" t="str">
            <v>Trish Kalinczok</v>
          </cell>
          <cell r="V3311">
            <v>45182</v>
          </cell>
          <cell r="Y3311">
            <v>45154</v>
          </cell>
        </row>
        <row r="3312">
          <cell r="I3312" t="str">
            <v>EDI</v>
          </cell>
          <cell r="L3312">
            <v>2252</v>
          </cell>
          <cell r="N3312" t="str">
            <v>Production</v>
          </cell>
          <cell r="O3312" t="str">
            <v>eBenefits Network</v>
          </cell>
          <cell r="P3312" t="str">
            <v>Production</v>
          </cell>
          <cell r="Q3312" t="str">
            <v>Cancelled</v>
          </cell>
          <cell r="R3312">
            <v>45128.646458333344</v>
          </cell>
          <cell r="S3312" t="str">
            <v>Amira Elshora</v>
          </cell>
          <cell r="T3312">
            <v>45132</v>
          </cell>
          <cell r="U3312" t="str">
            <v>Trish Kalinczok</v>
          </cell>
          <cell r="V3312">
            <v>45147</v>
          </cell>
          <cell r="W3312">
            <v>45232</v>
          </cell>
          <cell r="Y3312">
            <v>45131</v>
          </cell>
          <cell r="AC3312">
            <v>45228</v>
          </cell>
        </row>
        <row r="3313">
          <cell r="I3313" t="str">
            <v>EDI</v>
          </cell>
          <cell r="N3313" t="str">
            <v>Pending Start</v>
          </cell>
          <cell r="O3313" t="str">
            <v>No</v>
          </cell>
          <cell r="Q3313" t="str">
            <v>Cancelled</v>
          </cell>
          <cell r="R3313">
            <v>45128.636562500003</v>
          </cell>
          <cell r="U3313" t="str">
            <v>Trish Kalinczok</v>
          </cell>
        </row>
        <row r="3314">
          <cell r="I3314" t="str">
            <v>EDI</v>
          </cell>
          <cell r="L3314">
            <v>2260</v>
          </cell>
          <cell r="N3314" t="str">
            <v>Production</v>
          </cell>
          <cell r="O3314" t="str">
            <v>eBenefits Network</v>
          </cell>
          <cell r="P3314" t="str">
            <v>Production</v>
          </cell>
          <cell r="Q3314" t="str">
            <v>Live</v>
          </cell>
          <cell r="R3314">
            <v>45128.603495370371</v>
          </cell>
          <cell r="S3314" t="str">
            <v>Amira Elshora</v>
          </cell>
          <cell r="T3314">
            <v>45132</v>
          </cell>
          <cell r="U3314" t="str">
            <v>Trish Kalinczok</v>
          </cell>
          <cell r="V3314">
            <v>45148</v>
          </cell>
          <cell r="W3314">
            <v>45300</v>
          </cell>
          <cell r="Y3314">
            <v>45131</v>
          </cell>
          <cell r="AC3314">
            <v>45291</v>
          </cell>
        </row>
        <row r="3315">
          <cell r="I3315" t="str">
            <v>EDI</v>
          </cell>
          <cell r="L3315">
            <v>2262</v>
          </cell>
          <cell r="N3315" t="str">
            <v>Production</v>
          </cell>
          <cell r="O3315" t="str">
            <v>eBenefits Network</v>
          </cell>
          <cell r="P3315" t="str">
            <v>Production</v>
          </cell>
          <cell r="Q3315" t="str">
            <v>Cancelled</v>
          </cell>
          <cell r="R3315">
            <v>45128.596539351849</v>
          </cell>
          <cell r="S3315" t="str">
            <v>Amira Elshora</v>
          </cell>
          <cell r="T3315">
            <v>45132</v>
          </cell>
          <cell r="U3315" t="str">
            <v>Trish Kalinczok</v>
          </cell>
          <cell r="V3315">
            <v>45180</v>
          </cell>
          <cell r="W3315">
            <v>45237</v>
          </cell>
          <cell r="Y3315">
            <v>45131</v>
          </cell>
          <cell r="AC3315">
            <v>45221</v>
          </cell>
        </row>
        <row r="3316">
          <cell r="I3316" t="str">
            <v>EDI</v>
          </cell>
          <cell r="N3316" t="str">
            <v>Pending Start</v>
          </cell>
          <cell r="O3316" t="str">
            <v>eBenefits Network</v>
          </cell>
          <cell r="P3316" t="str">
            <v>Map Under Review</v>
          </cell>
          <cell r="Q3316" t="str">
            <v>Cancelled</v>
          </cell>
          <cell r="R3316">
            <v>45127.916875000003</v>
          </cell>
          <cell r="U3316" t="str">
            <v>Trish Kalinczok</v>
          </cell>
        </row>
        <row r="3317">
          <cell r="I3317" t="str">
            <v>EDI</v>
          </cell>
          <cell r="L3317">
            <v>2305</v>
          </cell>
          <cell r="N3317" t="str">
            <v>Production</v>
          </cell>
          <cell r="O3317" t="str">
            <v>Everything Benefits</v>
          </cell>
          <cell r="P3317" t="str">
            <v>Production</v>
          </cell>
          <cell r="Q3317" t="str">
            <v>Cancelled</v>
          </cell>
          <cell r="R3317">
            <v>45127.874722222223</v>
          </cell>
          <cell r="S3317" t="str">
            <v>Nada Ashraf</v>
          </cell>
          <cell r="T3317">
            <v>45137</v>
          </cell>
          <cell r="U3317" t="str">
            <v>Matt Howell</v>
          </cell>
          <cell r="V3317">
            <v>45144</v>
          </cell>
          <cell r="W3317">
            <v>45201</v>
          </cell>
          <cell r="Y3317">
            <v>45134</v>
          </cell>
          <cell r="AC3317">
            <v>45200</v>
          </cell>
        </row>
        <row r="3318">
          <cell r="I3318" t="str">
            <v>EDI</v>
          </cell>
          <cell r="L3318">
            <v>2353</v>
          </cell>
          <cell r="N3318" t="str">
            <v>Production</v>
          </cell>
          <cell r="O3318" t="str">
            <v>Everything Benefits</v>
          </cell>
          <cell r="P3318" t="str">
            <v>Production</v>
          </cell>
          <cell r="Q3318" t="str">
            <v>Live</v>
          </cell>
          <cell r="R3318">
            <v>45127.868726851862</v>
          </cell>
          <cell r="S3318" t="str">
            <v>Salma Yamani</v>
          </cell>
          <cell r="T3318">
            <v>45174</v>
          </cell>
          <cell r="U3318" t="str">
            <v>Matt Howell</v>
          </cell>
          <cell r="V3318">
            <v>45203</v>
          </cell>
          <cell r="W3318">
            <v>45220</v>
          </cell>
          <cell r="Y3318">
            <v>45146</v>
          </cell>
          <cell r="AC3318">
            <v>45214</v>
          </cell>
        </row>
        <row r="3319">
          <cell r="I3319" t="str">
            <v>EDI</v>
          </cell>
          <cell r="L3319">
            <v>2352</v>
          </cell>
          <cell r="N3319" t="str">
            <v>Production</v>
          </cell>
          <cell r="O3319" t="str">
            <v>Everything Benefits</v>
          </cell>
          <cell r="P3319" t="str">
            <v>Production</v>
          </cell>
          <cell r="Q3319" t="str">
            <v>Live</v>
          </cell>
          <cell r="R3319">
            <v>45127.863657407397</v>
          </cell>
          <cell r="S3319" t="str">
            <v>Mahmoud Heidar</v>
          </cell>
          <cell r="T3319">
            <v>45147</v>
          </cell>
          <cell r="U3319" t="str">
            <v>Matt Howell</v>
          </cell>
          <cell r="V3319">
            <v>45185</v>
          </cell>
          <cell r="W3319">
            <v>45215</v>
          </cell>
          <cell r="Y3319">
            <v>45146</v>
          </cell>
          <cell r="AC3319">
            <v>45214</v>
          </cell>
        </row>
        <row r="3320">
          <cell r="I3320" t="str">
            <v>EDI</v>
          </cell>
          <cell r="L3320">
            <v>2368</v>
          </cell>
          <cell r="N3320" t="str">
            <v>Production</v>
          </cell>
          <cell r="O3320" t="str">
            <v>Everything Benefits</v>
          </cell>
          <cell r="P3320" t="str">
            <v>Production</v>
          </cell>
          <cell r="Q3320" t="str">
            <v>Live</v>
          </cell>
          <cell r="R3320">
            <v>45127.863657407397</v>
          </cell>
          <cell r="S3320" t="str">
            <v>Tarek Medhat</v>
          </cell>
          <cell r="T3320">
            <v>45152</v>
          </cell>
          <cell r="U3320" t="str">
            <v>Matt Howell</v>
          </cell>
          <cell r="V3320">
            <v>45187</v>
          </cell>
          <cell r="W3320">
            <v>45215</v>
          </cell>
          <cell r="Y3320">
            <v>45147</v>
          </cell>
          <cell r="AC3320">
            <v>45214</v>
          </cell>
        </row>
        <row r="3321">
          <cell r="I3321" t="str">
            <v>EDI</v>
          </cell>
          <cell r="N3321" t="str">
            <v>Requirements Gathering</v>
          </cell>
          <cell r="O3321" t="str">
            <v>Everything Benefits</v>
          </cell>
          <cell r="P3321" t="str">
            <v>Phase 1 - Map Built</v>
          </cell>
          <cell r="Q3321" t="str">
            <v>Cancelled</v>
          </cell>
          <cell r="R3321">
            <v>45127.863657407397</v>
          </cell>
          <cell r="S3321" t="str">
            <v>Sandra Adel</v>
          </cell>
          <cell r="T3321">
            <v>45131</v>
          </cell>
          <cell r="U3321" t="str">
            <v>Matt Howell</v>
          </cell>
        </row>
        <row r="3322">
          <cell r="I3322" t="str">
            <v>EDI</v>
          </cell>
          <cell r="N3322" t="str">
            <v>Requirements Gathering</v>
          </cell>
          <cell r="O3322" t="str">
            <v>eBenefits Network</v>
          </cell>
          <cell r="P3322" t="str">
            <v>Phase 1 - Map Built</v>
          </cell>
          <cell r="Q3322" t="str">
            <v>Cancelled</v>
          </cell>
          <cell r="R3322">
            <v>45127.784826388888</v>
          </cell>
          <cell r="S3322" t="str">
            <v>Karim Tarek</v>
          </cell>
          <cell r="T3322">
            <v>45131</v>
          </cell>
          <cell r="U3322" t="str">
            <v>Matt Howell</v>
          </cell>
        </row>
        <row r="3323">
          <cell r="I3323" t="str">
            <v>EDI</v>
          </cell>
          <cell r="N3323" t="str">
            <v>Requirements Gathering</v>
          </cell>
          <cell r="O3323" t="str">
            <v>eBenefits Network</v>
          </cell>
          <cell r="P3323" t="str">
            <v>Phase 1 - Map Built</v>
          </cell>
          <cell r="Q3323" t="str">
            <v>Cancelled</v>
          </cell>
          <cell r="R3323">
            <v>45127.784826388888</v>
          </cell>
          <cell r="S3323" t="str">
            <v>Karim Tarek</v>
          </cell>
          <cell r="T3323">
            <v>45131</v>
          </cell>
          <cell r="U3323" t="str">
            <v>Matt Howell</v>
          </cell>
        </row>
        <row r="3324">
          <cell r="I3324" t="str">
            <v>EDI</v>
          </cell>
          <cell r="N3324" t="str">
            <v>Requirements Gathering</v>
          </cell>
          <cell r="O3324" t="str">
            <v>eBenefits Network</v>
          </cell>
          <cell r="P3324" t="str">
            <v>Phase 1 - Map Built</v>
          </cell>
          <cell r="Q3324" t="str">
            <v>Cancelled</v>
          </cell>
          <cell r="R3324">
            <v>45127.784814814811</v>
          </cell>
          <cell r="S3324" t="str">
            <v>Karim Tarek</v>
          </cell>
          <cell r="T3324">
            <v>45131</v>
          </cell>
          <cell r="U3324" t="str">
            <v>Matt Howell</v>
          </cell>
        </row>
        <row r="3325">
          <cell r="I3325" t="str">
            <v>EDI</v>
          </cell>
          <cell r="N3325" t="str">
            <v>Requirements Gathering</v>
          </cell>
          <cell r="O3325" t="str">
            <v>eBenefits Network</v>
          </cell>
          <cell r="P3325" t="str">
            <v>Phase 1 - Map Built</v>
          </cell>
          <cell r="Q3325" t="str">
            <v>Cancelled</v>
          </cell>
          <cell r="R3325">
            <v>45127.784814814811</v>
          </cell>
          <cell r="S3325" t="str">
            <v>Karim Tarek</v>
          </cell>
          <cell r="T3325">
            <v>45131</v>
          </cell>
          <cell r="U3325" t="str">
            <v>Matt Howell</v>
          </cell>
        </row>
        <row r="3326">
          <cell r="I3326" t="str">
            <v>EDI</v>
          </cell>
          <cell r="L3326">
            <v>2365</v>
          </cell>
          <cell r="N3326" t="str">
            <v>Testing</v>
          </cell>
          <cell r="O3326" t="str">
            <v>No</v>
          </cell>
          <cell r="Q3326" t="str">
            <v>Cancelled</v>
          </cell>
          <cell r="R3326">
            <v>45127.764722222222</v>
          </cell>
          <cell r="S3326" t="str">
            <v>Aya Fathy</v>
          </cell>
          <cell r="T3326">
            <v>45155</v>
          </cell>
          <cell r="U3326" t="str">
            <v>Trish Kalinczok</v>
          </cell>
          <cell r="V3326">
            <v>45160</v>
          </cell>
          <cell r="Y3326">
            <v>45152</v>
          </cell>
        </row>
        <row r="3327">
          <cell r="I3327" t="str">
            <v>EDI</v>
          </cell>
          <cell r="L3327">
            <v>2238</v>
          </cell>
          <cell r="N3327" t="str">
            <v>Testing</v>
          </cell>
          <cell r="O3327" t="str">
            <v>No</v>
          </cell>
          <cell r="Q3327" t="str">
            <v>Cancelled</v>
          </cell>
          <cell r="R3327">
            <v>45127.741585648153</v>
          </cell>
          <cell r="S3327" t="str">
            <v>Mina Adel</v>
          </cell>
          <cell r="T3327">
            <v>45128</v>
          </cell>
          <cell r="U3327" t="str">
            <v>Heather Bawsel</v>
          </cell>
          <cell r="V3327">
            <v>45172</v>
          </cell>
        </row>
        <row r="3328">
          <cell r="I3328" t="str">
            <v>EDI</v>
          </cell>
          <cell r="L3328">
            <v>2265</v>
          </cell>
          <cell r="N3328" t="str">
            <v>Testing</v>
          </cell>
          <cell r="O3328" t="str">
            <v>Everything Benefits</v>
          </cell>
          <cell r="P3328" t="str">
            <v>Migration Testing</v>
          </cell>
          <cell r="Q3328" t="str">
            <v>Cancelled</v>
          </cell>
          <cell r="R3328">
            <v>45127.579733796287</v>
          </cell>
          <cell r="S3328" t="str">
            <v>Mahmoud Heidar</v>
          </cell>
          <cell r="T3328">
            <v>45133</v>
          </cell>
          <cell r="U3328" t="str">
            <v>Trish Kalinczok</v>
          </cell>
          <cell r="V3328">
            <v>45159</v>
          </cell>
          <cell r="Y3328">
            <v>45132</v>
          </cell>
        </row>
        <row r="3329">
          <cell r="I3329" t="str">
            <v>EDI</v>
          </cell>
          <cell r="L3329">
            <v>2249</v>
          </cell>
          <cell r="N3329" t="str">
            <v>Production</v>
          </cell>
          <cell r="O3329" t="str">
            <v>No</v>
          </cell>
          <cell r="Q3329" t="str">
            <v>Cancelled</v>
          </cell>
          <cell r="R3329">
            <v>45126.851446759261</v>
          </cell>
          <cell r="S3329" t="str">
            <v>Aya Fathy</v>
          </cell>
          <cell r="T3329">
            <v>45132</v>
          </cell>
          <cell r="U3329" t="str">
            <v>Hans De Grouw</v>
          </cell>
          <cell r="V3329">
            <v>45144</v>
          </cell>
          <cell r="W3329">
            <v>45170</v>
          </cell>
          <cell r="Y3329">
            <v>45131</v>
          </cell>
          <cell r="AC3329">
            <v>45155</v>
          </cell>
        </row>
        <row r="3330">
          <cell r="I3330" t="str">
            <v>EDI</v>
          </cell>
          <cell r="L3330">
            <v>2306</v>
          </cell>
          <cell r="N3330" t="str">
            <v>Production</v>
          </cell>
          <cell r="O3330" t="str">
            <v>No</v>
          </cell>
          <cell r="Q3330" t="str">
            <v>Cancelled</v>
          </cell>
          <cell r="R3330">
            <v>45126.814456018517</v>
          </cell>
          <cell r="S3330" t="str">
            <v>Aya Fathy</v>
          </cell>
          <cell r="T3330">
            <v>45141</v>
          </cell>
          <cell r="U3330" t="str">
            <v>Tammy Trexler</v>
          </cell>
          <cell r="V3330">
            <v>25569</v>
          </cell>
          <cell r="W3330">
            <v>45162</v>
          </cell>
          <cell r="Y3330">
            <v>45128</v>
          </cell>
          <cell r="AC3330">
            <v>45155</v>
          </cell>
        </row>
        <row r="3331">
          <cell r="I3331" t="str">
            <v>EDI</v>
          </cell>
          <cell r="L3331">
            <v>2243</v>
          </cell>
          <cell r="N3331" t="str">
            <v>Testing</v>
          </cell>
          <cell r="O3331" t="str">
            <v>Everything Benefits</v>
          </cell>
          <cell r="P3331" t="str">
            <v>Migration Testing</v>
          </cell>
          <cell r="Q3331" t="str">
            <v>Cancelled</v>
          </cell>
          <cell r="R3331">
            <v>45126.714456018519</v>
          </cell>
          <cell r="S3331" t="str">
            <v>Nada Ashraf</v>
          </cell>
          <cell r="T3331">
            <v>45131</v>
          </cell>
          <cell r="U3331" t="str">
            <v>Trish Kalinczok</v>
          </cell>
          <cell r="V3331">
            <v>45148</v>
          </cell>
          <cell r="Y3331">
            <v>45131</v>
          </cell>
        </row>
        <row r="3332">
          <cell r="I3332" t="str">
            <v>EDI</v>
          </cell>
          <cell r="L3332">
            <v>2328</v>
          </cell>
          <cell r="N3332" t="str">
            <v>Production</v>
          </cell>
          <cell r="O3332" t="str">
            <v>No</v>
          </cell>
          <cell r="Q3332" t="str">
            <v>Cancelled</v>
          </cell>
          <cell r="R3332">
            <v>45126.673888888887</v>
          </cell>
          <cell r="S3332" t="str">
            <v>Mina Adel</v>
          </cell>
          <cell r="T3332">
            <v>45141</v>
          </cell>
          <cell r="U3332" t="str">
            <v>Destinee Duncan</v>
          </cell>
          <cell r="V3332">
            <v>45249</v>
          </cell>
          <cell r="W3332">
            <v>45491</v>
          </cell>
          <cell r="Y3332">
            <v>45127</v>
          </cell>
          <cell r="AC3332">
            <v>45491</v>
          </cell>
        </row>
        <row r="3333">
          <cell r="I3333" t="str">
            <v>EDI</v>
          </cell>
          <cell r="L3333">
            <v>2468</v>
          </cell>
          <cell r="N3333" t="str">
            <v>Production</v>
          </cell>
          <cell r="O3333" t="str">
            <v>No</v>
          </cell>
          <cell r="Q3333" t="str">
            <v>Live</v>
          </cell>
          <cell r="R3333">
            <v>45126.610335648147</v>
          </cell>
          <cell r="S3333" t="str">
            <v>Joseph Atef</v>
          </cell>
          <cell r="T3333">
            <v>45172</v>
          </cell>
          <cell r="U3333" t="str">
            <v>Robbie Schappell</v>
          </cell>
          <cell r="V3333">
            <v>45200</v>
          </cell>
          <cell r="W3333">
            <v>45225</v>
          </cell>
          <cell r="Y3333">
            <v>45168</v>
          </cell>
          <cell r="AC3333">
            <v>45224</v>
          </cell>
        </row>
        <row r="3334">
          <cell r="I3334" t="str">
            <v>EDI</v>
          </cell>
          <cell r="L3334">
            <v>2327</v>
          </cell>
          <cell r="N3334" t="str">
            <v>Production</v>
          </cell>
          <cell r="O3334" t="str">
            <v>No</v>
          </cell>
          <cell r="Q3334" t="str">
            <v>Live</v>
          </cell>
          <cell r="R3334">
            <v>45126.610335648147</v>
          </cell>
          <cell r="S3334" t="str">
            <v>Andrew Ramy</v>
          </cell>
          <cell r="T3334">
            <v>45141</v>
          </cell>
          <cell r="U3334" t="str">
            <v>Robbie Schappell</v>
          </cell>
          <cell r="V3334">
            <v>45169</v>
          </cell>
          <cell r="W3334">
            <v>45264</v>
          </cell>
          <cell r="Y3334">
            <v>45132</v>
          </cell>
          <cell r="AC3334">
            <v>45263</v>
          </cell>
        </row>
        <row r="3335">
          <cell r="I3335" t="str">
            <v>EDI</v>
          </cell>
          <cell r="L3335">
            <v>2314</v>
          </cell>
          <cell r="N3335" t="str">
            <v>Production</v>
          </cell>
          <cell r="O3335" t="str">
            <v>No</v>
          </cell>
          <cell r="Q3335" t="str">
            <v>Live</v>
          </cell>
          <cell r="R3335">
            <v>45125.825590277767</v>
          </cell>
          <cell r="S3335" t="str">
            <v>Fady Maged</v>
          </cell>
          <cell r="T3335">
            <v>45141</v>
          </cell>
          <cell r="U3335" t="str">
            <v>Jene Hamm</v>
          </cell>
          <cell r="V3335">
            <v>45219</v>
          </cell>
          <cell r="W3335">
            <v>45370</v>
          </cell>
          <cell r="Y3335">
            <v>45131</v>
          </cell>
          <cell r="AC3335">
            <v>45368</v>
          </cell>
        </row>
        <row r="3336">
          <cell r="I3336" t="str">
            <v>EDI</v>
          </cell>
          <cell r="L3336">
            <v>2388</v>
          </cell>
          <cell r="N3336" t="str">
            <v>Production</v>
          </cell>
          <cell r="O3336" t="str">
            <v>No</v>
          </cell>
          <cell r="Q3336" t="str">
            <v>Live</v>
          </cell>
          <cell r="R3336">
            <v>45120.863912037043</v>
          </cell>
          <cell r="S3336" t="str">
            <v>Salma Yamani</v>
          </cell>
          <cell r="T3336">
            <v>45141</v>
          </cell>
          <cell r="U3336" t="str">
            <v>Robbie Schappell</v>
          </cell>
          <cell r="V3336">
            <v>45181</v>
          </cell>
          <cell r="W3336">
            <v>45342</v>
          </cell>
          <cell r="Y3336">
            <v>45125</v>
          </cell>
          <cell r="AC3336">
            <v>45340</v>
          </cell>
        </row>
        <row r="3337">
          <cell r="I3337" t="str">
            <v>EDI</v>
          </cell>
          <cell r="L3337">
            <v>2342</v>
          </cell>
          <cell r="N3337" t="str">
            <v>Production</v>
          </cell>
          <cell r="O3337" t="str">
            <v>No</v>
          </cell>
          <cell r="Q3337" t="str">
            <v>Cancelled</v>
          </cell>
          <cell r="R3337">
            <v>45120.841956018521</v>
          </cell>
          <cell r="S3337" t="str">
            <v>Omnia Abdelaziz</v>
          </cell>
          <cell r="T3337">
            <v>45140</v>
          </cell>
          <cell r="U3337" t="str">
            <v>Matt Howell</v>
          </cell>
          <cell r="V3337">
            <v>45291</v>
          </cell>
          <cell r="W3337">
            <v>45295</v>
          </cell>
          <cell r="Y3337">
            <v>45134</v>
          </cell>
          <cell r="AC3337">
            <v>45291</v>
          </cell>
        </row>
        <row r="3338">
          <cell r="I3338" t="str">
            <v>EDI</v>
          </cell>
          <cell r="L3338">
            <v>2324</v>
          </cell>
          <cell r="N3338" t="str">
            <v>Production</v>
          </cell>
          <cell r="O3338" t="str">
            <v>No</v>
          </cell>
          <cell r="Q3338" t="str">
            <v>Cancelled</v>
          </cell>
          <cell r="R3338">
            <v>45120.841944444437</v>
          </cell>
          <cell r="S3338" t="str">
            <v>Mina Adel</v>
          </cell>
          <cell r="T3338">
            <v>45140</v>
          </cell>
          <cell r="U3338" t="str">
            <v>Matt Howell</v>
          </cell>
          <cell r="V3338">
            <v>45267</v>
          </cell>
          <cell r="W3338">
            <v>45323</v>
          </cell>
          <cell r="Y3338">
            <v>45128</v>
          </cell>
          <cell r="AC3338">
            <v>45317</v>
          </cell>
        </row>
        <row r="3339">
          <cell r="I3339" t="str">
            <v>EDI</v>
          </cell>
          <cell r="L3339">
            <v>2345</v>
          </cell>
          <cell r="N3339" t="str">
            <v>Production</v>
          </cell>
          <cell r="O3339" t="str">
            <v>No</v>
          </cell>
          <cell r="Q3339" t="str">
            <v>Live</v>
          </cell>
          <cell r="R3339">
            <v>45120.68105324074</v>
          </cell>
          <cell r="S3339" t="str">
            <v>Mina George</v>
          </cell>
          <cell r="T3339">
            <v>45147</v>
          </cell>
          <cell r="U3339" t="str">
            <v>Tammy Davies</v>
          </cell>
          <cell r="V3339">
            <v>45266</v>
          </cell>
          <cell r="W3339">
            <v>45322</v>
          </cell>
          <cell r="Y3339">
            <v>45146</v>
          </cell>
          <cell r="AC3339">
            <v>45322</v>
          </cell>
        </row>
        <row r="3340">
          <cell r="I3340" t="str">
            <v>EDI</v>
          </cell>
          <cell r="L3340">
            <v>2240</v>
          </cell>
          <cell r="N3340" t="str">
            <v>Production</v>
          </cell>
          <cell r="O3340" t="str">
            <v>Everything Benefits</v>
          </cell>
          <cell r="P3340" t="str">
            <v>Production</v>
          </cell>
          <cell r="Q3340" t="str">
            <v>Live</v>
          </cell>
          <cell r="R3340">
            <v>45120.550416666672</v>
          </cell>
          <cell r="S3340" t="str">
            <v>Karen Ramy</v>
          </cell>
          <cell r="T3340">
            <v>45123</v>
          </cell>
          <cell r="U3340" t="str">
            <v>Jene Hamm</v>
          </cell>
          <cell r="V3340">
            <v>45182</v>
          </cell>
          <cell r="W3340">
            <v>45306</v>
          </cell>
          <cell r="Y3340">
            <v>45120</v>
          </cell>
          <cell r="AC3340">
            <v>45305</v>
          </cell>
        </row>
        <row r="3341">
          <cell r="I3341" t="str">
            <v>EDI</v>
          </cell>
          <cell r="L3341">
            <v>2222</v>
          </cell>
          <cell r="N3341" t="str">
            <v>Production</v>
          </cell>
          <cell r="O3341" t="str">
            <v>No</v>
          </cell>
          <cell r="Q3341" t="str">
            <v>Cancelled</v>
          </cell>
          <cell r="R3341">
            <v>45120.428807870368</v>
          </cell>
          <cell r="S3341" t="str">
            <v>Aya Fathy</v>
          </cell>
          <cell r="T3341">
            <v>45123</v>
          </cell>
          <cell r="U3341" t="str">
            <v>Elizabeth Kahle</v>
          </cell>
          <cell r="V3341">
            <v>45133</v>
          </cell>
          <cell r="W3341">
            <v>45141</v>
          </cell>
          <cell r="AC3341">
            <v>45140</v>
          </cell>
        </row>
        <row r="3342">
          <cell r="I3342" t="str">
            <v>EDI</v>
          </cell>
          <cell r="L3342">
            <v>2318</v>
          </cell>
          <cell r="N3342" t="str">
            <v>Production</v>
          </cell>
          <cell r="O3342" t="str">
            <v>No</v>
          </cell>
          <cell r="Q3342" t="str">
            <v>Live</v>
          </cell>
          <cell r="R3342">
            <v>45119.847303240742</v>
          </cell>
          <cell r="S3342" t="str">
            <v>Aya Fathy</v>
          </cell>
          <cell r="T3342">
            <v>45144</v>
          </cell>
          <cell r="U3342" t="str">
            <v>Tammy Trexler</v>
          </cell>
          <cell r="V3342">
            <v>45181</v>
          </cell>
          <cell r="W3342">
            <v>45225</v>
          </cell>
          <cell r="Y3342">
            <v>45144</v>
          </cell>
          <cell r="AC3342">
            <v>45221</v>
          </cell>
        </row>
        <row r="3343">
          <cell r="I3343" t="str">
            <v>EDI</v>
          </cell>
          <cell r="N3343" t="str">
            <v>Requirements Gathering</v>
          </cell>
          <cell r="O3343" t="str">
            <v>No</v>
          </cell>
          <cell r="Q3343" t="str">
            <v>Cancelled</v>
          </cell>
          <cell r="R3343">
            <v>45119.847303240742</v>
          </cell>
          <cell r="S3343" t="str">
            <v>Lourina Edmon</v>
          </cell>
          <cell r="T3343">
            <v>45120</v>
          </cell>
          <cell r="U3343" t="str">
            <v>Tammy Trexler</v>
          </cell>
        </row>
        <row r="3344">
          <cell r="I3344" t="str">
            <v>EDI</v>
          </cell>
          <cell r="L3344">
            <v>2232</v>
          </cell>
          <cell r="N3344" t="str">
            <v>Production</v>
          </cell>
          <cell r="O3344" t="str">
            <v>Everything Benefits</v>
          </cell>
          <cell r="P3344" t="str">
            <v>Production</v>
          </cell>
          <cell r="Q3344" t="str">
            <v>Live</v>
          </cell>
          <cell r="R3344">
            <v>45119.840115740742</v>
          </cell>
          <cell r="S3344" t="str">
            <v>Zeyad Khaled</v>
          </cell>
          <cell r="T3344">
            <v>45123</v>
          </cell>
          <cell r="U3344" t="str">
            <v>Matt Howell</v>
          </cell>
          <cell r="V3344">
            <v>45145</v>
          </cell>
          <cell r="W3344">
            <v>45180</v>
          </cell>
          <cell r="Y3344">
            <v>45121</v>
          </cell>
          <cell r="AC3344">
            <v>45179</v>
          </cell>
        </row>
        <row r="3345">
          <cell r="I3345" t="str">
            <v>EDI</v>
          </cell>
          <cell r="L3345">
            <v>2279</v>
          </cell>
          <cell r="N3345" t="str">
            <v>Production</v>
          </cell>
          <cell r="O3345" t="str">
            <v>Everything Benefits</v>
          </cell>
          <cell r="P3345" t="str">
            <v>Production</v>
          </cell>
          <cell r="Q3345" t="str">
            <v>Live</v>
          </cell>
          <cell r="R3345">
            <v>45119.840115740742</v>
          </cell>
          <cell r="S3345" t="str">
            <v>Zeyad Khaled</v>
          </cell>
          <cell r="T3345">
            <v>45133</v>
          </cell>
          <cell r="U3345" t="str">
            <v>Matt Howell</v>
          </cell>
          <cell r="V3345">
            <v>45141</v>
          </cell>
          <cell r="W3345">
            <v>45159</v>
          </cell>
          <cell r="Y3345">
            <v>45133</v>
          </cell>
          <cell r="AC3345">
            <v>45158</v>
          </cell>
        </row>
        <row r="3346">
          <cell r="I3346" t="str">
            <v>EDI</v>
          </cell>
          <cell r="L3346">
            <v>2310</v>
          </cell>
          <cell r="N3346" t="str">
            <v>Production</v>
          </cell>
          <cell r="O3346" t="str">
            <v>Everything Benefits</v>
          </cell>
          <cell r="P3346" t="str">
            <v>Production</v>
          </cell>
          <cell r="Q3346" t="str">
            <v>Cancelled</v>
          </cell>
          <cell r="R3346">
            <v>45119.840115740742</v>
          </cell>
          <cell r="S3346" t="str">
            <v>Karen Ramy</v>
          </cell>
          <cell r="T3346">
            <v>45133</v>
          </cell>
          <cell r="U3346" t="str">
            <v>Matt Howell</v>
          </cell>
          <cell r="V3346">
            <v>25569</v>
          </cell>
          <cell r="W3346">
            <v>45250</v>
          </cell>
          <cell r="Y3346">
            <v>45125</v>
          </cell>
          <cell r="AC3346">
            <v>45247</v>
          </cell>
        </row>
        <row r="3347">
          <cell r="I3347" t="str">
            <v>EDI</v>
          </cell>
          <cell r="L3347">
            <v>2355</v>
          </cell>
          <cell r="N3347" t="str">
            <v>Production</v>
          </cell>
          <cell r="O3347" t="str">
            <v>Everything Benefits</v>
          </cell>
          <cell r="P3347" t="str">
            <v>Production</v>
          </cell>
          <cell r="Q3347" t="str">
            <v>Cancelled</v>
          </cell>
          <cell r="R3347">
            <v>45119.840104166673</v>
          </cell>
          <cell r="S3347" t="str">
            <v>Mahmoud Ahmed</v>
          </cell>
          <cell r="T3347">
            <v>45152</v>
          </cell>
          <cell r="U3347" t="str">
            <v>Matt Howell</v>
          </cell>
          <cell r="V3347">
            <v>45168</v>
          </cell>
          <cell r="W3347">
            <v>45236</v>
          </cell>
          <cell r="Y3347">
            <v>45146</v>
          </cell>
          <cell r="AC3347">
            <v>45235</v>
          </cell>
        </row>
        <row r="3348">
          <cell r="I3348" t="str">
            <v>EDI</v>
          </cell>
          <cell r="N3348" t="str">
            <v>Requirements Gathering</v>
          </cell>
          <cell r="O3348" t="str">
            <v>Everything Benefits</v>
          </cell>
          <cell r="P3348" t="str">
            <v>Map Under Review</v>
          </cell>
          <cell r="Q3348" t="str">
            <v>Cancelled</v>
          </cell>
          <cell r="R3348">
            <v>45119.013865740737</v>
          </cell>
          <cell r="S3348" t="str">
            <v>Sandra Adel</v>
          </cell>
          <cell r="T3348">
            <v>45119</v>
          </cell>
          <cell r="U3348" t="str">
            <v>Matt Howell</v>
          </cell>
        </row>
        <row r="3349">
          <cell r="I3349" t="str">
            <v>EDI</v>
          </cell>
          <cell r="L3349">
            <v>2218</v>
          </cell>
          <cell r="N3349" t="str">
            <v>Production</v>
          </cell>
          <cell r="O3349" t="str">
            <v>Everything Benefits</v>
          </cell>
          <cell r="P3349" t="str">
            <v>Production</v>
          </cell>
          <cell r="Q3349" t="str">
            <v>Live</v>
          </cell>
          <cell r="R3349">
            <v>45118.442280092589</v>
          </cell>
          <cell r="S3349" t="str">
            <v>Karen Ramy</v>
          </cell>
          <cell r="T3349">
            <v>45118</v>
          </cell>
          <cell r="U3349" t="str">
            <v>Trish Kalinczok</v>
          </cell>
          <cell r="V3349">
            <v>45138</v>
          </cell>
          <cell r="W3349">
            <v>45180</v>
          </cell>
          <cell r="Y3349">
            <v>45118</v>
          </cell>
          <cell r="AC3349">
            <v>45179</v>
          </cell>
        </row>
        <row r="3350">
          <cell r="I3350" t="str">
            <v>EDI</v>
          </cell>
          <cell r="L3350">
            <v>2227</v>
          </cell>
          <cell r="N3350" t="str">
            <v>Production</v>
          </cell>
          <cell r="O3350" t="str">
            <v>Everything Benefits</v>
          </cell>
          <cell r="P3350" t="str">
            <v>Production</v>
          </cell>
          <cell r="Q3350" t="str">
            <v>Cancelled</v>
          </cell>
          <cell r="R3350">
            <v>45118.430324074077</v>
          </cell>
          <cell r="S3350" t="str">
            <v>Mahmoud Heidar</v>
          </cell>
          <cell r="T3350">
            <v>45123</v>
          </cell>
          <cell r="U3350" t="str">
            <v>Trish Kalinczok</v>
          </cell>
          <cell r="V3350">
            <v>45199</v>
          </cell>
          <cell r="W3350">
            <v>45302</v>
          </cell>
          <cell r="Y3350">
            <v>45118</v>
          </cell>
          <cell r="AC3350">
            <v>45301</v>
          </cell>
        </row>
        <row r="3351">
          <cell r="I3351" t="str">
            <v>EDI</v>
          </cell>
          <cell r="L3351">
            <v>2228</v>
          </cell>
          <cell r="N3351" t="str">
            <v>Production</v>
          </cell>
          <cell r="O3351" t="str">
            <v>Everything Benefits</v>
          </cell>
          <cell r="P3351" t="str">
            <v>Production</v>
          </cell>
          <cell r="Q3351" t="str">
            <v>Cancelled</v>
          </cell>
          <cell r="R3351">
            <v>45118.425937499997</v>
          </cell>
          <cell r="S3351" t="str">
            <v>Mahmoud Heidar</v>
          </cell>
          <cell r="T3351">
            <v>45123</v>
          </cell>
          <cell r="U3351" t="str">
            <v>Trish Kalinczok</v>
          </cell>
          <cell r="V3351">
            <v>45244</v>
          </cell>
          <cell r="W3351">
            <v>45425</v>
          </cell>
          <cell r="Y3351">
            <v>45118</v>
          </cell>
          <cell r="AC3351">
            <v>45425</v>
          </cell>
        </row>
        <row r="3352">
          <cell r="I3352" t="str">
            <v>EDI</v>
          </cell>
          <cell r="L3352">
            <v>2294</v>
          </cell>
          <cell r="N3352" t="str">
            <v>Production</v>
          </cell>
          <cell r="O3352" t="str">
            <v>Everything Benefits</v>
          </cell>
          <cell r="P3352" t="str">
            <v>Production</v>
          </cell>
          <cell r="Q3352" t="str">
            <v>Live</v>
          </cell>
          <cell r="R3352">
            <v>45118.05773148148</v>
          </cell>
          <cell r="S3352" t="str">
            <v>Nada Ashraf</v>
          </cell>
          <cell r="T3352">
            <v>45133</v>
          </cell>
          <cell r="U3352" t="str">
            <v>Matt Howell</v>
          </cell>
          <cell r="V3352">
            <v>45140</v>
          </cell>
          <cell r="W3352">
            <v>45173</v>
          </cell>
          <cell r="Y3352">
            <v>45127</v>
          </cell>
          <cell r="AC3352">
            <v>45172</v>
          </cell>
        </row>
        <row r="3353">
          <cell r="I3353" t="str">
            <v>EDI</v>
          </cell>
          <cell r="L3353">
            <v>2221</v>
          </cell>
          <cell r="N3353" t="str">
            <v>Production</v>
          </cell>
          <cell r="O3353" t="str">
            <v>Everything Benefits</v>
          </cell>
          <cell r="P3353" t="str">
            <v>Production</v>
          </cell>
          <cell r="Q3353" t="str">
            <v>Live</v>
          </cell>
          <cell r="R3353">
            <v>45118.05773148148</v>
          </cell>
          <cell r="S3353" t="str">
            <v>Zeyad Khaled</v>
          </cell>
          <cell r="T3353">
            <v>45119</v>
          </cell>
          <cell r="U3353" t="str">
            <v>Matt Howell</v>
          </cell>
          <cell r="V3353">
            <v>45145</v>
          </cell>
          <cell r="W3353">
            <v>45152</v>
          </cell>
          <cell r="Y3353">
            <v>45119</v>
          </cell>
          <cell r="AC3353">
            <v>45151</v>
          </cell>
        </row>
        <row r="3354">
          <cell r="I3354" t="str">
            <v>EDI</v>
          </cell>
          <cell r="L3354">
            <v>2231</v>
          </cell>
          <cell r="N3354" t="str">
            <v>Production</v>
          </cell>
          <cell r="O3354" t="str">
            <v>Everything Benefits</v>
          </cell>
          <cell r="P3354" t="str">
            <v>Production</v>
          </cell>
          <cell r="Q3354" t="str">
            <v>Live</v>
          </cell>
          <cell r="R3354">
            <v>45118.05773148148</v>
          </cell>
          <cell r="S3354" t="str">
            <v>Karen Ramy</v>
          </cell>
          <cell r="T3354">
            <v>45119</v>
          </cell>
          <cell r="U3354" t="str">
            <v>Matt Howell</v>
          </cell>
          <cell r="V3354">
            <v>45132</v>
          </cell>
          <cell r="W3354">
            <v>45194</v>
          </cell>
          <cell r="Y3354">
            <v>45118</v>
          </cell>
          <cell r="AC3354">
            <v>45193</v>
          </cell>
        </row>
        <row r="3355">
          <cell r="I3355" t="str">
            <v>EDI</v>
          </cell>
          <cell r="L3355">
            <v>2303</v>
          </cell>
          <cell r="N3355" t="str">
            <v>Production</v>
          </cell>
          <cell r="O3355" t="str">
            <v>No</v>
          </cell>
          <cell r="Q3355" t="str">
            <v>Cancelled</v>
          </cell>
          <cell r="R3355">
            <v>45118.031041666669</v>
          </cell>
          <cell r="S3355" t="str">
            <v>Mina George</v>
          </cell>
          <cell r="T3355">
            <v>45140</v>
          </cell>
          <cell r="U3355" t="str">
            <v>Vicky Wright</v>
          </cell>
          <cell r="V3355">
            <v>45173</v>
          </cell>
          <cell r="W3355">
            <v>45190</v>
          </cell>
          <cell r="Y3355">
            <v>45127</v>
          </cell>
          <cell r="AC3355">
            <v>45187</v>
          </cell>
        </row>
        <row r="3356">
          <cell r="I3356" t="str">
            <v>EDI</v>
          </cell>
          <cell r="L3356">
            <v>2357</v>
          </cell>
          <cell r="N3356" t="str">
            <v>Production</v>
          </cell>
          <cell r="O3356" t="str">
            <v>No</v>
          </cell>
          <cell r="Q3356" t="str">
            <v>Cancelled</v>
          </cell>
          <cell r="R3356">
            <v>45118.031041666669</v>
          </cell>
          <cell r="S3356" t="str">
            <v>Aya Fathy</v>
          </cell>
          <cell r="T3356">
            <v>45152</v>
          </cell>
          <cell r="U3356" t="str">
            <v>Vicky Wright</v>
          </cell>
          <cell r="V3356">
            <v>45159</v>
          </cell>
          <cell r="W3356">
            <v>45225</v>
          </cell>
          <cell r="AC3356">
            <v>45223</v>
          </cell>
        </row>
        <row r="3357">
          <cell r="I3357" t="str">
            <v>EDI</v>
          </cell>
          <cell r="L3357">
            <v>2296</v>
          </cell>
          <cell r="N3357" t="str">
            <v>Production</v>
          </cell>
          <cell r="O3357" t="str">
            <v>No</v>
          </cell>
          <cell r="Q3357" t="str">
            <v>Live</v>
          </cell>
          <cell r="R3357">
            <v>45117.895497685182</v>
          </cell>
          <cell r="S3357" t="str">
            <v>Aya Fathy</v>
          </cell>
          <cell r="T3357">
            <v>45140</v>
          </cell>
          <cell r="U3357" t="str">
            <v>Tammy Trexler</v>
          </cell>
          <cell r="V3357">
            <v>45147</v>
          </cell>
          <cell r="W3357">
            <v>45169</v>
          </cell>
          <cell r="Y3357">
            <v>45132</v>
          </cell>
          <cell r="AC3357">
            <v>45163</v>
          </cell>
        </row>
        <row r="3358">
          <cell r="I3358" t="str">
            <v>EDI</v>
          </cell>
          <cell r="L3358">
            <v>3471</v>
          </cell>
          <cell r="N3358" t="str">
            <v>Production</v>
          </cell>
          <cell r="O3358" t="str">
            <v>No</v>
          </cell>
          <cell r="Q3358" t="str">
            <v>Live</v>
          </cell>
          <cell r="R3358">
            <v>45117.895497685182</v>
          </cell>
          <cell r="S3358" t="str">
            <v>Omnia Abdelaziz</v>
          </cell>
          <cell r="T3358">
            <v>45634</v>
          </cell>
          <cell r="U3358" t="str">
            <v>Hans De Grouw</v>
          </cell>
          <cell r="V3358">
            <v>45761</v>
          </cell>
          <cell r="W3358">
            <v>46037</v>
          </cell>
          <cell r="Y3358">
            <v>45633</v>
          </cell>
          <cell r="AC3358">
            <v>46035</v>
          </cell>
        </row>
        <row r="3359">
          <cell r="I3359" t="str">
            <v>EDI</v>
          </cell>
          <cell r="N3359" t="str">
            <v>Resource Assignment</v>
          </cell>
          <cell r="O3359" t="str">
            <v>No</v>
          </cell>
          <cell r="Q3359" t="str">
            <v>Cancelled</v>
          </cell>
          <cell r="R3359">
            <v>45117.895497685182</v>
          </cell>
          <cell r="S3359" t="str">
            <v>Dina Medhat</v>
          </cell>
          <cell r="T3359">
            <v>45123</v>
          </cell>
          <cell r="U3359" t="str">
            <v>Tammy Trexler</v>
          </cell>
          <cell r="Y3359">
            <v>45123</v>
          </cell>
        </row>
        <row r="3360">
          <cell r="I3360" t="str">
            <v>EDI</v>
          </cell>
          <cell r="L3360">
            <v>2247</v>
          </cell>
          <cell r="N3360" t="str">
            <v>Production</v>
          </cell>
          <cell r="O3360" t="str">
            <v>No</v>
          </cell>
          <cell r="Q3360" t="str">
            <v>Live</v>
          </cell>
          <cell r="R3360">
            <v>45117.895486111112</v>
          </cell>
          <cell r="S3360" t="str">
            <v>Mina George</v>
          </cell>
          <cell r="T3360">
            <v>45125</v>
          </cell>
          <cell r="U3360" t="str">
            <v>Miranda Naeem</v>
          </cell>
          <cell r="V3360">
            <v>45236</v>
          </cell>
          <cell r="W3360">
            <v>45384</v>
          </cell>
          <cell r="Y3360">
            <v>45118</v>
          </cell>
          <cell r="AC3360">
            <v>45384</v>
          </cell>
        </row>
        <row r="3361">
          <cell r="I3361" t="str">
            <v>EDI</v>
          </cell>
          <cell r="L3361">
            <v>2354</v>
          </cell>
          <cell r="N3361" t="str">
            <v>Production</v>
          </cell>
          <cell r="O3361" t="str">
            <v>No</v>
          </cell>
          <cell r="Q3361" t="str">
            <v>Cancelled</v>
          </cell>
          <cell r="R3361">
            <v>45117.895486111112</v>
          </cell>
          <cell r="S3361" t="str">
            <v>Andrew Ramy</v>
          </cell>
          <cell r="T3361">
            <v>45151</v>
          </cell>
          <cell r="U3361" t="str">
            <v>Tammy Trexler</v>
          </cell>
          <cell r="V3361">
            <v>45180</v>
          </cell>
          <cell r="W3361">
            <v>45225</v>
          </cell>
          <cell r="Y3361">
            <v>45148</v>
          </cell>
          <cell r="AC3361">
            <v>45221</v>
          </cell>
        </row>
        <row r="3362">
          <cell r="I3362" t="str">
            <v>EDI</v>
          </cell>
          <cell r="L3362">
            <v>2344</v>
          </cell>
          <cell r="N3362" t="str">
            <v>Production</v>
          </cell>
          <cell r="O3362" t="str">
            <v>No</v>
          </cell>
          <cell r="Q3362" t="str">
            <v>Cancelled</v>
          </cell>
          <cell r="R3362">
            <v>45117.762164351851</v>
          </cell>
          <cell r="S3362" t="str">
            <v>Andrew Ramy</v>
          </cell>
          <cell r="T3362">
            <v>45140</v>
          </cell>
          <cell r="U3362" t="str">
            <v>Matt Howell</v>
          </cell>
          <cell r="V3362">
            <v>45249</v>
          </cell>
          <cell r="W3362">
            <v>45370</v>
          </cell>
          <cell r="Y3362">
            <v>45120</v>
          </cell>
          <cell r="AC3362">
            <v>45362</v>
          </cell>
        </row>
        <row r="3363">
          <cell r="I3363" t="str">
            <v>EDI</v>
          </cell>
          <cell r="L3363">
            <v>2313</v>
          </cell>
          <cell r="N3363" t="str">
            <v>Production</v>
          </cell>
          <cell r="O3363" t="str">
            <v>No</v>
          </cell>
          <cell r="Q3363" t="str">
            <v>Live</v>
          </cell>
          <cell r="R3363">
            <v>45117.762164351851</v>
          </cell>
          <cell r="S3363" t="str">
            <v>Nada Ashraf</v>
          </cell>
          <cell r="T3363">
            <v>45342</v>
          </cell>
          <cell r="U3363" t="str">
            <v>Matt Howell</v>
          </cell>
          <cell r="V3363">
            <v>25569</v>
          </cell>
          <cell r="W3363">
            <v>45435</v>
          </cell>
          <cell r="Y3363">
            <v>45127</v>
          </cell>
          <cell r="AC3363">
            <v>45434</v>
          </cell>
        </row>
        <row r="3364">
          <cell r="I3364" t="str">
            <v>EDI</v>
          </cell>
          <cell r="L3364">
            <v>2216</v>
          </cell>
          <cell r="N3364" t="str">
            <v>Production</v>
          </cell>
          <cell r="O3364" t="str">
            <v>No</v>
          </cell>
          <cell r="Q3364" t="str">
            <v>Live</v>
          </cell>
          <cell r="R3364">
            <v>45117.647175925929</v>
          </cell>
          <cell r="S3364" t="str">
            <v>Mina Adel</v>
          </cell>
          <cell r="T3364">
            <v>45119</v>
          </cell>
          <cell r="U3364" t="str">
            <v>Robbie Schappell</v>
          </cell>
          <cell r="V3364">
            <v>45139</v>
          </cell>
          <cell r="W3364">
            <v>45148</v>
          </cell>
          <cell r="Y3364">
            <v>45118</v>
          </cell>
          <cell r="AC3364">
            <v>45147</v>
          </cell>
        </row>
        <row r="3365">
          <cell r="I3365" t="str">
            <v>EDI</v>
          </cell>
          <cell r="L3365">
            <v>2211</v>
          </cell>
          <cell r="N3365" t="str">
            <v>Testing</v>
          </cell>
          <cell r="O3365" t="str">
            <v>Everything Benefits</v>
          </cell>
          <cell r="P3365" t="str">
            <v>Migration Testing</v>
          </cell>
          <cell r="Q3365" t="str">
            <v>Cancelled</v>
          </cell>
          <cell r="R3365">
            <v>45114.914571759262</v>
          </cell>
          <cell r="S3365" t="str">
            <v>Karim Tarek</v>
          </cell>
          <cell r="T3365">
            <v>45237</v>
          </cell>
          <cell r="U3365" t="str">
            <v>Matt Howell</v>
          </cell>
          <cell r="V3365">
            <v>45176</v>
          </cell>
        </row>
        <row r="3366">
          <cell r="I3366" t="str">
            <v>EDI</v>
          </cell>
          <cell r="L3366">
            <v>2225</v>
          </cell>
          <cell r="N3366" t="str">
            <v>Production</v>
          </cell>
          <cell r="O3366" t="str">
            <v>Everything Benefits</v>
          </cell>
          <cell r="P3366" t="str">
            <v>Production</v>
          </cell>
          <cell r="Q3366" t="str">
            <v>Live</v>
          </cell>
          <cell r="R3366">
            <v>45114.896666666667</v>
          </cell>
          <cell r="S3366" t="str">
            <v>Nada Ashraf</v>
          </cell>
          <cell r="T3366">
            <v>45123</v>
          </cell>
          <cell r="U3366" t="str">
            <v>Matt Howell</v>
          </cell>
          <cell r="V3366">
            <v>45131</v>
          </cell>
          <cell r="W3366">
            <v>45184</v>
          </cell>
          <cell r="Y3366">
            <v>45118</v>
          </cell>
          <cell r="AC3366">
            <v>45179</v>
          </cell>
        </row>
        <row r="3367">
          <cell r="I3367" t="str">
            <v>EDI</v>
          </cell>
          <cell r="N3367" t="str">
            <v>Requirements Gathering</v>
          </cell>
          <cell r="O3367" t="str">
            <v>Everything Benefits</v>
          </cell>
          <cell r="P3367" t="str">
            <v>Phase 1 - Map Built</v>
          </cell>
          <cell r="Q3367" t="str">
            <v>Cancelled</v>
          </cell>
          <cell r="R3367">
            <v>45114.862407407411</v>
          </cell>
          <cell r="S3367" t="str">
            <v>Lourina Edmon</v>
          </cell>
          <cell r="T3367">
            <v>45116</v>
          </cell>
          <cell r="U3367" t="str">
            <v>Matt Howell</v>
          </cell>
        </row>
        <row r="3368">
          <cell r="I3368" t="str">
            <v>EDI</v>
          </cell>
          <cell r="L3368">
            <v>2210</v>
          </cell>
          <cell r="N3368" t="str">
            <v>Production</v>
          </cell>
          <cell r="O3368" t="str">
            <v>Everything Benefits</v>
          </cell>
          <cell r="P3368" t="str">
            <v>Production</v>
          </cell>
          <cell r="Q3368" t="str">
            <v>Live</v>
          </cell>
          <cell r="R3368">
            <v>45114.831921296303</v>
          </cell>
          <cell r="S3368" t="str">
            <v>Mahmoud Heidar</v>
          </cell>
          <cell r="T3368">
            <v>45118</v>
          </cell>
          <cell r="U3368" t="str">
            <v>Trish Kalinczok</v>
          </cell>
          <cell r="V3368">
            <v>25569</v>
          </cell>
          <cell r="W3368">
            <v>45279</v>
          </cell>
          <cell r="Y3368">
            <v>45118</v>
          </cell>
          <cell r="AC3368">
            <v>45265</v>
          </cell>
        </row>
        <row r="3369">
          <cell r="I3369" t="str">
            <v>EDI</v>
          </cell>
          <cell r="L3369">
            <v>2251</v>
          </cell>
          <cell r="N3369" t="str">
            <v>Production</v>
          </cell>
          <cell r="O3369" t="str">
            <v>Everything Benefits</v>
          </cell>
          <cell r="P3369" t="str">
            <v>Production</v>
          </cell>
          <cell r="Q3369" t="str">
            <v>Live</v>
          </cell>
          <cell r="R3369">
            <v>45114.828159722223</v>
          </cell>
          <cell r="S3369" t="str">
            <v>Karen Ramy</v>
          </cell>
          <cell r="T3369">
            <v>45125</v>
          </cell>
          <cell r="U3369" t="str">
            <v>Trish Kalinczok</v>
          </cell>
          <cell r="V3369">
            <v>45138</v>
          </cell>
          <cell r="W3369">
            <v>25569</v>
          </cell>
          <cell r="Y3369">
            <v>45123</v>
          </cell>
          <cell r="AC3369">
            <v>45235</v>
          </cell>
        </row>
        <row r="3370">
          <cell r="I3370" t="str">
            <v>EDI</v>
          </cell>
          <cell r="L3370">
            <v>2246</v>
          </cell>
          <cell r="N3370" t="str">
            <v>Production</v>
          </cell>
          <cell r="O3370" t="str">
            <v>Everything Benefits</v>
          </cell>
          <cell r="P3370" t="str">
            <v>Production</v>
          </cell>
          <cell r="Q3370" t="str">
            <v>Live</v>
          </cell>
          <cell r="R3370">
            <v>45114.82671296296</v>
          </cell>
          <cell r="S3370" t="str">
            <v>Mohamed Abdelhamed</v>
          </cell>
          <cell r="T3370">
            <v>45132</v>
          </cell>
          <cell r="U3370" t="str">
            <v>Trish Kalinczok</v>
          </cell>
          <cell r="V3370">
            <v>45137</v>
          </cell>
          <cell r="W3370">
            <v>45175</v>
          </cell>
          <cell r="Y3370">
            <v>45123</v>
          </cell>
          <cell r="AC3370">
            <v>45172</v>
          </cell>
        </row>
        <row r="3371">
          <cell r="I3371" t="str">
            <v>EDI</v>
          </cell>
          <cell r="L3371">
            <v>2244</v>
          </cell>
          <cell r="N3371" t="str">
            <v>Production</v>
          </cell>
          <cell r="O3371" t="str">
            <v>Everything Benefits</v>
          </cell>
          <cell r="P3371" t="str">
            <v>Production</v>
          </cell>
          <cell r="Q3371" t="str">
            <v>Live</v>
          </cell>
          <cell r="R3371">
            <v>45114.746215277781</v>
          </cell>
          <cell r="S3371" t="str">
            <v>Mohamed Abdelhamed</v>
          </cell>
          <cell r="T3371">
            <v>45132</v>
          </cell>
          <cell r="U3371" t="str">
            <v>Trish Kalinczok</v>
          </cell>
          <cell r="V3371">
            <v>45176</v>
          </cell>
          <cell r="W3371">
            <v>45180</v>
          </cell>
          <cell r="Y3371">
            <v>45119</v>
          </cell>
          <cell r="AC3371">
            <v>45179</v>
          </cell>
        </row>
        <row r="3372">
          <cell r="I3372" t="str">
            <v>EDI</v>
          </cell>
          <cell r="L3372">
            <v>2219</v>
          </cell>
          <cell r="N3372" t="str">
            <v>Production</v>
          </cell>
          <cell r="O3372" t="str">
            <v>Everything Benefits</v>
          </cell>
          <cell r="P3372" t="str">
            <v>Production</v>
          </cell>
          <cell r="Q3372" t="str">
            <v>Live</v>
          </cell>
          <cell r="R3372">
            <v>45114.741249999999</v>
          </cell>
          <cell r="S3372" t="str">
            <v>Karen Ramy</v>
          </cell>
          <cell r="T3372">
            <v>45118</v>
          </cell>
          <cell r="U3372" t="str">
            <v>Trish Kalinczok</v>
          </cell>
          <cell r="V3372">
            <v>45138</v>
          </cell>
          <cell r="W3372">
            <v>45180</v>
          </cell>
          <cell r="Y3372">
            <v>45118</v>
          </cell>
          <cell r="AC3372">
            <v>45179</v>
          </cell>
        </row>
        <row r="3373">
          <cell r="I3373" t="str">
            <v>EDI</v>
          </cell>
          <cell r="L3373">
            <v>2258</v>
          </cell>
          <cell r="N3373" t="str">
            <v>Production</v>
          </cell>
          <cell r="O3373" t="str">
            <v>Everything Benefits</v>
          </cell>
          <cell r="P3373" t="str">
            <v>Production</v>
          </cell>
          <cell r="Q3373" t="str">
            <v>Live</v>
          </cell>
          <cell r="R3373">
            <v>45114.734907407408</v>
          </cell>
          <cell r="S3373" t="str">
            <v>Mohamed Abdelhamed</v>
          </cell>
          <cell r="T3373">
            <v>45134</v>
          </cell>
          <cell r="U3373" t="str">
            <v>Trish Kalinczok</v>
          </cell>
          <cell r="V3373">
            <v>45176</v>
          </cell>
          <cell r="W3373">
            <v>25569</v>
          </cell>
          <cell r="Y3373">
            <v>45125</v>
          </cell>
          <cell r="AC3373">
            <v>45186</v>
          </cell>
        </row>
        <row r="3374">
          <cell r="I3374" t="str">
            <v>EDI</v>
          </cell>
          <cell r="L3374">
            <v>2229</v>
          </cell>
          <cell r="N3374" t="str">
            <v>Production</v>
          </cell>
          <cell r="O3374" t="str">
            <v>Everything Benefits</v>
          </cell>
          <cell r="P3374" t="str">
            <v>Production</v>
          </cell>
          <cell r="Q3374" t="str">
            <v>Cancelled</v>
          </cell>
          <cell r="R3374">
            <v>45114.729212962957</v>
          </cell>
          <cell r="S3374" t="str">
            <v>Mahmoud Heidar</v>
          </cell>
          <cell r="T3374">
            <v>45124</v>
          </cell>
          <cell r="U3374" t="str">
            <v>Trish Kalinczok</v>
          </cell>
          <cell r="V3374">
            <v>45199</v>
          </cell>
          <cell r="W3374">
            <v>45302</v>
          </cell>
          <cell r="Y3374">
            <v>45124</v>
          </cell>
          <cell r="AC3374">
            <v>45301</v>
          </cell>
        </row>
        <row r="3375">
          <cell r="I3375" t="str">
            <v>EDI</v>
          </cell>
          <cell r="L3375">
            <v>2311</v>
          </cell>
          <cell r="N3375" t="str">
            <v>Production</v>
          </cell>
          <cell r="O3375" t="str">
            <v>Everything Benefits</v>
          </cell>
          <cell r="P3375" t="str">
            <v>Production</v>
          </cell>
          <cell r="Q3375" t="str">
            <v>Live</v>
          </cell>
          <cell r="R3375">
            <v>45114.717731481483</v>
          </cell>
          <cell r="S3375" t="str">
            <v>Karen Ramy</v>
          </cell>
          <cell r="T3375">
            <v>45137</v>
          </cell>
          <cell r="U3375" t="str">
            <v>Trish Kalinczok</v>
          </cell>
          <cell r="V3375">
            <v>45146</v>
          </cell>
          <cell r="W3375">
            <v>45190</v>
          </cell>
          <cell r="Y3375">
            <v>45120</v>
          </cell>
          <cell r="AC3375">
            <v>45186</v>
          </cell>
        </row>
        <row r="3376">
          <cell r="I3376" t="str">
            <v>EDI</v>
          </cell>
          <cell r="L3376">
            <v>2250</v>
          </cell>
          <cell r="N3376" t="str">
            <v>Production</v>
          </cell>
          <cell r="O3376" t="str">
            <v>Everything Benefits</v>
          </cell>
          <cell r="P3376" t="str">
            <v>Production</v>
          </cell>
          <cell r="Q3376" t="str">
            <v>Cancelled</v>
          </cell>
          <cell r="R3376">
            <v>45114.702719907407</v>
          </cell>
          <cell r="S3376" t="str">
            <v>Mahmoud Heidar</v>
          </cell>
          <cell r="T3376">
            <v>45132</v>
          </cell>
          <cell r="U3376" t="str">
            <v>Trish Kalinczok</v>
          </cell>
          <cell r="V3376">
            <v>45152</v>
          </cell>
          <cell r="W3376">
            <v>45215</v>
          </cell>
          <cell r="Y3376">
            <v>45131</v>
          </cell>
          <cell r="AC3376">
            <v>45214</v>
          </cell>
        </row>
        <row r="3377">
          <cell r="I3377" t="str">
            <v>EDI</v>
          </cell>
          <cell r="L3377">
            <v>2278</v>
          </cell>
          <cell r="N3377" t="str">
            <v>Production</v>
          </cell>
          <cell r="O3377" t="str">
            <v>Everything Benefits</v>
          </cell>
          <cell r="P3377" t="str">
            <v>Production</v>
          </cell>
          <cell r="Q3377" t="str">
            <v>Live</v>
          </cell>
          <cell r="R3377">
            <v>45113.945694444446</v>
          </cell>
          <cell r="S3377" t="str">
            <v>Zeyad Khaled</v>
          </cell>
          <cell r="T3377">
            <v>45132</v>
          </cell>
          <cell r="U3377" t="str">
            <v>Matt Howell</v>
          </cell>
          <cell r="W3377">
            <v>45166</v>
          </cell>
          <cell r="Y3377">
            <v>45126</v>
          </cell>
          <cell r="AC3377">
            <v>45165</v>
          </cell>
        </row>
        <row r="3378">
          <cell r="I3378" t="str">
            <v>EDI</v>
          </cell>
          <cell r="L3378">
            <v>2286</v>
          </cell>
          <cell r="N3378" t="str">
            <v>Production</v>
          </cell>
          <cell r="O3378" t="str">
            <v>Everything Benefits</v>
          </cell>
          <cell r="P3378" t="str">
            <v>Production</v>
          </cell>
          <cell r="Q3378" t="str">
            <v>Live</v>
          </cell>
          <cell r="R3378">
            <v>45113.906678240739</v>
          </cell>
          <cell r="S3378" t="str">
            <v>Karen Ramy</v>
          </cell>
          <cell r="T3378">
            <v>45131</v>
          </cell>
          <cell r="U3378" t="str">
            <v>Matt Howell</v>
          </cell>
          <cell r="V3378">
            <v>25569</v>
          </cell>
          <cell r="W3378">
            <v>25569</v>
          </cell>
          <cell r="Y3378">
            <v>45119</v>
          </cell>
          <cell r="AC3378">
            <v>45241</v>
          </cell>
        </row>
        <row r="3379">
          <cell r="I3379" t="str">
            <v>EDI</v>
          </cell>
          <cell r="L3379">
            <v>2281</v>
          </cell>
          <cell r="N3379" t="str">
            <v>Production</v>
          </cell>
          <cell r="O3379" t="str">
            <v>No</v>
          </cell>
          <cell r="Q3379" t="str">
            <v>Live</v>
          </cell>
          <cell r="R3379">
            <v>45113.885162037041</v>
          </cell>
          <cell r="S3379" t="str">
            <v>Aya Fathy</v>
          </cell>
          <cell r="T3379">
            <v>45138</v>
          </cell>
          <cell r="U3379" t="str">
            <v>Robbie Schappell</v>
          </cell>
          <cell r="V3379">
            <v>45147</v>
          </cell>
          <cell r="W3379">
            <v>45161</v>
          </cell>
          <cell r="Y3379">
            <v>45123</v>
          </cell>
          <cell r="AC3379">
            <v>45155</v>
          </cell>
        </row>
        <row r="3380">
          <cell r="I3380" t="str">
            <v>EDI</v>
          </cell>
          <cell r="L3380">
            <v>2302</v>
          </cell>
          <cell r="N3380" t="str">
            <v>Production</v>
          </cell>
          <cell r="O3380" t="str">
            <v>No</v>
          </cell>
          <cell r="Q3380" t="str">
            <v>Live</v>
          </cell>
          <cell r="R3380">
            <v>45113.883229166669</v>
          </cell>
          <cell r="S3380" t="str">
            <v>Mina George</v>
          </cell>
          <cell r="T3380">
            <v>45138</v>
          </cell>
          <cell r="U3380" t="str">
            <v>Robbie Schappell</v>
          </cell>
          <cell r="V3380">
            <v>45154</v>
          </cell>
          <cell r="W3380">
            <v>45177</v>
          </cell>
          <cell r="Y3380">
            <v>45123</v>
          </cell>
          <cell r="AC3380">
            <v>45166</v>
          </cell>
        </row>
        <row r="3381">
          <cell r="I3381" t="str">
            <v>EDI</v>
          </cell>
          <cell r="L3381">
            <v>2224</v>
          </cell>
          <cell r="N3381" t="str">
            <v>Testing</v>
          </cell>
          <cell r="O3381" t="str">
            <v>Everything Benefits</v>
          </cell>
          <cell r="P3381" t="str">
            <v>Migration Testing</v>
          </cell>
          <cell r="Q3381" t="str">
            <v>Cancelled</v>
          </cell>
          <cell r="R3381">
            <v>45113.879236111112</v>
          </cell>
          <cell r="S3381" t="str">
            <v>Nada Ashraf</v>
          </cell>
          <cell r="T3381">
            <v>45118</v>
          </cell>
          <cell r="U3381" t="str">
            <v>Trish Kalinczok</v>
          </cell>
          <cell r="V3381">
            <v>45139</v>
          </cell>
          <cell r="Y3381">
            <v>45117</v>
          </cell>
        </row>
        <row r="3382">
          <cell r="I3382" t="str">
            <v>EDI</v>
          </cell>
          <cell r="L3382">
            <v>2212</v>
          </cell>
          <cell r="N3382" t="str">
            <v>Production</v>
          </cell>
          <cell r="O3382" t="str">
            <v>Everything Benefits</v>
          </cell>
          <cell r="P3382" t="str">
            <v>Production</v>
          </cell>
          <cell r="Q3382" t="str">
            <v>Cancelled</v>
          </cell>
          <cell r="R3382">
            <v>45113.837581018517</v>
          </cell>
          <cell r="S3382" t="str">
            <v>Zeyad Khaled</v>
          </cell>
          <cell r="T3382">
            <v>45118</v>
          </cell>
          <cell r="U3382" t="str">
            <v>Trish Kalinczok</v>
          </cell>
          <cell r="V3382">
            <v>45138</v>
          </cell>
          <cell r="W3382">
            <v>45159</v>
          </cell>
          <cell r="AC3382">
            <v>45158</v>
          </cell>
        </row>
        <row r="3383">
          <cell r="I3383" t="str">
            <v>EDI</v>
          </cell>
          <cell r="N3383" t="str">
            <v>Pending Start</v>
          </cell>
          <cell r="O3383" t="str">
            <v>Everything Benefits</v>
          </cell>
          <cell r="P3383" t="str">
            <v>Map Under Review</v>
          </cell>
          <cell r="Q3383" t="str">
            <v>Cancelled</v>
          </cell>
          <cell r="R3383">
            <v>45113.813680555562</v>
          </cell>
          <cell r="U3383" t="str">
            <v>Trish Kalinczok</v>
          </cell>
        </row>
        <row r="3384">
          <cell r="I3384" t="str">
            <v>EDI</v>
          </cell>
          <cell r="L3384">
            <v>2242</v>
          </cell>
          <cell r="N3384" t="str">
            <v>Production</v>
          </cell>
          <cell r="O3384" t="str">
            <v>Everything Benefits</v>
          </cell>
          <cell r="P3384" t="str">
            <v>Production</v>
          </cell>
          <cell r="Q3384" t="str">
            <v>Live</v>
          </cell>
          <cell r="R3384">
            <v>45113.802534722221</v>
          </cell>
          <cell r="S3384" t="str">
            <v>Nada Ashraf</v>
          </cell>
          <cell r="T3384">
            <v>45125</v>
          </cell>
          <cell r="U3384" t="str">
            <v>Trish Kalinczok</v>
          </cell>
          <cell r="V3384">
            <v>45138</v>
          </cell>
          <cell r="W3384">
            <v>45208</v>
          </cell>
          <cell r="Y3384">
            <v>45123</v>
          </cell>
          <cell r="AC3384">
            <v>45207</v>
          </cell>
        </row>
        <row r="3385">
          <cell r="I3385" t="str">
            <v>EDI</v>
          </cell>
          <cell r="L3385">
            <v>2430</v>
          </cell>
          <cell r="N3385" t="str">
            <v>Production</v>
          </cell>
          <cell r="O3385" t="str">
            <v>Everything Benefits</v>
          </cell>
          <cell r="P3385" t="str">
            <v>Production</v>
          </cell>
          <cell r="Q3385" t="str">
            <v>Cancelled</v>
          </cell>
          <cell r="R3385">
            <v>45113.791944444441</v>
          </cell>
          <cell r="S3385" t="str">
            <v>Tarek Medhat</v>
          </cell>
          <cell r="T3385">
            <v>45165</v>
          </cell>
          <cell r="U3385" t="str">
            <v>Trish Kalinczok</v>
          </cell>
          <cell r="V3385">
            <v>45200</v>
          </cell>
          <cell r="W3385">
            <v>45292</v>
          </cell>
          <cell r="Y3385">
            <v>45161</v>
          </cell>
          <cell r="AC3385">
            <v>45277</v>
          </cell>
        </row>
        <row r="3386">
          <cell r="I3386" t="str">
            <v>EDI</v>
          </cell>
          <cell r="L3386">
            <v>2230</v>
          </cell>
          <cell r="N3386" t="str">
            <v>Production</v>
          </cell>
          <cell r="O3386" t="str">
            <v>Everything Benefits</v>
          </cell>
          <cell r="P3386" t="str">
            <v>Production</v>
          </cell>
          <cell r="Q3386" t="str">
            <v>Cancelled</v>
          </cell>
          <cell r="R3386">
            <v>45113.780787037038</v>
          </cell>
          <cell r="S3386" t="str">
            <v>Mahmoud Heidar</v>
          </cell>
          <cell r="T3386">
            <v>45119</v>
          </cell>
          <cell r="U3386" t="str">
            <v>Trish Kalinczok</v>
          </cell>
          <cell r="V3386">
            <v>45133</v>
          </cell>
          <cell r="W3386">
            <v>45187</v>
          </cell>
          <cell r="AC3386">
            <v>45179</v>
          </cell>
        </row>
        <row r="3387">
          <cell r="I3387" t="str">
            <v>EDI</v>
          </cell>
          <cell r="L3387">
            <v>2223</v>
          </cell>
          <cell r="N3387" t="str">
            <v>Production</v>
          </cell>
          <cell r="O3387" t="str">
            <v>Everything Benefits</v>
          </cell>
          <cell r="P3387" t="str">
            <v>Production</v>
          </cell>
          <cell r="Q3387" t="str">
            <v>Live</v>
          </cell>
          <cell r="R3387">
            <v>45113.768275462957</v>
          </cell>
          <cell r="S3387" t="str">
            <v>Nada Ashraf</v>
          </cell>
          <cell r="T3387">
            <v>45119</v>
          </cell>
          <cell r="U3387" t="str">
            <v>Trish Kalinczok</v>
          </cell>
          <cell r="V3387">
            <v>45123</v>
          </cell>
          <cell r="W3387">
            <v>45159</v>
          </cell>
          <cell r="AC3387">
            <v>45158</v>
          </cell>
        </row>
        <row r="3388">
          <cell r="I3388" t="str">
            <v>EDI</v>
          </cell>
          <cell r="L3388">
            <v>2206</v>
          </cell>
          <cell r="N3388" t="str">
            <v>Testing</v>
          </cell>
          <cell r="O3388" t="str">
            <v>Everything Benefits</v>
          </cell>
          <cell r="P3388" t="str">
            <v>Phase 3</v>
          </cell>
          <cell r="Q3388" t="str">
            <v>Cancelled</v>
          </cell>
          <cell r="R3388">
            <v>45112.609884259262</v>
          </cell>
          <cell r="S3388" t="str">
            <v>Nada Ashraf</v>
          </cell>
          <cell r="T3388">
            <v>45117</v>
          </cell>
          <cell r="U3388" t="str">
            <v>Trish Kalinczok</v>
          </cell>
          <cell r="V3388">
            <v>45138</v>
          </cell>
          <cell r="Y3388">
            <v>45116</v>
          </cell>
        </row>
        <row r="3389">
          <cell r="I3389" t="str">
            <v>EDI</v>
          </cell>
          <cell r="L3389">
            <v>2241</v>
          </cell>
          <cell r="N3389" t="str">
            <v>Resource Assignment</v>
          </cell>
          <cell r="O3389" t="str">
            <v>Everything Benefits</v>
          </cell>
          <cell r="P3389" t="str">
            <v>Map Under Review</v>
          </cell>
          <cell r="Q3389" t="str">
            <v>Cancelled</v>
          </cell>
          <cell r="R3389">
            <v>45112.597986111112</v>
          </cell>
          <cell r="S3389" t="str">
            <v>Rasha Wadie</v>
          </cell>
          <cell r="T3389">
            <v>45118</v>
          </cell>
          <cell r="U3389" t="str">
            <v>Jene Hamm</v>
          </cell>
          <cell r="Y3389">
            <v>45118</v>
          </cell>
        </row>
        <row r="3390">
          <cell r="I3390" t="str">
            <v>EDI</v>
          </cell>
          <cell r="L3390">
            <v>2209</v>
          </cell>
          <cell r="N3390" t="str">
            <v>Production</v>
          </cell>
          <cell r="O3390" t="str">
            <v>Everything Benefits</v>
          </cell>
          <cell r="P3390" t="str">
            <v>Production</v>
          </cell>
          <cell r="Q3390" t="str">
            <v>Cancelled</v>
          </cell>
          <cell r="R3390">
            <v>45112.573796296303</v>
          </cell>
          <cell r="S3390" t="str">
            <v>Karen Ramy</v>
          </cell>
          <cell r="T3390">
            <v>45117</v>
          </cell>
          <cell r="U3390" t="str">
            <v>Trish Kalinczok</v>
          </cell>
          <cell r="V3390">
            <v>45124</v>
          </cell>
          <cell r="W3390">
            <v>45187</v>
          </cell>
          <cell r="AC3390">
            <v>45186</v>
          </cell>
        </row>
        <row r="3391">
          <cell r="I3391" t="str">
            <v>EDI</v>
          </cell>
          <cell r="L3391">
            <v>2237</v>
          </cell>
          <cell r="N3391" t="str">
            <v>Production</v>
          </cell>
          <cell r="O3391" t="str">
            <v>No</v>
          </cell>
          <cell r="Q3391" t="str">
            <v>Live</v>
          </cell>
          <cell r="R3391">
            <v>45110.925219907411</v>
          </cell>
          <cell r="S3391" t="str">
            <v>Omnia Abdelaziz</v>
          </cell>
          <cell r="T3391">
            <v>45126</v>
          </cell>
          <cell r="U3391" t="str">
            <v>Tammy Davies</v>
          </cell>
          <cell r="V3391">
            <v>45145</v>
          </cell>
          <cell r="W3391">
            <v>45174</v>
          </cell>
          <cell r="Y3391">
            <v>45126</v>
          </cell>
          <cell r="AC3391">
            <v>45168</v>
          </cell>
        </row>
        <row r="3392">
          <cell r="I3392" t="str">
            <v>EDI</v>
          </cell>
          <cell r="L3392">
            <v>2398</v>
          </cell>
          <cell r="N3392" t="str">
            <v>Production</v>
          </cell>
          <cell r="O3392" t="str">
            <v>No</v>
          </cell>
          <cell r="Q3392" t="str">
            <v>Live</v>
          </cell>
          <cell r="R3392">
            <v>45110.925219907411</v>
          </cell>
          <cell r="S3392" t="str">
            <v>Joseph Atef</v>
          </cell>
          <cell r="T3392">
            <v>45138</v>
          </cell>
          <cell r="U3392" t="str">
            <v>Tammy Davies</v>
          </cell>
          <cell r="V3392">
            <v>45208</v>
          </cell>
          <cell r="W3392">
            <v>45336</v>
          </cell>
          <cell r="Y3392">
            <v>45120</v>
          </cell>
          <cell r="AC3392">
            <v>45335</v>
          </cell>
        </row>
        <row r="3393">
          <cell r="I3393" t="str">
            <v>EDI</v>
          </cell>
          <cell r="L3393">
            <v>2255</v>
          </cell>
          <cell r="N3393" t="str">
            <v>Production</v>
          </cell>
          <cell r="O3393" t="str">
            <v>No</v>
          </cell>
          <cell r="Q3393" t="str">
            <v>Live</v>
          </cell>
          <cell r="R3393">
            <v>45107.755277777767</v>
          </cell>
          <cell r="S3393" t="str">
            <v>Omnia Abdelaziz</v>
          </cell>
          <cell r="T3393">
            <v>45133</v>
          </cell>
          <cell r="U3393" t="str">
            <v>Hans De Grouw</v>
          </cell>
          <cell r="V3393">
            <v>45165</v>
          </cell>
          <cell r="W3393">
            <v>45226</v>
          </cell>
          <cell r="Y3393">
            <v>45131</v>
          </cell>
          <cell r="AC3393">
            <v>45217</v>
          </cell>
        </row>
        <row r="3394">
          <cell r="I3394" t="str">
            <v>EDI</v>
          </cell>
          <cell r="L3394">
            <v>2282</v>
          </cell>
          <cell r="N3394" t="str">
            <v>Production</v>
          </cell>
          <cell r="O3394" t="str">
            <v>No</v>
          </cell>
          <cell r="Q3394" t="str">
            <v>Live</v>
          </cell>
          <cell r="R3394">
            <v>45107.755277777767</v>
          </cell>
          <cell r="S3394" t="str">
            <v>Alaa Yehia</v>
          </cell>
          <cell r="T3394">
            <v>45132</v>
          </cell>
          <cell r="U3394" t="str">
            <v>Hans De Grouw</v>
          </cell>
          <cell r="V3394">
            <v>45146</v>
          </cell>
          <cell r="W3394">
            <v>45211</v>
          </cell>
          <cell r="Y3394">
            <v>45120</v>
          </cell>
          <cell r="AC3394">
            <v>45211</v>
          </cell>
        </row>
        <row r="3395">
          <cell r="I3395" t="str">
            <v>EDI</v>
          </cell>
          <cell r="L3395">
            <v>2266</v>
          </cell>
          <cell r="N3395" t="str">
            <v>Mapping</v>
          </cell>
          <cell r="O3395" t="str">
            <v>No</v>
          </cell>
          <cell r="Q3395" t="str">
            <v>Cancelled</v>
          </cell>
          <cell r="R3395">
            <v>45107.755277777767</v>
          </cell>
          <cell r="S3395" t="str">
            <v>Mina George</v>
          </cell>
          <cell r="T3395">
            <v>45133</v>
          </cell>
          <cell r="U3395" t="str">
            <v>Hans De Grouw</v>
          </cell>
          <cell r="Y3395">
            <v>45123</v>
          </cell>
        </row>
        <row r="3396">
          <cell r="I3396" t="str">
            <v>EDI</v>
          </cell>
          <cell r="L3396">
            <v>2208</v>
          </cell>
          <cell r="N3396" t="str">
            <v>Production</v>
          </cell>
          <cell r="O3396" t="str">
            <v>Everything Benefits</v>
          </cell>
          <cell r="P3396" t="str">
            <v>Production</v>
          </cell>
          <cell r="Q3396" t="str">
            <v>Live</v>
          </cell>
          <cell r="R3396">
            <v>45107.648692129631</v>
          </cell>
          <cell r="S3396" t="str">
            <v>Mahmoud Heidar</v>
          </cell>
          <cell r="T3396">
            <v>45116</v>
          </cell>
          <cell r="U3396" t="str">
            <v>Trish Kalinczok</v>
          </cell>
          <cell r="V3396">
            <v>45131</v>
          </cell>
          <cell r="W3396">
            <v>45229</v>
          </cell>
          <cell r="AC3396">
            <v>45228</v>
          </cell>
        </row>
        <row r="3397">
          <cell r="I3397" t="str">
            <v>EDI</v>
          </cell>
          <cell r="N3397" t="str">
            <v>Resource Assignment</v>
          </cell>
          <cell r="O3397" t="str">
            <v>No</v>
          </cell>
          <cell r="Q3397" t="str">
            <v>Cancelled</v>
          </cell>
          <cell r="R3397">
            <v>45106.651238425933</v>
          </cell>
          <cell r="S3397" t="str">
            <v>Dina Medhat</v>
          </cell>
          <cell r="T3397">
            <v>45117</v>
          </cell>
          <cell r="U3397" t="str">
            <v>Hans De Grouw</v>
          </cell>
          <cell r="Y3397">
            <v>45117</v>
          </cell>
        </row>
        <row r="3398">
          <cell r="I3398" t="str">
            <v>EDI</v>
          </cell>
          <cell r="L3398">
            <v>2233</v>
          </cell>
          <cell r="N3398" t="str">
            <v>Production</v>
          </cell>
          <cell r="O3398" t="str">
            <v>No</v>
          </cell>
          <cell r="Q3398" t="str">
            <v>Live</v>
          </cell>
          <cell r="R3398">
            <v>45105.86010416667</v>
          </cell>
          <cell r="S3398" t="str">
            <v>Mina George</v>
          </cell>
          <cell r="T3398">
            <v>45123</v>
          </cell>
          <cell r="U3398" t="str">
            <v>Hans De Grouw</v>
          </cell>
          <cell r="V3398">
            <v>45137</v>
          </cell>
          <cell r="W3398">
            <v>45153</v>
          </cell>
          <cell r="Y3398">
            <v>45113</v>
          </cell>
          <cell r="AC3398">
            <v>45146</v>
          </cell>
        </row>
        <row r="3399">
          <cell r="I3399" t="str">
            <v>EDI</v>
          </cell>
          <cell r="L3399">
            <v>2399</v>
          </cell>
          <cell r="N3399" t="str">
            <v>Production</v>
          </cell>
          <cell r="O3399" t="str">
            <v>No</v>
          </cell>
          <cell r="Q3399" t="str">
            <v>Live</v>
          </cell>
          <cell r="R3399">
            <v>45105.853865740741</v>
          </cell>
          <cell r="S3399" t="str">
            <v>Joseph Atef</v>
          </cell>
          <cell r="T3399">
            <v>45146</v>
          </cell>
          <cell r="U3399" t="str">
            <v>Hans De Grouw</v>
          </cell>
          <cell r="V3399">
            <v>45273</v>
          </cell>
          <cell r="W3399">
            <v>45415</v>
          </cell>
          <cell r="Y3399">
            <v>45144</v>
          </cell>
          <cell r="AC3399">
            <v>45413</v>
          </cell>
        </row>
        <row r="3400">
          <cell r="I3400" t="str">
            <v>EDI</v>
          </cell>
          <cell r="L3400">
            <v>2312</v>
          </cell>
          <cell r="N3400" t="str">
            <v>Production</v>
          </cell>
          <cell r="O3400" t="str">
            <v>No</v>
          </cell>
          <cell r="Q3400" t="str">
            <v>Live</v>
          </cell>
          <cell r="R3400">
            <v>45105.853865740741</v>
          </cell>
          <cell r="S3400" t="str">
            <v>Fady Maged</v>
          </cell>
          <cell r="T3400">
            <v>45131</v>
          </cell>
          <cell r="U3400" t="str">
            <v>Hans De Grouw</v>
          </cell>
          <cell r="V3400">
            <v>25569</v>
          </cell>
          <cell r="W3400">
            <v>25569</v>
          </cell>
          <cell r="Y3400">
            <v>45119</v>
          </cell>
          <cell r="AC3400">
            <v>45209</v>
          </cell>
        </row>
        <row r="3401">
          <cell r="I3401" t="str">
            <v>EDI</v>
          </cell>
          <cell r="L3401">
            <v>2358</v>
          </cell>
          <cell r="N3401" t="str">
            <v>Production</v>
          </cell>
          <cell r="O3401" t="str">
            <v>No</v>
          </cell>
          <cell r="Q3401" t="str">
            <v>Live</v>
          </cell>
          <cell r="R3401">
            <v>45105.853865740741</v>
          </cell>
          <cell r="S3401" t="str">
            <v>Aya Fathy</v>
          </cell>
          <cell r="T3401">
            <v>45231</v>
          </cell>
          <cell r="U3401" t="str">
            <v>Hans De Grouw</v>
          </cell>
          <cell r="V3401">
            <v>45183</v>
          </cell>
          <cell r="W3401">
            <v>45261</v>
          </cell>
          <cell r="Y3401">
            <v>45140</v>
          </cell>
          <cell r="AC3401">
            <v>45258</v>
          </cell>
        </row>
        <row r="3402">
          <cell r="I3402" t="str">
            <v>EDI</v>
          </cell>
          <cell r="L3402">
            <v>2213</v>
          </cell>
          <cell r="N3402" t="str">
            <v>Production</v>
          </cell>
          <cell r="O3402" t="str">
            <v>No</v>
          </cell>
          <cell r="Q3402" t="str">
            <v>Live</v>
          </cell>
          <cell r="R3402">
            <v>45105.853854166657</v>
          </cell>
          <cell r="S3402" t="str">
            <v>Mina Adel</v>
          </cell>
          <cell r="T3402">
            <v>45118</v>
          </cell>
          <cell r="U3402" t="str">
            <v>Hans De Grouw</v>
          </cell>
          <cell r="V3402">
            <v>45125</v>
          </cell>
          <cell r="W3402">
            <v>45170</v>
          </cell>
          <cell r="Y3402">
            <v>45118</v>
          </cell>
          <cell r="AC3402">
            <v>45153</v>
          </cell>
        </row>
        <row r="3403">
          <cell r="I3403" t="str">
            <v>EDI</v>
          </cell>
          <cell r="L3403">
            <v>2325</v>
          </cell>
          <cell r="N3403" t="str">
            <v>Production</v>
          </cell>
          <cell r="O3403" t="str">
            <v>No</v>
          </cell>
          <cell r="Q3403" t="str">
            <v>Live</v>
          </cell>
          <cell r="R3403">
            <v>45105.853854166657</v>
          </cell>
          <cell r="S3403" t="str">
            <v>Joseph Atef</v>
          </cell>
          <cell r="T3403">
            <v>45123</v>
          </cell>
          <cell r="U3403" t="str">
            <v>Hans De Grouw</v>
          </cell>
          <cell r="V3403">
            <v>45181</v>
          </cell>
          <cell r="W3403">
            <v>45282</v>
          </cell>
          <cell r="Y3403">
            <v>45113</v>
          </cell>
          <cell r="AC3403">
            <v>45277</v>
          </cell>
        </row>
        <row r="3404">
          <cell r="I3404" t="str">
            <v>EDI</v>
          </cell>
          <cell r="L3404">
            <v>2268</v>
          </cell>
          <cell r="N3404" t="str">
            <v>Production</v>
          </cell>
          <cell r="O3404" t="str">
            <v>No</v>
          </cell>
          <cell r="Q3404" t="str">
            <v>Cancelled</v>
          </cell>
          <cell r="R3404">
            <v>45105.771689814806</v>
          </cell>
          <cell r="S3404" t="str">
            <v>Andrew Ramy</v>
          </cell>
          <cell r="T3404">
            <v>45131</v>
          </cell>
          <cell r="U3404" t="str">
            <v>Tammy Davies</v>
          </cell>
          <cell r="V3404">
            <v>45154</v>
          </cell>
          <cell r="W3404">
            <v>45307</v>
          </cell>
          <cell r="Y3404">
            <v>45118</v>
          </cell>
          <cell r="AC3404">
            <v>45307</v>
          </cell>
        </row>
        <row r="3405">
          <cell r="I3405" t="str">
            <v>EDI</v>
          </cell>
          <cell r="L3405">
            <v>2267</v>
          </cell>
          <cell r="N3405" t="str">
            <v>Production</v>
          </cell>
          <cell r="O3405" t="str">
            <v>No</v>
          </cell>
          <cell r="Q3405" t="str">
            <v>Cancelled</v>
          </cell>
          <cell r="R3405">
            <v>45105.556793981479</v>
          </cell>
          <cell r="S3405" t="str">
            <v>Andrew Ramy</v>
          </cell>
          <cell r="T3405">
            <v>45123</v>
          </cell>
          <cell r="U3405" t="str">
            <v>Jene Hamm</v>
          </cell>
          <cell r="V3405">
            <v>45158</v>
          </cell>
          <cell r="W3405">
            <v>45198</v>
          </cell>
          <cell r="Y3405">
            <v>45106</v>
          </cell>
          <cell r="AC3405">
            <v>45196</v>
          </cell>
        </row>
        <row r="3406">
          <cell r="I3406" t="str">
            <v>EDI</v>
          </cell>
          <cell r="L3406">
            <v>2248</v>
          </cell>
          <cell r="N3406" t="str">
            <v>Production</v>
          </cell>
          <cell r="O3406" t="str">
            <v>No</v>
          </cell>
          <cell r="Q3406" t="str">
            <v>Cancelled</v>
          </cell>
          <cell r="R3406">
            <v>45103.877083333333</v>
          </cell>
          <cell r="S3406" t="str">
            <v>Mina Adel</v>
          </cell>
          <cell r="T3406">
            <v>45126</v>
          </cell>
          <cell r="U3406" t="str">
            <v>Matt Howell</v>
          </cell>
          <cell r="V3406">
            <v>45151</v>
          </cell>
          <cell r="W3406">
            <v>45176</v>
          </cell>
          <cell r="Y3406">
            <v>45110</v>
          </cell>
          <cell r="AC3406">
            <v>45172</v>
          </cell>
        </row>
        <row r="3407">
          <cell r="I3407" t="str">
            <v>EDI</v>
          </cell>
          <cell r="L3407">
            <v>2235</v>
          </cell>
          <cell r="N3407" t="str">
            <v>Production</v>
          </cell>
          <cell r="O3407" t="str">
            <v>No</v>
          </cell>
          <cell r="Q3407" t="str">
            <v>Cancelled</v>
          </cell>
          <cell r="R3407">
            <v>45103.877083333333</v>
          </cell>
          <cell r="S3407" t="str">
            <v>Alaa Yehia</v>
          </cell>
          <cell r="T3407">
            <v>45125</v>
          </cell>
          <cell r="U3407" t="str">
            <v>Matt Howell</v>
          </cell>
          <cell r="V3407">
            <v>45158</v>
          </cell>
          <cell r="W3407">
            <v>45169</v>
          </cell>
          <cell r="Y3407">
            <v>45124</v>
          </cell>
          <cell r="AC3407">
            <v>45165</v>
          </cell>
        </row>
        <row r="3408">
          <cell r="I3408" t="str">
            <v>EDI</v>
          </cell>
          <cell r="L3408">
            <v>2193</v>
          </cell>
          <cell r="N3408" t="str">
            <v>Production</v>
          </cell>
          <cell r="O3408" t="str">
            <v>No</v>
          </cell>
          <cell r="Q3408" t="str">
            <v>Cancelled</v>
          </cell>
          <cell r="R3408">
            <v>45103.877083333333</v>
          </cell>
          <cell r="S3408" t="str">
            <v>Mina Adel</v>
          </cell>
          <cell r="T3408">
            <v>45112</v>
          </cell>
          <cell r="U3408" t="str">
            <v>Matt Howell</v>
          </cell>
          <cell r="V3408">
            <v>45132</v>
          </cell>
          <cell r="W3408">
            <v>25569</v>
          </cell>
          <cell r="Y3408">
            <v>45111</v>
          </cell>
          <cell r="AC3408">
            <v>45207</v>
          </cell>
        </row>
        <row r="3409">
          <cell r="I3409" t="str">
            <v>EDI</v>
          </cell>
          <cell r="L3409">
            <v>2378</v>
          </cell>
          <cell r="N3409" t="str">
            <v>Production</v>
          </cell>
          <cell r="O3409" t="str">
            <v>No</v>
          </cell>
          <cell r="Q3409" t="str">
            <v>Cancelled</v>
          </cell>
          <cell r="R3409">
            <v>45103.877083333333</v>
          </cell>
          <cell r="S3409" t="str">
            <v>Mina George</v>
          </cell>
          <cell r="T3409">
            <v>45154</v>
          </cell>
          <cell r="U3409" t="str">
            <v>Matt Howell</v>
          </cell>
          <cell r="V3409">
            <v>45162</v>
          </cell>
          <cell r="W3409">
            <v>45267</v>
          </cell>
          <cell r="Y3409">
            <v>45151</v>
          </cell>
          <cell r="AC3409">
            <v>45259</v>
          </cell>
        </row>
        <row r="3410">
          <cell r="I3410" t="str">
            <v>EDI</v>
          </cell>
          <cell r="L3410">
            <v>2245</v>
          </cell>
          <cell r="N3410" t="str">
            <v>Production</v>
          </cell>
          <cell r="O3410" t="str">
            <v>No</v>
          </cell>
          <cell r="Q3410" t="str">
            <v>Live</v>
          </cell>
          <cell r="R3410">
            <v>45103.705601851849</v>
          </cell>
          <cell r="S3410" t="str">
            <v>Mina Adel</v>
          </cell>
          <cell r="T3410">
            <v>45123</v>
          </cell>
          <cell r="U3410" t="str">
            <v>Trish Kalinczok</v>
          </cell>
          <cell r="V3410">
            <v>45145</v>
          </cell>
          <cell r="W3410">
            <v>45152</v>
          </cell>
          <cell r="Y3410">
            <v>45110</v>
          </cell>
          <cell r="AC3410">
            <v>45146</v>
          </cell>
        </row>
        <row r="3411">
          <cell r="I3411" t="str">
            <v>EDI</v>
          </cell>
          <cell r="L3411">
            <v>2226</v>
          </cell>
          <cell r="N3411" t="str">
            <v>Production</v>
          </cell>
          <cell r="O3411" t="str">
            <v>No</v>
          </cell>
          <cell r="Q3411" t="str">
            <v>Cancelled</v>
          </cell>
          <cell r="R3411">
            <v>45103.673703703702</v>
          </cell>
          <cell r="S3411" t="str">
            <v>Omnia Abdelaziz</v>
          </cell>
          <cell r="T3411">
            <v>45123</v>
          </cell>
          <cell r="U3411" t="str">
            <v>Julio Figueroa</v>
          </cell>
          <cell r="V3411">
            <v>45132</v>
          </cell>
          <cell r="W3411">
            <v>45156</v>
          </cell>
          <cell r="Y3411">
            <v>45110</v>
          </cell>
          <cell r="AC3411">
            <v>45155</v>
          </cell>
        </row>
        <row r="3412">
          <cell r="I3412" t="str">
            <v>EDI</v>
          </cell>
          <cell r="L3412">
            <v>2264</v>
          </cell>
          <cell r="N3412" t="str">
            <v>Production</v>
          </cell>
          <cell r="O3412" t="str">
            <v>No</v>
          </cell>
          <cell r="Q3412" t="str">
            <v>Cancelled</v>
          </cell>
          <cell r="R3412">
            <v>45099.859456018523</v>
          </cell>
          <cell r="S3412" t="str">
            <v>Joseph Atef</v>
          </cell>
          <cell r="T3412">
            <v>45231</v>
          </cell>
          <cell r="U3412" t="str">
            <v>Laurence Peters</v>
          </cell>
          <cell r="V3412">
            <v>45159</v>
          </cell>
          <cell r="W3412">
            <v>45300</v>
          </cell>
          <cell r="Y3412">
            <v>45111</v>
          </cell>
          <cell r="AC3412">
            <v>45299</v>
          </cell>
        </row>
        <row r="3413">
          <cell r="I3413" t="str">
            <v>EDI</v>
          </cell>
          <cell r="L3413">
            <v>2215</v>
          </cell>
          <cell r="N3413" t="str">
            <v>Production</v>
          </cell>
          <cell r="O3413" t="str">
            <v>No</v>
          </cell>
          <cell r="Q3413" t="str">
            <v>Cancelled</v>
          </cell>
          <cell r="R3413">
            <v>45098.747754629629</v>
          </cell>
          <cell r="S3413" t="str">
            <v>Mina Adel</v>
          </cell>
          <cell r="T3413">
            <v>45116</v>
          </cell>
          <cell r="U3413" t="str">
            <v>Tammy Davies</v>
          </cell>
          <cell r="V3413">
            <v>25569</v>
          </cell>
          <cell r="Y3413">
            <v>45099</v>
          </cell>
          <cell r="AC3413">
            <v>45345</v>
          </cell>
        </row>
        <row r="3414">
          <cell r="I3414" t="str">
            <v>EDI</v>
          </cell>
          <cell r="L3414">
            <v>2202</v>
          </cell>
          <cell r="N3414" t="str">
            <v>Production</v>
          </cell>
          <cell r="O3414" t="str">
            <v>Everything Benefits</v>
          </cell>
          <cell r="P3414" t="str">
            <v>Production</v>
          </cell>
          <cell r="Q3414" t="str">
            <v>Live</v>
          </cell>
          <cell r="R3414">
            <v>45098.698055555556</v>
          </cell>
          <cell r="S3414" t="str">
            <v>Karim Tarek</v>
          </cell>
          <cell r="T3414">
            <v>45237</v>
          </cell>
          <cell r="U3414" t="str">
            <v>Trish Kalinczok</v>
          </cell>
          <cell r="V3414">
            <v>45138</v>
          </cell>
          <cell r="W3414">
            <v>25569</v>
          </cell>
          <cell r="Y3414">
            <v>45110</v>
          </cell>
          <cell r="AC3414">
            <v>45291</v>
          </cell>
        </row>
        <row r="3415">
          <cell r="I3415" t="str">
            <v>EDI</v>
          </cell>
          <cell r="L3415">
            <v>2192</v>
          </cell>
          <cell r="N3415" t="str">
            <v>Production</v>
          </cell>
          <cell r="O3415" t="str">
            <v>No</v>
          </cell>
          <cell r="Q3415" t="str">
            <v>Cancelled</v>
          </cell>
          <cell r="R3415">
            <v>45097.750821759262</v>
          </cell>
          <cell r="S3415" t="str">
            <v>Mina Kamil</v>
          </cell>
          <cell r="T3415">
            <v>45111</v>
          </cell>
          <cell r="U3415" t="str">
            <v>Trish Kalinczok</v>
          </cell>
          <cell r="W3415">
            <v>45176</v>
          </cell>
          <cell r="Y3415">
            <v>45102</v>
          </cell>
          <cell r="AC3415">
            <v>45169</v>
          </cell>
        </row>
        <row r="3416">
          <cell r="I3416" t="str">
            <v>EDI</v>
          </cell>
          <cell r="L3416">
            <v>2380</v>
          </cell>
          <cell r="N3416" t="str">
            <v>Production</v>
          </cell>
          <cell r="O3416" t="str">
            <v>No</v>
          </cell>
          <cell r="Q3416" t="str">
            <v>Cancelled</v>
          </cell>
          <cell r="R3416">
            <v>45097.661516203712</v>
          </cell>
          <cell r="S3416" t="str">
            <v>Andrew Ramy</v>
          </cell>
          <cell r="T3416">
            <v>45231</v>
          </cell>
          <cell r="U3416" t="str">
            <v>Jene Hamm</v>
          </cell>
          <cell r="V3416">
            <v>45266</v>
          </cell>
          <cell r="W3416">
            <v>25569</v>
          </cell>
          <cell r="Y3416">
            <v>45153</v>
          </cell>
          <cell r="AC3416">
            <v>45312</v>
          </cell>
        </row>
        <row r="3417">
          <cell r="I3417" t="str">
            <v>EDI</v>
          </cell>
          <cell r="L3417">
            <v>2191</v>
          </cell>
          <cell r="N3417" t="str">
            <v>Production</v>
          </cell>
          <cell r="O3417" t="str">
            <v>No</v>
          </cell>
          <cell r="Q3417" t="str">
            <v>Cancelled</v>
          </cell>
          <cell r="R3417">
            <v>45097.591365740736</v>
          </cell>
          <cell r="S3417" t="str">
            <v>Mina George</v>
          </cell>
          <cell r="T3417">
            <v>45102</v>
          </cell>
          <cell r="U3417" t="str">
            <v>Jene Hamm</v>
          </cell>
          <cell r="V3417">
            <v>45126</v>
          </cell>
          <cell r="W3417">
            <v>45386</v>
          </cell>
          <cell r="Y3417">
            <v>45098</v>
          </cell>
          <cell r="AC3417">
            <v>45379</v>
          </cell>
        </row>
        <row r="3418">
          <cell r="I3418" t="str">
            <v>EDI</v>
          </cell>
          <cell r="N3418" t="str">
            <v>Pending Start</v>
          </cell>
          <cell r="O3418" t="str">
            <v>Everything Benefits</v>
          </cell>
          <cell r="P3418" t="str">
            <v>Map Under Review</v>
          </cell>
          <cell r="Q3418" t="str">
            <v>Cancelled</v>
          </cell>
          <cell r="R3418">
            <v>45097.430243055547</v>
          </cell>
          <cell r="U3418" t="str">
            <v>Jene Hamm</v>
          </cell>
        </row>
        <row r="3419">
          <cell r="I3419" t="str">
            <v>EDI</v>
          </cell>
          <cell r="N3419" t="str">
            <v>Pending Start</v>
          </cell>
          <cell r="O3419" t="str">
            <v>Everything Benefits</v>
          </cell>
          <cell r="P3419" t="str">
            <v>Map Under Review</v>
          </cell>
          <cell r="Q3419" t="str">
            <v>Cancelled</v>
          </cell>
          <cell r="R3419">
            <v>45097.428437499999</v>
          </cell>
          <cell r="U3419" t="str">
            <v>Jene Hamm</v>
          </cell>
        </row>
        <row r="3420">
          <cell r="I3420" t="str">
            <v>EDI</v>
          </cell>
          <cell r="L3420">
            <v>2234</v>
          </cell>
          <cell r="N3420" t="str">
            <v>Production</v>
          </cell>
          <cell r="O3420" t="str">
            <v>No</v>
          </cell>
          <cell r="Q3420" t="str">
            <v>Live</v>
          </cell>
          <cell r="R3420">
            <v>45096.692175925928</v>
          </cell>
          <cell r="S3420" t="str">
            <v>Andrew Ramy</v>
          </cell>
          <cell r="T3420">
            <v>45116</v>
          </cell>
          <cell r="U3420" t="str">
            <v>Matt Howell</v>
          </cell>
          <cell r="V3420">
            <v>45159</v>
          </cell>
          <cell r="W3420">
            <v>45232</v>
          </cell>
          <cell r="Y3420">
            <v>45113</v>
          </cell>
          <cell r="AC3420">
            <v>45230</v>
          </cell>
        </row>
        <row r="3421">
          <cell r="I3421" t="str">
            <v>EDI</v>
          </cell>
          <cell r="L3421">
            <v>2207</v>
          </cell>
          <cell r="N3421" t="str">
            <v>Production</v>
          </cell>
          <cell r="O3421" t="str">
            <v>No</v>
          </cell>
          <cell r="Q3421" t="str">
            <v>Live</v>
          </cell>
          <cell r="R3421">
            <v>45096.692175925928</v>
          </cell>
          <cell r="S3421" t="str">
            <v>Tarek Medhat</v>
          </cell>
          <cell r="T3421">
            <v>45111</v>
          </cell>
          <cell r="U3421" t="str">
            <v>Matt Howell</v>
          </cell>
          <cell r="V3421">
            <v>45124</v>
          </cell>
          <cell r="W3421">
            <v>25569</v>
          </cell>
          <cell r="Y3421">
            <v>45099</v>
          </cell>
          <cell r="AC3421">
            <v>45162</v>
          </cell>
        </row>
        <row r="3422">
          <cell r="I3422" t="str">
            <v>EDI</v>
          </cell>
          <cell r="L3422">
            <v>2350</v>
          </cell>
          <cell r="N3422" t="str">
            <v>Production</v>
          </cell>
          <cell r="O3422" t="str">
            <v>No</v>
          </cell>
          <cell r="Q3422" t="str">
            <v>Cancelled</v>
          </cell>
          <cell r="R3422">
            <v>45093.724548611113</v>
          </cell>
          <cell r="S3422" t="str">
            <v>Andrew Ramy</v>
          </cell>
          <cell r="T3422">
            <v>45146</v>
          </cell>
          <cell r="U3422" t="str">
            <v>Miranda Naeem</v>
          </cell>
          <cell r="V3422">
            <v>45169</v>
          </cell>
          <cell r="W3422">
            <v>45271</v>
          </cell>
          <cell r="Y3422">
            <v>45144</v>
          </cell>
          <cell r="AC3422">
            <v>45270</v>
          </cell>
        </row>
        <row r="3423">
          <cell r="I3423" t="str">
            <v>EDI</v>
          </cell>
          <cell r="L3423">
            <v>2185</v>
          </cell>
          <cell r="N3423" t="str">
            <v>Production</v>
          </cell>
          <cell r="O3423" t="str">
            <v>No</v>
          </cell>
          <cell r="Q3423" t="str">
            <v>Cancelled</v>
          </cell>
          <cell r="R3423">
            <v>45092.846550925933</v>
          </cell>
          <cell r="S3423" t="str">
            <v>Tarek Medhat</v>
          </cell>
          <cell r="T3423">
            <v>45102</v>
          </cell>
          <cell r="U3423" t="str">
            <v>Trish Kalinczok</v>
          </cell>
          <cell r="V3423">
            <v>45161</v>
          </cell>
          <cell r="W3423">
            <v>25569</v>
          </cell>
          <cell r="Y3423">
            <v>45097</v>
          </cell>
          <cell r="AC3423">
            <v>45257</v>
          </cell>
        </row>
        <row r="3424">
          <cell r="I3424" t="str">
            <v>EDI</v>
          </cell>
          <cell r="L3424">
            <v>2217</v>
          </cell>
          <cell r="N3424" t="str">
            <v>Production</v>
          </cell>
          <cell r="O3424" t="str">
            <v>No</v>
          </cell>
          <cell r="Q3424" t="str">
            <v>Cancelled</v>
          </cell>
          <cell r="R3424">
            <v>45092.785370370373</v>
          </cell>
          <cell r="S3424" t="str">
            <v>Mahmoud Ahmed</v>
          </cell>
          <cell r="T3424">
            <v>45111</v>
          </cell>
          <cell r="U3424" t="str">
            <v>Robbie Schappell</v>
          </cell>
          <cell r="V3424">
            <v>45177</v>
          </cell>
          <cell r="W3424">
            <v>45379</v>
          </cell>
          <cell r="Y3424">
            <v>45105</v>
          </cell>
          <cell r="AC3424">
            <v>45377</v>
          </cell>
        </row>
        <row r="3425">
          <cell r="I3425" t="str">
            <v>EDI</v>
          </cell>
          <cell r="L3425">
            <v>2183</v>
          </cell>
          <cell r="N3425" t="str">
            <v>Production</v>
          </cell>
          <cell r="O3425" t="str">
            <v>Everything Benefits</v>
          </cell>
          <cell r="P3425" t="str">
            <v>Production</v>
          </cell>
          <cell r="Q3425" t="str">
            <v>Live</v>
          </cell>
          <cell r="R3425">
            <v>45092.727256944447</v>
          </cell>
          <cell r="S3425" t="str">
            <v>Mahmoud Heidar</v>
          </cell>
          <cell r="T3425">
            <v>45102</v>
          </cell>
          <cell r="U3425" t="str">
            <v>Jene Hamm</v>
          </cell>
          <cell r="V3425">
            <v>45134</v>
          </cell>
          <cell r="W3425">
            <v>45159</v>
          </cell>
          <cell r="Y3425">
            <v>45102</v>
          </cell>
          <cell r="AC3425">
            <v>45158</v>
          </cell>
        </row>
        <row r="3426">
          <cell r="I3426" t="str">
            <v>EDI</v>
          </cell>
          <cell r="L3426">
            <v>2307</v>
          </cell>
          <cell r="N3426" t="str">
            <v>Production</v>
          </cell>
          <cell r="O3426" t="str">
            <v>No</v>
          </cell>
          <cell r="Q3426" t="str">
            <v>Live</v>
          </cell>
          <cell r="R3426">
            <v>45092.54179398148</v>
          </cell>
          <cell r="S3426" t="str">
            <v>Mina Adel</v>
          </cell>
          <cell r="T3426">
            <v>45138</v>
          </cell>
          <cell r="U3426" t="str">
            <v>Robbie Schappell</v>
          </cell>
          <cell r="V3426">
            <v>45209</v>
          </cell>
          <cell r="W3426">
            <v>45259</v>
          </cell>
          <cell r="Y3426">
            <v>45133</v>
          </cell>
          <cell r="AC3426">
            <v>45257</v>
          </cell>
        </row>
        <row r="3427">
          <cell r="I3427" t="str">
            <v>EDI</v>
          </cell>
          <cell r="L3427">
            <v>2292</v>
          </cell>
          <cell r="N3427" t="str">
            <v>Production</v>
          </cell>
          <cell r="O3427" t="str">
            <v>No</v>
          </cell>
          <cell r="Q3427" t="str">
            <v>Live</v>
          </cell>
          <cell r="R3427">
            <v>45091.843287037038</v>
          </cell>
          <cell r="S3427" t="str">
            <v>Alaa Yehia</v>
          </cell>
          <cell r="T3427">
            <v>45138</v>
          </cell>
          <cell r="U3427" t="str">
            <v>Trish Kalinczok</v>
          </cell>
          <cell r="V3427">
            <v>45165</v>
          </cell>
          <cell r="W3427">
            <v>45251</v>
          </cell>
          <cell r="Y3427">
            <v>45133</v>
          </cell>
          <cell r="AC3427">
            <v>45250</v>
          </cell>
        </row>
        <row r="3428">
          <cell r="I3428" t="str">
            <v>EDI</v>
          </cell>
          <cell r="L3428">
            <v>2263</v>
          </cell>
          <cell r="N3428" t="str">
            <v>Production</v>
          </cell>
          <cell r="O3428" t="str">
            <v>No</v>
          </cell>
          <cell r="Q3428" t="str">
            <v>Live</v>
          </cell>
          <cell r="R3428">
            <v>45091.590451388889</v>
          </cell>
          <cell r="S3428" t="str">
            <v>Aya Fathy</v>
          </cell>
          <cell r="T3428">
            <v>45134</v>
          </cell>
          <cell r="U3428" t="str">
            <v>Hans De Grouw</v>
          </cell>
          <cell r="V3428">
            <v>45144</v>
          </cell>
          <cell r="W3428">
            <v>45232</v>
          </cell>
          <cell r="Y3428">
            <v>45134</v>
          </cell>
          <cell r="AC3428">
            <v>45223</v>
          </cell>
        </row>
        <row r="3429">
          <cell r="I3429" t="str">
            <v>EDI</v>
          </cell>
          <cell r="L3429">
            <v>2188</v>
          </cell>
          <cell r="N3429" t="str">
            <v>Production</v>
          </cell>
          <cell r="O3429" t="str">
            <v>No</v>
          </cell>
          <cell r="Q3429" t="str">
            <v>Live</v>
          </cell>
          <cell r="R3429">
            <v>45091.590439814812</v>
          </cell>
          <cell r="S3429" t="str">
            <v>Hazem Rostom</v>
          </cell>
          <cell r="T3429">
            <v>45111</v>
          </cell>
          <cell r="U3429" t="str">
            <v>Hans De Grouw</v>
          </cell>
          <cell r="V3429">
            <v>45162</v>
          </cell>
          <cell r="W3429">
            <v>45225</v>
          </cell>
          <cell r="Y3429">
            <v>45110</v>
          </cell>
          <cell r="AC3429">
            <v>45225</v>
          </cell>
        </row>
        <row r="3430">
          <cell r="I3430" t="str">
            <v>EDI</v>
          </cell>
          <cell r="L3430">
            <v>2189</v>
          </cell>
          <cell r="N3430" t="str">
            <v>Production</v>
          </cell>
          <cell r="O3430" t="str">
            <v>No</v>
          </cell>
          <cell r="Q3430" t="str">
            <v>Live</v>
          </cell>
          <cell r="R3430">
            <v>45090.782719907409</v>
          </cell>
          <cell r="S3430" t="str">
            <v>Alaa Yehia</v>
          </cell>
          <cell r="T3430">
            <v>45102</v>
          </cell>
          <cell r="U3430" t="str">
            <v>Jene Hamm</v>
          </cell>
          <cell r="V3430">
            <v>45169</v>
          </cell>
          <cell r="W3430">
            <v>25569</v>
          </cell>
          <cell r="Y3430">
            <v>45098</v>
          </cell>
          <cell r="AC3430">
            <v>45243</v>
          </cell>
        </row>
        <row r="3431">
          <cell r="I3431" t="str">
            <v>EDI</v>
          </cell>
          <cell r="L3431">
            <v>2182</v>
          </cell>
          <cell r="N3431" t="str">
            <v>Production</v>
          </cell>
          <cell r="O3431" t="str">
            <v>No</v>
          </cell>
          <cell r="Q3431" t="str">
            <v>Live</v>
          </cell>
          <cell r="R3431">
            <v>45090.635162037041</v>
          </cell>
          <cell r="S3431" t="str">
            <v>Andrew Ramy</v>
          </cell>
          <cell r="T3431">
            <v>45102</v>
          </cell>
          <cell r="U3431" t="str">
            <v>Robbie Schappell</v>
          </cell>
          <cell r="V3431">
            <v>45113</v>
          </cell>
          <cell r="W3431">
            <v>25569</v>
          </cell>
          <cell r="Y3431">
            <v>45092</v>
          </cell>
          <cell r="AC3431">
            <v>45229</v>
          </cell>
        </row>
        <row r="3432">
          <cell r="I3432" t="str">
            <v>EDI</v>
          </cell>
          <cell r="L3432">
            <v>2214</v>
          </cell>
          <cell r="N3432" t="str">
            <v>Production</v>
          </cell>
          <cell r="O3432" t="str">
            <v>No</v>
          </cell>
          <cell r="Q3432" t="str">
            <v>Live</v>
          </cell>
          <cell r="R3432">
            <v>45090.635150462957</v>
          </cell>
          <cell r="S3432" t="str">
            <v>Fady Maged</v>
          </cell>
          <cell r="T3432">
            <v>45231</v>
          </cell>
          <cell r="U3432" t="str">
            <v>Robbie Schappell</v>
          </cell>
          <cell r="V3432">
            <v>25569</v>
          </cell>
          <cell r="W3432">
            <v>45532</v>
          </cell>
          <cell r="Y3432">
            <v>45091</v>
          </cell>
          <cell r="AC3432">
            <v>45532</v>
          </cell>
        </row>
        <row r="3433">
          <cell r="I3433" t="str">
            <v>EDI</v>
          </cell>
          <cell r="L3433">
            <v>2254</v>
          </cell>
          <cell r="N3433" t="str">
            <v>Production</v>
          </cell>
          <cell r="O3433" t="str">
            <v>No</v>
          </cell>
          <cell r="Q3433" t="str">
            <v>Live</v>
          </cell>
          <cell r="R3433">
            <v>45090.552314814813</v>
          </cell>
          <cell r="S3433" t="str">
            <v>Aya Fathy</v>
          </cell>
          <cell r="T3433">
            <v>45133</v>
          </cell>
          <cell r="U3433" t="str">
            <v>Jene Hamm</v>
          </cell>
          <cell r="V3433">
            <v>45145</v>
          </cell>
          <cell r="W3433">
            <v>45231</v>
          </cell>
          <cell r="Y3433">
            <v>45132</v>
          </cell>
          <cell r="AC3433">
            <v>45225</v>
          </cell>
        </row>
        <row r="3434">
          <cell r="I3434" t="str">
            <v>EDI</v>
          </cell>
          <cell r="L3434">
            <v>2152</v>
          </cell>
          <cell r="N3434" t="str">
            <v>Production</v>
          </cell>
          <cell r="O3434" t="str">
            <v>No</v>
          </cell>
          <cell r="Q3434" t="str">
            <v>Live</v>
          </cell>
          <cell r="R3434">
            <v>45089.707395833328</v>
          </cell>
          <cell r="S3434" t="str">
            <v>Aya Fathy</v>
          </cell>
          <cell r="T3434">
            <v>45090</v>
          </cell>
          <cell r="U3434" t="str">
            <v>Miranda Naeem</v>
          </cell>
          <cell r="W3434">
            <v>45139</v>
          </cell>
          <cell r="AC3434">
            <v>45133</v>
          </cell>
        </row>
        <row r="3435">
          <cell r="I3435" t="str">
            <v>EDI</v>
          </cell>
          <cell r="L3435">
            <v>2173</v>
          </cell>
          <cell r="N3435" t="str">
            <v>Production</v>
          </cell>
          <cell r="O3435" t="str">
            <v>No</v>
          </cell>
          <cell r="Q3435" t="str">
            <v>Cancelled</v>
          </cell>
          <cell r="R3435">
            <v>45089.656145833331</v>
          </cell>
          <cell r="S3435" t="str">
            <v>Andrew Ramy</v>
          </cell>
          <cell r="T3435">
            <v>45099</v>
          </cell>
          <cell r="U3435" t="str">
            <v>Matt Howell</v>
          </cell>
          <cell r="V3435">
            <v>45123</v>
          </cell>
          <cell r="W3435">
            <v>45183</v>
          </cell>
          <cell r="Y3435">
            <v>45098</v>
          </cell>
          <cell r="AC3435">
            <v>45181</v>
          </cell>
        </row>
        <row r="3436">
          <cell r="I3436" t="str">
            <v>EDI</v>
          </cell>
          <cell r="L3436">
            <v>2174</v>
          </cell>
          <cell r="N3436" t="str">
            <v>Production</v>
          </cell>
          <cell r="O3436" t="str">
            <v>No</v>
          </cell>
          <cell r="Q3436" t="str">
            <v>Cancelled</v>
          </cell>
          <cell r="R3436">
            <v>45085.936365740738</v>
          </cell>
          <cell r="S3436" t="str">
            <v>Tarek Medhat</v>
          </cell>
          <cell r="T3436">
            <v>45098</v>
          </cell>
          <cell r="U3436" t="str">
            <v>Tammy Trexler</v>
          </cell>
          <cell r="V3436">
            <v>45140</v>
          </cell>
          <cell r="W3436">
            <v>45239</v>
          </cell>
          <cell r="Y3436">
            <v>45090</v>
          </cell>
          <cell r="AC3436">
            <v>45230</v>
          </cell>
        </row>
        <row r="3437">
          <cell r="I3437" t="str">
            <v>EDI</v>
          </cell>
          <cell r="L3437">
            <v>2170</v>
          </cell>
          <cell r="N3437" t="str">
            <v>Production</v>
          </cell>
          <cell r="O3437" t="str">
            <v>No</v>
          </cell>
          <cell r="Q3437" t="str">
            <v>Cancelled</v>
          </cell>
          <cell r="R3437">
            <v>45085.936365740738</v>
          </cell>
          <cell r="S3437" t="str">
            <v>Mina Kamil</v>
          </cell>
          <cell r="T3437">
            <v>45098</v>
          </cell>
          <cell r="U3437" t="str">
            <v>Robbie Schappell</v>
          </cell>
          <cell r="V3437">
            <v>25569</v>
          </cell>
          <cell r="W3437">
            <v>45400</v>
          </cell>
          <cell r="Y3437">
            <v>45097</v>
          </cell>
          <cell r="AC3437">
            <v>45400</v>
          </cell>
        </row>
        <row r="3438">
          <cell r="I3438" t="str">
            <v>EDI</v>
          </cell>
          <cell r="L3438">
            <v>2204</v>
          </cell>
          <cell r="N3438" t="str">
            <v>Production</v>
          </cell>
          <cell r="O3438" t="str">
            <v>No</v>
          </cell>
          <cell r="Q3438" t="str">
            <v>Cancelled</v>
          </cell>
          <cell r="R3438">
            <v>45085.936365740738</v>
          </cell>
          <cell r="S3438" t="str">
            <v>Alaa Yehia</v>
          </cell>
          <cell r="T3438">
            <v>45111</v>
          </cell>
          <cell r="U3438" t="str">
            <v>Tammy Trexler</v>
          </cell>
          <cell r="V3438">
            <v>45168</v>
          </cell>
          <cell r="W3438">
            <v>45253</v>
          </cell>
          <cell r="Y3438">
            <v>45103</v>
          </cell>
          <cell r="AC3438">
            <v>45249</v>
          </cell>
        </row>
        <row r="3439">
          <cell r="I3439" t="str">
            <v>EDI</v>
          </cell>
          <cell r="L3439">
            <v>2195</v>
          </cell>
          <cell r="N3439" t="str">
            <v>Testing</v>
          </cell>
          <cell r="O3439" t="str">
            <v>No</v>
          </cell>
          <cell r="Q3439" t="str">
            <v>Cancelled</v>
          </cell>
          <cell r="R3439">
            <v>45085.693101851852</v>
          </cell>
          <cell r="S3439" t="str">
            <v>Omnia Abdelaziz</v>
          </cell>
          <cell r="T3439">
            <v>45098</v>
          </cell>
          <cell r="U3439" t="str">
            <v>Tammy Davies</v>
          </cell>
          <cell r="V3439">
            <v>45159</v>
          </cell>
          <cell r="Y3439">
            <v>45097</v>
          </cell>
          <cell r="AC3439">
            <v>45159</v>
          </cell>
        </row>
        <row r="3440">
          <cell r="I3440" t="str">
            <v>EDI</v>
          </cell>
          <cell r="L3440">
            <v>2169</v>
          </cell>
          <cell r="N3440" t="str">
            <v>Production</v>
          </cell>
          <cell r="O3440" t="str">
            <v>No</v>
          </cell>
          <cell r="Q3440" t="str">
            <v>Live</v>
          </cell>
          <cell r="R3440">
            <v>45085.693101851852</v>
          </cell>
          <cell r="S3440" t="str">
            <v>Andrew Ramy</v>
          </cell>
          <cell r="T3440">
            <v>45096</v>
          </cell>
          <cell r="U3440" t="str">
            <v>Tammy Davies</v>
          </cell>
          <cell r="V3440">
            <v>45218</v>
          </cell>
          <cell r="W3440">
            <v>45306</v>
          </cell>
          <cell r="Y3440">
            <v>45096</v>
          </cell>
          <cell r="AC3440">
            <v>45305</v>
          </cell>
        </row>
        <row r="3441">
          <cell r="I3441" t="str">
            <v>EDI</v>
          </cell>
          <cell r="L3441">
            <v>2177</v>
          </cell>
          <cell r="N3441" t="str">
            <v>Production</v>
          </cell>
          <cell r="O3441" t="str">
            <v>No</v>
          </cell>
          <cell r="Q3441" t="str">
            <v>Live</v>
          </cell>
          <cell r="R3441">
            <v>45085.693101851852</v>
          </cell>
          <cell r="S3441" t="str">
            <v>Mina George</v>
          </cell>
          <cell r="T3441">
            <v>45097</v>
          </cell>
          <cell r="U3441" t="str">
            <v>Tammy Davies</v>
          </cell>
          <cell r="V3441">
            <v>45124</v>
          </cell>
          <cell r="W3441">
            <v>45390</v>
          </cell>
          <cell r="Y3441">
            <v>45095</v>
          </cell>
          <cell r="AC3441">
            <v>45390</v>
          </cell>
        </row>
        <row r="3442">
          <cell r="I3442" t="str">
            <v>EDI</v>
          </cell>
          <cell r="L3442">
            <v>2164</v>
          </cell>
          <cell r="N3442" t="str">
            <v>Production</v>
          </cell>
          <cell r="O3442" t="str">
            <v>No</v>
          </cell>
          <cell r="Q3442" t="str">
            <v>Cancelled</v>
          </cell>
          <cell r="R3442">
            <v>45084.857037037043</v>
          </cell>
          <cell r="S3442" t="str">
            <v>Mina George</v>
          </cell>
          <cell r="T3442">
            <v>45096</v>
          </cell>
          <cell r="U3442" t="str">
            <v>Julio Figueroa</v>
          </cell>
          <cell r="V3442">
            <v>45159</v>
          </cell>
          <cell r="W3442">
            <v>45217</v>
          </cell>
          <cell r="Y3442">
            <v>45092</v>
          </cell>
          <cell r="AC3442">
            <v>45211</v>
          </cell>
        </row>
        <row r="3443">
          <cell r="I3443" t="str">
            <v>EDI</v>
          </cell>
          <cell r="N3443" t="str">
            <v>Resource Assignment</v>
          </cell>
          <cell r="O3443" t="str">
            <v>No</v>
          </cell>
          <cell r="Q3443" t="str">
            <v>Cancelled</v>
          </cell>
          <cell r="R3443">
            <v>45084.857037037043</v>
          </cell>
          <cell r="S3443" t="str">
            <v>Dina Medhat</v>
          </cell>
          <cell r="T3443">
            <v>45092</v>
          </cell>
          <cell r="U3443" t="str">
            <v>Julio Figueroa</v>
          </cell>
          <cell r="Y3443">
            <v>45092</v>
          </cell>
        </row>
        <row r="3444">
          <cell r="I3444" t="str">
            <v>EDI</v>
          </cell>
          <cell r="L3444">
            <v>2190</v>
          </cell>
          <cell r="N3444" t="str">
            <v>Production</v>
          </cell>
          <cell r="O3444" t="str">
            <v>No</v>
          </cell>
          <cell r="Q3444" t="str">
            <v>Cancelled</v>
          </cell>
          <cell r="R3444">
            <v>45084.682291666657</v>
          </cell>
          <cell r="S3444" t="str">
            <v>Mahmoud Ahmed</v>
          </cell>
          <cell r="T3444">
            <v>45095</v>
          </cell>
          <cell r="U3444" t="str">
            <v>Tammy Trexler</v>
          </cell>
          <cell r="W3444">
            <v>45162</v>
          </cell>
          <cell r="Y3444">
            <v>45085</v>
          </cell>
          <cell r="AC3444">
            <v>45159</v>
          </cell>
        </row>
        <row r="3445">
          <cell r="I3445" t="str">
            <v>EDI</v>
          </cell>
          <cell r="L3445">
            <v>2167</v>
          </cell>
          <cell r="N3445" t="str">
            <v>Production</v>
          </cell>
          <cell r="O3445" t="str">
            <v>No</v>
          </cell>
          <cell r="Q3445" t="str">
            <v>Cancelled</v>
          </cell>
          <cell r="R3445">
            <v>45084.682291666657</v>
          </cell>
          <cell r="S3445" t="str">
            <v>Mina Kamil</v>
          </cell>
          <cell r="T3445">
            <v>45095</v>
          </cell>
          <cell r="U3445" t="str">
            <v>Tammy Trexler</v>
          </cell>
          <cell r="V3445">
            <v>45385</v>
          </cell>
          <cell r="W3445">
            <v>45148</v>
          </cell>
          <cell r="Y3445">
            <v>45088</v>
          </cell>
          <cell r="AC3445">
            <v>45145</v>
          </cell>
        </row>
        <row r="3446">
          <cell r="I3446" t="str">
            <v>EDI</v>
          </cell>
          <cell r="L3446">
            <v>2181</v>
          </cell>
          <cell r="N3446" t="str">
            <v>Production</v>
          </cell>
          <cell r="O3446" t="str">
            <v>No</v>
          </cell>
          <cell r="Q3446" t="str">
            <v>Cancelled</v>
          </cell>
          <cell r="R3446">
            <v>45084.682280092587</v>
          </cell>
          <cell r="S3446" t="str">
            <v>Aya Fathy</v>
          </cell>
          <cell r="T3446">
            <v>45103</v>
          </cell>
          <cell r="U3446" t="str">
            <v>Tammy Trexler</v>
          </cell>
          <cell r="V3446">
            <v>45123</v>
          </cell>
          <cell r="W3446">
            <v>45141</v>
          </cell>
          <cell r="Y3446">
            <v>45102</v>
          </cell>
          <cell r="AC3446">
            <v>45134</v>
          </cell>
        </row>
        <row r="3447">
          <cell r="I3447" t="str">
            <v>EDI</v>
          </cell>
          <cell r="L3447">
            <v>2166</v>
          </cell>
          <cell r="N3447" t="str">
            <v>Production</v>
          </cell>
          <cell r="O3447" t="str">
            <v>No</v>
          </cell>
          <cell r="Q3447" t="str">
            <v>Cancelled</v>
          </cell>
          <cell r="R3447">
            <v>45084.682268518518</v>
          </cell>
          <cell r="S3447" t="str">
            <v>Omnia Abdelaziz</v>
          </cell>
          <cell r="T3447">
            <v>45326</v>
          </cell>
          <cell r="U3447" t="str">
            <v>Miranda Naeem</v>
          </cell>
          <cell r="V3447">
            <v>45230</v>
          </cell>
          <cell r="W3447">
            <v>45475</v>
          </cell>
          <cell r="Y3447">
            <v>45090</v>
          </cell>
          <cell r="AC3447">
            <v>45454</v>
          </cell>
        </row>
        <row r="3448">
          <cell r="I3448" t="str">
            <v>EDI</v>
          </cell>
          <cell r="L3448">
            <v>2146</v>
          </cell>
          <cell r="N3448" t="str">
            <v>Production</v>
          </cell>
          <cell r="O3448" t="str">
            <v>Everything Benefits</v>
          </cell>
          <cell r="P3448" t="str">
            <v>Production</v>
          </cell>
          <cell r="Q3448" t="str">
            <v>Live</v>
          </cell>
          <cell r="R3448">
            <v>45084.645578703698</v>
          </cell>
          <cell r="S3448" t="str">
            <v>Zeyad Khaled</v>
          </cell>
          <cell r="T3448">
            <v>45088</v>
          </cell>
          <cell r="U3448" t="str">
            <v>Trish Kalinczok</v>
          </cell>
          <cell r="V3448">
            <v>45137</v>
          </cell>
          <cell r="W3448">
            <v>25569</v>
          </cell>
          <cell r="AC3448">
            <v>45207</v>
          </cell>
        </row>
        <row r="3449">
          <cell r="I3449" t="str">
            <v>EDI</v>
          </cell>
          <cell r="L3449">
            <v>2145</v>
          </cell>
          <cell r="N3449" t="str">
            <v>Production</v>
          </cell>
          <cell r="O3449" t="str">
            <v>Everything Benefits</v>
          </cell>
          <cell r="P3449" t="str">
            <v>Production</v>
          </cell>
          <cell r="Q3449" t="str">
            <v>Live</v>
          </cell>
          <cell r="R3449">
            <v>45084.622291666667</v>
          </cell>
          <cell r="S3449" t="str">
            <v>Zeyad Khaled</v>
          </cell>
          <cell r="T3449">
            <v>45088</v>
          </cell>
          <cell r="U3449" t="str">
            <v>Jene Hamm</v>
          </cell>
          <cell r="V3449">
            <v>45116</v>
          </cell>
          <cell r="W3449">
            <v>45159</v>
          </cell>
          <cell r="AC3449">
            <v>45158</v>
          </cell>
        </row>
        <row r="3450">
          <cell r="I3450" t="str">
            <v>EDI</v>
          </cell>
          <cell r="L3450">
            <v>2140</v>
          </cell>
          <cell r="N3450" t="str">
            <v>Production</v>
          </cell>
          <cell r="O3450" t="str">
            <v>Everything Benefits</v>
          </cell>
          <cell r="P3450" t="str">
            <v>Production</v>
          </cell>
          <cell r="Q3450" t="str">
            <v>Cancelled</v>
          </cell>
          <cell r="R3450">
            <v>45084.614120370366</v>
          </cell>
          <cell r="S3450" t="str">
            <v>Amira Elshora</v>
          </cell>
          <cell r="T3450">
            <v>45085</v>
          </cell>
          <cell r="U3450" t="str">
            <v>Jene Hamm</v>
          </cell>
          <cell r="V3450">
            <v>45113</v>
          </cell>
          <cell r="W3450">
            <v>45159</v>
          </cell>
          <cell r="AC3450">
            <v>45159</v>
          </cell>
        </row>
        <row r="3451">
          <cell r="I3451" t="str">
            <v>EDI</v>
          </cell>
          <cell r="L3451">
            <v>2165</v>
          </cell>
          <cell r="N3451" t="str">
            <v>Mapping</v>
          </cell>
          <cell r="O3451" t="str">
            <v>Everything Benefits</v>
          </cell>
          <cell r="P3451" t="str">
            <v>Phase 1 - Map Built</v>
          </cell>
          <cell r="Q3451" t="str">
            <v>Cancelled</v>
          </cell>
          <cell r="R3451">
            <v>45084.614120370366</v>
          </cell>
          <cell r="S3451" t="str">
            <v>Alaa Yehia</v>
          </cell>
          <cell r="T3451">
            <v>45085</v>
          </cell>
          <cell r="U3451" t="str">
            <v>Jene Hamm</v>
          </cell>
        </row>
        <row r="3452">
          <cell r="I3452" t="str">
            <v>EDI</v>
          </cell>
          <cell r="L3452">
            <v>2134</v>
          </cell>
          <cell r="N3452" t="str">
            <v>Production</v>
          </cell>
          <cell r="O3452" t="str">
            <v>Everything Benefits</v>
          </cell>
          <cell r="P3452" t="str">
            <v>Production</v>
          </cell>
          <cell r="Q3452" t="str">
            <v>Cancelled</v>
          </cell>
          <cell r="R3452">
            <v>45084.60328703704</v>
          </cell>
          <cell r="S3452" t="str">
            <v>Mohamed Abdelhamed</v>
          </cell>
          <cell r="T3452">
            <v>45085</v>
          </cell>
          <cell r="U3452" t="str">
            <v>Jene Hamm</v>
          </cell>
          <cell r="V3452">
            <v>45096</v>
          </cell>
          <cell r="W3452">
            <v>45145</v>
          </cell>
          <cell r="AC3452">
            <v>45144</v>
          </cell>
        </row>
        <row r="3453">
          <cell r="I3453" t="str">
            <v>EDI</v>
          </cell>
          <cell r="L3453">
            <v>2139</v>
          </cell>
          <cell r="N3453" t="str">
            <v>Production</v>
          </cell>
          <cell r="O3453" t="str">
            <v>Everything Benefits</v>
          </cell>
          <cell r="P3453" t="str">
            <v>Production</v>
          </cell>
          <cell r="Q3453" t="str">
            <v>Cancelled</v>
          </cell>
          <cell r="R3453">
            <v>45084.594317129631</v>
          </cell>
          <cell r="S3453" t="str">
            <v>Mahmoud Ahmed</v>
          </cell>
          <cell r="T3453">
            <v>45085</v>
          </cell>
          <cell r="U3453" t="str">
            <v>Jene Hamm</v>
          </cell>
          <cell r="V3453">
            <v>45139</v>
          </cell>
          <cell r="W3453">
            <v>45152</v>
          </cell>
          <cell r="AC3453">
            <v>45151</v>
          </cell>
        </row>
        <row r="3454">
          <cell r="I3454" t="str">
            <v>EDI</v>
          </cell>
          <cell r="L3454">
            <v>2147</v>
          </cell>
          <cell r="N3454" t="str">
            <v>Production</v>
          </cell>
          <cell r="O3454" t="str">
            <v>Everything Benefits</v>
          </cell>
          <cell r="P3454" t="str">
            <v>Production</v>
          </cell>
          <cell r="Q3454" t="str">
            <v>Live</v>
          </cell>
          <cell r="R3454">
            <v>45084.581655092603</v>
          </cell>
          <cell r="S3454" t="str">
            <v>Tarek Medhat</v>
          </cell>
          <cell r="T3454">
            <v>45085</v>
          </cell>
          <cell r="U3454" t="str">
            <v>Trish Kalinczok</v>
          </cell>
          <cell r="V3454">
            <v>45140</v>
          </cell>
          <cell r="W3454">
            <v>45210</v>
          </cell>
          <cell r="AC3454">
            <v>45207</v>
          </cell>
        </row>
        <row r="3455">
          <cell r="I3455" t="str">
            <v>EDI</v>
          </cell>
          <cell r="N3455" t="str">
            <v>Dataset Validation</v>
          </cell>
          <cell r="O3455" t="str">
            <v>Everything Benefits</v>
          </cell>
          <cell r="P3455" t="str">
            <v>Map Under Review</v>
          </cell>
          <cell r="Q3455" t="str">
            <v>Cancelled</v>
          </cell>
          <cell r="R3455">
            <v>45084.567847222221</v>
          </cell>
          <cell r="S3455" t="str">
            <v>Hazem Rostom</v>
          </cell>
          <cell r="T3455">
            <v>45085</v>
          </cell>
          <cell r="U3455" t="str">
            <v>Jene Hamm</v>
          </cell>
        </row>
        <row r="3456">
          <cell r="I3456" t="str">
            <v>EDI</v>
          </cell>
          <cell r="L3456">
            <v>2200</v>
          </cell>
          <cell r="N3456" t="str">
            <v>Production</v>
          </cell>
          <cell r="O3456" t="str">
            <v>No</v>
          </cell>
          <cell r="Q3456" t="str">
            <v>Live</v>
          </cell>
          <cell r="R3456">
            <v>45083.795370370368</v>
          </cell>
          <cell r="S3456" t="str">
            <v>Salma Yamani</v>
          </cell>
          <cell r="T3456">
            <v>45111</v>
          </cell>
          <cell r="U3456" t="str">
            <v>Julio Figueroa</v>
          </cell>
          <cell r="W3456">
            <v>45260</v>
          </cell>
          <cell r="Y3456">
            <v>45103</v>
          </cell>
          <cell r="AC3456">
            <v>45257</v>
          </cell>
        </row>
        <row r="3457">
          <cell r="I3457" t="str">
            <v>EDI</v>
          </cell>
          <cell r="L3457">
            <v>2135</v>
          </cell>
          <cell r="N3457" t="str">
            <v>Production</v>
          </cell>
          <cell r="O3457" t="str">
            <v>No</v>
          </cell>
          <cell r="Q3457" t="str">
            <v>Cancelled</v>
          </cell>
          <cell r="R3457">
            <v>45083.689328703702</v>
          </cell>
          <cell r="S3457" t="str">
            <v>Fady Maged</v>
          </cell>
          <cell r="T3457">
            <v>45085</v>
          </cell>
          <cell r="U3457" t="str">
            <v>Miranda Naeem</v>
          </cell>
          <cell r="V3457">
            <v>25569</v>
          </cell>
          <cell r="W3457">
            <v>45216</v>
          </cell>
          <cell r="Y3457">
            <v>45084</v>
          </cell>
          <cell r="AC3457">
            <v>45210</v>
          </cell>
        </row>
        <row r="3458">
          <cell r="I3458" t="str">
            <v>EDI</v>
          </cell>
          <cell r="L3458">
            <v>2141</v>
          </cell>
          <cell r="N3458" t="str">
            <v>Production</v>
          </cell>
          <cell r="O3458" t="str">
            <v>Everything Benefits</v>
          </cell>
          <cell r="P3458" t="str">
            <v>Production</v>
          </cell>
          <cell r="Q3458" t="str">
            <v>Cancelled</v>
          </cell>
          <cell r="R3458">
            <v>45083.45648148148</v>
          </cell>
          <cell r="S3458" t="str">
            <v>Zeyad Khaled</v>
          </cell>
          <cell r="T3458">
            <v>45083</v>
          </cell>
          <cell r="U3458" t="str">
            <v>Trish Kalinczok</v>
          </cell>
          <cell r="V3458">
            <v>45158</v>
          </cell>
          <cell r="W3458">
            <v>25569</v>
          </cell>
          <cell r="Y3458">
            <v>45083</v>
          </cell>
          <cell r="AC3458">
            <v>45172</v>
          </cell>
        </row>
        <row r="3459">
          <cell r="I3459" t="str">
            <v>EDI</v>
          </cell>
          <cell r="L3459">
            <v>2205</v>
          </cell>
          <cell r="N3459" t="str">
            <v>Mapping</v>
          </cell>
          <cell r="O3459" t="str">
            <v>No</v>
          </cell>
          <cell r="Q3459" t="str">
            <v>Cancelled</v>
          </cell>
          <cell r="R3459">
            <v>45082.870555555557</v>
          </cell>
          <cell r="S3459" t="str">
            <v>Dina Medhat</v>
          </cell>
          <cell r="T3459">
            <v>45083</v>
          </cell>
          <cell r="U3459" t="str">
            <v>Robbie Schappell</v>
          </cell>
          <cell r="V3459">
            <v>45176</v>
          </cell>
        </row>
        <row r="3460">
          <cell r="I3460" t="str">
            <v>EDI</v>
          </cell>
          <cell r="L3460">
            <v>2205</v>
          </cell>
          <cell r="N3460" t="str">
            <v>Testing</v>
          </cell>
          <cell r="O3460" t="str">
            <v>No</v>
          </cell>
          <cell r="Q3460" t="str">
            <v>Cancelled</v>
          </cell>
          <cell r="R3460">
            <v>45082.755694444437</v>
          </cell>
          <cell r="S3460" t="str">
            <v>Mina George</v>
          </cell>
          <cell r="T3460">
            <v>45116</v>
          </cell>
          <cell r="U3460" t="str">
            <v>Robbie Schappell</v>
          </cell>
          <cell r="V3460">
            <v>45176</v>
          </cell>
          <cell r="Y3460">
            <v>45112</v>
          </cell>
        </row>
        <row r="3461">
          <cell r="I3461" t="str">
            <v>EDI</v>
          </cell>
          <cell r="L3461">
            <v>2178</v>
          </cell>
          <cell r="N3461" t="str">
            <v>Testing</v>
          </cell>
          <cell r="O3461" t="str">
            <v>No</v>
          </cell>
          <cell r="Q3461" t="str">
            <v>Cancelled</v>
          </cell>
          <cell r="R3461">
            <v>45079.63013888889</v>
          </cell>
          <cell r="S3461" t="str">
            <v>Hazem Rostom</v>
          </cell>
          <cell r="T3461">
            <v>45095</v>
          </cell>
          <cell r="U3461" t="str">
            <v>Hans De Grouw</v>
          </cell>
          <cell r="V3461">
            <v>45144</v>
          </cell>
          <cell r="Y3461">
            <v>45091</v>
          </cell>
        </row>
        <row r="3462">
          <cell r="I3462" t="str">
            <v>EDI</v>
          </cell>
          <cell r="L3462">
            <v>2220</v>
          </cell>
          <cell r="N3462" t="str">
            <v>Mapping</v>
          </cell>
          <cell r="O3462" t="str">
            <v>No</v>
          </cell>
          <cell r="Q3462" t="str">
            <v>Cancelled</v>
          </cell>
          <cell r="R3462">
            <v>45079.63013888889</v>
          </cell>
          <cell r="S3462" t="str">
            <v>Mina George</v>
          </cell>
          <cell r="T3462">
            <v>45111</v>
          </cell>
          <cell r="U3462" t="str">
            <v>Hans De Grouw</v>
          </cell>
          <cell r="Y3462">
            <v>45106</v>
          </cell>
        </row>
        <row r="3463">
          <cell r="I3463" t="str">
            <v>EDI</v>
          </cell>
          <cell r="L3463">
            <v>2176</v>
          </cell>
          <cell r="N3463" t="str">
            <v>Production</v>
          </cell>
          <cell r="O3463" t="str">
            <v>No</v>
          </cell>
          <cell r="Q3463" t="str">
            <v>Cancelled</v>
          </cell>
          <cell r="R3463">
            <v>45079.591041666667</v>
          </cell>
          <cell r="S3463" t="str">
            <v>Aya Fathy</v>
          </cell>
          <cell r="T3463">
            <v>45098</v>
          </cell>
          <cell r="U3463" t="str">
            <v>Jene Hamm</v>
          </cell>
          <cell r="V3463">
            <v>45099</v>
          </cell>
          <cell r="W3463">
            <v>45198</v>
          </cell>
          <cell r="Y3463">
            <v>45088</v>
          </cell>
          <cell r="AC3463">
            <v>45196</v>
          </cell>
        </row>
        <row r="3464">
          <cell r="I3464" t="str">
            <v>EDI</v>
          </cell>
          <cell r="L3464">
            <v>2197</v>
          </cell>
          <cell r="N3464" t="str">
            <v>Production</v>
          </cell>
          <cell r="O3464" t="str">
            <v>No</v>
          </cell>
          <cell r="Q3464" t="str">
            <v>Live</v>
          </cell>
          <cell r="R3464">
            <v>45079.591041666667</v>
          </cell>
          <cell r="S3464" t="str">
            <v>Omnia Abdelaziz</v>
          </cell>
          <cell r="T3464">
            <v>45111</v>
          </cell>
          <cell r="U3464" t="str">
            <v>Jene Hamm</v>
          </cell>
          <cell r="V3464">
            <v>45137</v>
          </cell>
          <cell r="W3464">
            <v>45244</v>
          </cell>
          <cell r="Y3464">
            <v>45103</v>
          </cell>
          <cell r="AC3464">
            <v>45216</v>
          </cell>
        </row>
        <row r="3465">
          <cell r="I3465" t="str">
            <v>EDI</v>
          </cell>
          <cell r="L3465">
            <v>2201</v>
          </cell>
          <cell r="N3465" t="str">
            <v>Production</v>
          </cell>
          <cell r="O3465" t="str">
            <v>No</v>
          </cell>
          <cell r="Q3465" t="str">
            <v>Cancelled</v>
          </cell>
          <cell r="R3465">
            <v>45079.59103009259</v>
          </cell>
          <cell r="S3465" t="str">
            <v>Hazem Rostom</v>
          </cell>
          <cell r="T3465">
            <v>45116</v>
          </cell>
          <cell r="U3465" t="str">
            <v>Jene Hamm</v>
          </cell>
          <cell r="W3465">
            <v>45429</v>
          </cell>
          <cell r="Y3465">
            <v>45112</v>
          </cell>
          <cell r="AC3465">
            <v>45421</v>
          </cell>
        </row>
        <row r="3466">
          <cell r="I3466" t="str">
            <v>EDI</v>
          </cell>
          <cell r="L3466">
            <v>2125</v>
          </cell>
          <cell r="N3466" t="str">
            <v>Production</v>
          </cell>
          <cell r="O3466" t="str">
            <v>No</v>
          </cell>
          <cell r="Q3466" t="str">
            <v>Cancelled</v>
          </cell>
          <cell r="R3466">
            <v>45078.629664351851</v>
          </cell>
          <cell r="S3466" t="str">
            <v>Omar Elmahalwy</v>
          </cell>
          <cell r="T3466">
            <v>45081</v>
          </cell>
          <cell r="U3466" t="str">
            <v>Kristin Zambrano</v>
          </cell>
          <cell r="V3466">
            <v>45096</v>
          </cell>
          <cell r="W3466">
            <v>45187</v>
          </cell>
          <cell r="AC3466">
            <v>45183</v>
          </cell>
        </row>
        <row r="3467">
          <cell r="I3467" t="str">
            <v>EDI</v>
          </cell>
          <cell r="L3467">
            <v>2124</v>
          </cell>
          <cell r="N3467" t="str">
            <v>Production</v>
          </cell>
          <cell r="O3467" t="str">
            <v>No</v>
          </cell>
          <cell r="Q3467" t="str">
            <v>Live</v>
          </cell>
          <cell r="R3467">
            <v>45078.624849537038</v>
          </cell>
          <cell r="S3467" t="str">
            <v>Omar Elmahalwy</v>
          </cell>
          <cell r="T3467">
            <v>45081</v>
          </cell>
          <cell r="U3467" t="str">
            <v>Kristin Zambrano</v>
          </cell>
          <cell r="V3467">
            <v>45082</v>
          </cell>
          <cell r="W3467">
            <v>25569</v>
          </cell>
          <cell r="AC3467">
            <v>45183</v>
          </cell>
        </row>
        <row r="3468">
          <cell r="I3468" t="str">
            <v>EDI</v>
          </cell>
          <cell r="L3468">
            <v>2119</v>
          </cell>
          <cell r="N3468" t="str">
            <v>Production</v>
          </cell>
          <cell r="O3468" t="str">
            <v>Everything Benefits</v>
          </cell>
          <cell r="P3468" t="str">
            <v>Production</v>
          </cell>
          <cell r="Q3468" t="str">
            <v>Cancelled</v>
          </cell>
          <cell r="R3468">
            <v>45078.500520833331</v>
          </cell>
          <cell r="S3468" t="str">
            <v>Zeyad Khaled</v>
          </cell>
          <cell r="T3468">
            <v>45078</v>
          </cell>
          <cell r="U3468" t="str">
            <v>Melodie Coles</v>
          </cell>
          <cell r="V3468">
            <v>45082</v>
          </cell>
          <cell r="W3468">
            <v>45096</v>
          </cell>
          <cell r="AC3468">
            <v>45095</v>
          </cell>
        </row>
        <row r="3469">
          <cell r="I3469" t="str">
            <v>EDI</v>
          </cell>
          <cell r="L3469">
            <v>2171</v>
          </cell>
          <cell r="N3469" t="str">
            <v>Production</v>
          </cell>
          <cell r="O3469" t="str">
            <v>No</v>
          </cell>
          <cell r="Q3469" t="str">
            <v>Cancelled</v>
          </cell>
          <cell r="R3469">
            <v>45077.678518518522</v>
          </cell>
          <cell r="S3469" t="str">
            <v>Alaa Yehia</v>
          </cell>
          <cell r="T3469">
            <v>45092</v>
          </cell>
          <cell r="U3469" t="str">
            <v>Tammy Trexler</v>
          </cell>
          <cell r="V3469">
            <v>45146</v>
          </cell>
          <cell r="W3469">
            <v>25569</v>
          </cell>
          <cell r="Y3469">
            <v>45092</v>
          </cell>
          <cell r="AC3469">
            <v>45179</v>
          </cell>
        </row>
        <row r="3470">
          <cell r="I3470" t="str">
            <v>EDI</v>
          </cell>
          <cell r="L3470">
            <v>2308</v>
          </cell>
          <cell r="N3470" t="str">
            <v>Production</v>
          </cell>
          <cell r="O3470" t="str">
            <v>No</v>
          </cell>
          <cell r="Q3470" t="str">
            <v>Live</v>
          </cell>
          <cell r="R3470">
            <v>45077.577546296299</v>
          </cell>
          <cell r="S3470" t="str">
            <v>Mina Adel</v>
          </cell>
          <cell r="T3470">
            <v>45140</v>
          </cell>
          <cell r="U3470" t="str">
            <v>Vicky Wright</v>
          </cell>
          <cell r="V3470">
            <v>45209</v>
          </cell>
          <cell r="W3470">
            <v>25569</v>
          </cell>
          <cell r="AC3470">
            <v>45230</v>
          </cell>
        </row>
        <row r="3471">
          <cell r="I3471" t="str">
            <v>EDI</v>
          </cell>
          <cell r="L3471">
            <v>1999</v>
          </cell>
          <cell r="N3471" t="str">
            <v>Production</v>
          </cell>
          <cell r="O3471" t="str">
            <v>No</v>
          </cell>
          <cell r="Q3471" t="str">
            <v>Live</v>
          </cell>
          <cell r="R3471">
            <v>45077.576782407406</v>
          </cell>
          <cell r="S3471" t="str">
            <v>Mina George</v>
          </cell>
          <cell r="T3471">
            <v>45081</v>
          </cell>
          <cell r="U3471" t="str">
            <v>Vicky Wright</v>
          </cell>
          <cell r="V3471">
            <v>45091</v>
          </cell>
          <cell r="W3471">
            <v>25569</v>
          </cell>
          <cell r="AC3471">
            <v>45098</v>
          </cell>
        </row>
        <row r="3472">
          <cell r="I3472" t="str">
            <v>EDI</v>
          </cell>
          <cell r="L3472">
            <v>2162</v>
          </cell>
          <cell r="N3472" t="str">
            <v>Production</v>
          </cell>
          <cell r="O3472" t="str">
            <v>No</v>
          </cell>
          <cell r="Q3472" t="str">
            <v>Cancelled</v>
          </cell>
          <cell r="R3472">
            <v>45077.564050925917</v>
          </cell>
          <cell r="S3472" t="str">
            <v>Omnia Abdelaziz</v>
          </cell>
          <cell r="T3472">
            <v>45092</v>
          </cell>
          <cell r="U3472" t="str">
            <v>Hans De Grouw</v>
          </cell>
          <cell r="V3472">
            <v>45123</v>
          </cell>
          <cell r="W3472">
            <v>45139</v>
          </cell>
          <cell r="Y3472">
            <v>45078</v>
          </cell>
          <cell r="AC3472">
            <v>45125</v>
          </cell>
        </row>
        <row r="3473">
          <cell r="I3473" t="str">
            <v>EDI</v>
          </cell>
          <cell r="N3473" t="str">
            <v>Pending Start</v>
          </cell>
          <cell r="O3473" t="str">
            <v>No</v>
          </cell>
          <cell r="Q3473" t="str">
            <v>Cancelled</v>
          </cell>
          <cell r="R3473">
            <v>45077.548587962963</v>
          </cell>
          <cell r="U3473" t="str">
            <v>Hans De Grouw</v>
          </cell>
        </row>
        <row r="3474">
          <cell r="I3474" t="str">
            <v>EDI</v>
          </cell>
          <cell r="L3474">
            <v>2199</v>
          </cell>
          <cell r="N3474" t="str">
            <v>Production</v>
          </cell>
          <cell r="O3474" t="str">
            <v>No</v>
          </cell>
          <cell r="Q3474" t="str">
            <v>Cancelled</v>
          </cell>
          <cell r="R3474">
            <v>45077.015625</v>
          </cell>
          <cell r="S3474" t="str">
            <v>Salma Yamani</v>
          </cell>
          <cell r="T3474">
            <v>45096</v>
          </cell>
          <cell r="U3474" t="str">
            <v>Vicky Wright</v>
          </cell>
          <cell r="V3474">
            <v>45172</v>
          </cell>
          <cell r="W3474">
            <v>45183</v>
          </cell>
          <cell r="Y3474">
            <v>45095</v>
          </cell>
          <cell r="AC3474">
            <v>45179</v>
          </cell>
        </row>
        <row r="3475">
          <cell r="I3475" t="str">
            <v>EDI</v>
          </cell>
          <cell r="L3475">
            <v>2156</v>
          </cell>
          <cell r="N3475" t="str">
            <v>Production</v>
          </cell>
          <cell r="O3475" t="str">
            <v>No</v>
          </cell>
          <cell r="Q3475" t="str">
            <v>Cancelled</v>
          </cell>
          <cell r="R3475">
            <v>45076.664641203701</v>
          </cell>
          <cell r="S3475" t="str">
            <v>Mina Kamil</v>
          </cell>
          <cell r="T3475">
            <v>45092</v>
          </cell>
          <cell r="U3475" t="str">
            <v>Miranda Naeem</v>
          </cell>
          <cell r="W3475">
            <v>45384</v>
          </cell>
          <cell r="Y3475">
            <v>45088</v>
          </cell>
          <cell r="AC3475">
            <v>45378</v>
          </cell>
        </row>
        <row r="3476">
          <cell r="I3476" t="str">
            <v>EDI</v>
          </cell>
          <cell r="L3476">
            <v>2157</v>
          </cell>
          <cell r="N3476" t="str">
            <v>Production</v>
          </cell>
          <cell r="O3476" t="str">
            <v>No</v>
          </cell>
          <cell r="Q3476" t="str">
            <v>Live</v>
          </cell>
          <cell r="R3476">
            <v>45076.581909722219</v>
          </cell>
          <cell r="S3476" t="str">
            <v>Tarek Medhat</v>
          </cell>
          <cell r="T3476">
            <v>45091</v>
          </cell>
          <cell r="U3476" t="str">
            <v>Miranda Naeem</v>
          </cell>
          <cell r="V3476">
            <v>45110</v>
          </cell>
          <cell r="W3476">
            <v>45125</v>
          </cell>
          <cell r="Y3476">
            <v>45090</v>
          </cell>
          <cell r="AC3476">
            <v>45123</v>
          </cell>
        </row>
        <row r="3477">
          <cell r="I3477" t="str">
            <v>EDI</v>
          </cell>
          <cell r="L3477">
            <v>2160</v>
          </cell>
          <cell r="N3477" t="str">
            <v>Production</v>
          </cell>
          <cell r="O3477" t="str">
            <v>No</v>
          </cell>
          <cell r="Q3477" t="str">
            <v>Live</v>
          </cell>
          <cell r="R3477">
            <v>45076.581909722219</v>
          </cell>
          <cell r="S3477" t="str">
            <v>Mina George</v>
          </cell>
          <cell r="T3477">
            <v>45092</v>
          </cell>
          <cell r="U3477" t="str">
            <v>Miranda Naeem</v>
          </cell>
          <cell r="V3477">
            <v>45105</v>
          </cell>
          <cell r="W3477">
            <v>45265</v>
          </cell>
          <cell r="Y3477">
            <v>45083</v>
          </cell>
          <cell r="AC3477">
            <v>45263</v>
          </cell>
        </row>
        <row r="3478">
          <cell r="I3478" t="str">
            <v>EDI</v>
          </cell>
          <cell r="L3478">
            <v>2113</v>
          </cell>
          <cell r="N3478" t="str">
            <v>Production</v>
          </cell>
          <cell r="O3478" t="str">
            <v>Everything Benefits</v>
          </cell>
          <cell r="P3478" t="str">
            <v>Production</v>
          </cell>
          <cell r="Q3478" t="str">
            <v>Cancelled</v>
          </cell>
          <cell r="R3478">
            <v>45074.49628472222</v>
          </cell>
          <cell r="S3478" t="str">
            <v>Salma Yamani</v>
          </cell>
          <cell r="T3478">
            <v>45074</v>
          </cell>
          <cell r="U3478" t="str">
            <v>Trish Kalinczok</v>
          </cell>
          <cell r="V3478">
            <v>45177</v>
          </cell>
          <cell r="W3478">
            <v>45329</v>
          </cell>
          <cell r="AC3478">
            <v>45326</v>
          </cell>
        </row>
        <row r="3479">
          <cell r="I3479" t="str">
            <v>EDI</v>
          </cell>
          <cell r="L3479">
            <v>2112</v>
          </cell>
          <cell r="N3479" t="str">
            <v>Production</v>
          </cell>
          <cell r="O3479" t="str">
            <v>Everything Benefits</v>
          </cell>
          <cell r="P3479" t="str">
            <v>Production</v>
          </cell>
          <cell r="Q3479" t="str">
            <v>Live</v>
          </cell>
          <cell r="R3479">
            <v>45074.480243055557</v>
          </cell>
          <cell r="S3479" t="str">
            <v>Salma Yamani</v>
          </cell>
          <cell r="T3479">
            <v>45074</v>
          </cell>
          <cell r="U3479" t="str">
            <v>Trish Kalinczok</v>
          </cell>
          <cell r="V3479">
            <v>45174</v>
          </cell>
          <cell r="W3479">
            <v>45224</v>
          </cell>
          <cell r="AC3479">
            <v>45221</v>
          </cell>
        </row>
        <row r="3480">
          <cell r="I3480" t="str">
            <v>EDI</v>
          </cell>
          <cell r="L3480">
            <v>2111</v>
          </cell>
          <cell r="N3480" t="str">
            <v>Testing</v>
          </cell>
          <cell r="O3480" t="str">
            <v>Everything Benefits</v>
          </cell>
          <cell r="P3480" t="str">
            <v>Migration Testing</v>
          </cell>
          <cell r="Q3480" t="str">
            <v>Cancelled</v>
          </cell>
          <cell r="R3480">
            <v>45074.451921296299</v>
          </cell>
          <cell r="S3480" t="str">
            <v>Salma Yamani</v>
          </cell>
          <cell r="T3480">
            <v>45074</v>
          </cell>
          <cell r="U3480" t="str">
            <v>Matt Howell</v>
          </cell>
          <cell r="V3480">
            <v>45162</v>
          </cell>
        </row>
        <row r="3481">
          <cell r="I3481" t="str">
            <v>EDI</v>
          </cell>
          <cell r="L3481">
            <v>2203</v>
          </cell>
          <cell r="N3481" t="str">
            <v>Production</v>
          </cell>
          <cell r="O3481" t="str">
            <v>No</v>
          </cell>
          <cell r="Q3481" t="str">
            <v>Cancelled</v>
          </cell>
          <cell r="R3481">
            <v>45072.849652777782</v>
          </cell>
          <cell r="S3481" t="str">
            <v>Joseph Atef</v>
          </cell>
          <cell r="T3481">
            <v>45104</v>
          </cell>
          <cell r="U3481" t="str">
            <v>Jenna  Whaley</v>
          </cell>
          <cell r="V3481">
            <v>45137</v>
          </cell>
          <cell r="W3481">
            <v>45240</v>
          </cell>
          <cell r="Y3481">
            <v>45103</v>
          </cell>
          <cell r="AC3481">
            <v>45237</v>
          </cell>
        </row>
        <row r="3482">
          <cell r="I3482" t="str">
            <v>EDI</v>
          </cell>
          <cell r="L3482">
            <v>2151</v>
          </cell>
          <cell r="N3482" t="str">
            <v>Production</v>
          </cell>
          <cell r="O3482" t="str">
            <v>No</v>
          </cell>
          <cell r="Q3482" t="str">
            <v>Cancelled</v>
          </cell>
          <cell r="R3482">
            <v>45072.840324074074</v>
          </cell>
          <cell r="S3482" t="str">
            <v>Mahmoud Ahmed</v>
          </cell>
          <cell r="T3482">
            <v>45091</v>
          </cell>
          <cell r="U3482" t="str">
            <v>Julio Figueroa</v>
          </cell>
          <cell r="V3482">
            <v>45110</v>
          </cell>
          <cell r="W3482">
            <v>45127</v>
          </cell>
          <cell r="Y3482">
            <v>45078</v>
          </cell>
          <cell r="AC3482">
            <v>45125</v>
          </cell>
        </row>
        <row r="3483">
          <cell r="I3483" t="str">
            <v>EDI</v>
          </cell>
          <cell r="L3483">
            <v>2179</v>
          </cell>
          <cell r="N3483" t="str">
            <v>Production</v>
          </cell>
          <cell r="O3483" t="str">
            <v>No</v>
          </cell>
          <cell r="Q3483" t="str">
            <v>Cancelled</v>
          </cell>
          <cell r="R3483">
            <v>45072.795381944437</v>
          </cell>
          <cell r="S3483" t="str">
            <v>Hazem Rostom</v>
          </cell>
          <cell r="T3483">
            <v>45091</v>
          </cell>
          <cell r="U3483" t="str">
            <v>Heather Bawsel</v>
          </cell>
          <cell r="V3483">
            <v>45151</v>
          </cell>
          <cell r="W3483">
            <v>45176</v>
          </cell>
          <cell r="Y3483">
            <v>45084</v>
          </cell>
          <cell r="AC3483">
            <v>45174</v>
          </cell>
        </row>
        <row r="3484">
          <cell r="I3484" t="str">
            <v>EDI</v>
          </cell>
          <cell r="L3484">
            <v>2154</v>
          </cell>
          <cell r="N3484" t="str">
            <v>Production</v>
          </cell>
          <cell r="O3484" t="str">
            <v>No</v>
          </cell>
          <cell r="Q3484" t="str">
            <v>Cancelled</v>
          </cell>
          <cell r="R3484">
            <v>45072.795381944437</v>
          </cell>
          <cell r="S3484" t="str">
            <v>Salma Yamani</v>
          </cell>
          <cell r="T3484">
            <v>45091</v>
          </cell>
          <cell r="U3484" t="str">
            <v>Trish Kalinczok</v>
          </cell>
          <cell r="V3484">
            <v>25569</v>
          </cell>
          <cell r="W3484">
            <v>45526</v>
          </cell>
          <cell r="Y3484">
            <v>45083</v>
          </cell>
          <cell r="AC3484">
            <v>45523</v>
          </cell>
        </row>
        <row r="3485">
          <cell r="I3485" t="str">
            <v>EDI</v>
          </cell>
          <cell r="N3485" t="str">
            <v>Requirements Gathering</v>
          </cell>
          <cell r="O3485" t="str">
            <v>No</v>
          </cell>
          <cell r="Q3485" t="str">
            <v>Cancelled</v>
          </cell>
          <cell r="R3485">
            <v>45072.795381944437</v>
          </cell>
          <cell r="S3485" t="str">
            <v>Sandra Adel</v>
          </cell>
          <cell r="T3485">
            <v>45074</v>
          </cell>
          <cell r="U3485" t="str">
            <v>Heather Bawsel</v>
          </cell>
        </row>
        <row r="3486">
          <cell r="I3486" t="str">
            <v>EDI</v>
          </cell>
          <cell r="L3486">
            <v>2187</v>
          </cell>
          <cell r="N3486" t="str">
            <v>Production</v>
          </cell>
          <cell r="O3486" t="str">
            <v>No</v>
          </cell>
          <cell r="Q3486" t="str">
            <v>Cancelled</v>
          </cell>
          <cell r="R3486">
            <v>45072.795358796298</v>
          </cell>
          <cell r="S3486" t="str">
            <v>Mina Adel</v>
          </cell>
          <cell r="T3486">
            <v>45092</v>
          </cell>
          <cell r="U3486" t="str">
            <v>Heather Bawsel</v>
          </cell>
          <cell r="W3486">
            <v>45190</v>
          </cell>
          <cell r="Y3486">
            <v>45078</v>
          </cell>
          <cell r="AC3486">
            <v>45189</v>
          </cell>
        </row>
        <row r="3487">
          <cell r="I3487" t="str">
            <v>EDI</v>
          </cell>
          <cell r="N3487" t="str">
            <v>Requirements Gathering</v>
          </cell>
          <cell r="O3487" t="str">
            <v>Everything Benefits</v>
          </cell>
          <cell r="P3487" t="str">
            <v>Phase 1 - Map Built</v>
          </cell>
          <cell r="Q3487" t="str">
            <v>Cancelled</v>
          </cell>
          <cell r="R3487">
            <v>45071.819398148153</v>
          </cell>
          <cell r="S3487" t="str">
            <v>Abdulrahman Tarek</v>
          </cell>
          <cell r="T3487">
            <v>45074</v>
          </cell>
          <cell r="U3487" t="str">
            <v>Jene Hamm</v>
          </cell>
        </row>
        <row r="3488">
          <cell r="I3488" t="str">
            <v>EDI</v>
          </cell>
          <cell r="L3488">
            <v>2153</v>
          </cell>
          <cell r="N3488" t="str">
            <v>Testing</v>
          </cell>
          <cell r="O3488" t="str">
            <v>No</v>
          </cell>
          <cell r="Q3488" t="str">
            <v>Cancelled</v>
          </cell>
          <cell r="R3488">
            <v>45071.718414351853</v>
          </cell>
          <cell r="S3488" t="str">
            <v>Mina Adel</v>
          </cell>
          <cell r="T3488">
            <v>45090</v>
          </cell>
          <cell r="U3488" t="str">
            <v>Hans De Grouw</v>
          </cell>
          <cell r="V3488">
            <v>45153</v>
          </cell>
          <cell r="Y3488">
            <v>45084</v>
          </cell>
        </row>
        <row r="3489">
          <cell r="I3489" t="str">
            <v>EDI</v>
          </cell>
          <cell r="L3489">
            <v>2175</v>
          </cell>
          <cell r="N3489" t="str">
            <v>Production</v>
          </cell>
          <cell r="O3489" t="str">
            <v>No</v>
          </cell>
          <cell r="Q3489" t="str">
            <v>Live</v>
          </cell>
          <cell r="R3489">
            <v>45071.718414351853</v>
          </cell>
          <cell r="S3489" t="str">
            <v>Ahmed Sami</v>
          </cell>
          <cell r="T3489">
            <v>45090</v>
          </cell>
          <cell r="U3489" t="str">
            <v>Hans De Grouw</v>
          </cell>
          <cell r="V3489">
            <v>45158</v>
          </cell>
          <cell r="W3489">
            <v>45225</v>
          </cell>
          <cell r="Y3489">
            <v>45084</v>
          </cell>
          <cell r="AC3489">
            <v>45224</v>
          </cell>
        </row>
        <row r="3490">
          <cell r="I3490" t="str">
            <v>EDI</v>
          </cell>
          <cell r="L3490">
            <v>2107</v>
          </cell>
          <cell r="N3490" t="str">
            <v>Production</v>
          </cell>
          <cell r="O3490" t="str">
            <v>Everything Benefits</v>
          </cell>
          <cell r="P3490" t="str">
            <v>Production</v>
          </cell>
          <cell r="Q3490" t="str">
            <v>Live</v>
          </cell>
          <cell r="R3490">
            <v>45071.664942129632</v>
          </cell>
          <cell r="S3490" t="str">
            <v>Mohamed Abdelhamed</v>
          </cell>
          <cell r="T3490">
            <v>45071</v>
          </cell>
          <cell r="U3490" t="str">
            <v>Jene Hamm</v>
          </cell>
          <cell r="V3490">
            <v>45117</v>
          </cell>
          <cell r="W3490">
            <v>45131</v>
          </cell>
          <cell r="AC3490">
            <v>45131</v>
          </cell>
        </row>
        <row r="3491">
          <cell r="I3491" t="str">
            <v>EDI</v>
          </cell>
          <cell r="L3491">
            <v>2108</v>
          </cell>
          <cell r="N3491" t="str">
            <v>Production</v>
          </cell>
          <cell r="O3491" t="str">
            <v>Everything Benefits</v>
          </cell>
          <cell r="P3491" t="str">
            <v>Production</v>
          </cell>
          <cell r="Q3491" t="str">
            <v>Live</v>
          </cell>
          <cell r="R3491">
            <v>45071.659050925933</v>
          </cell>
          <cell r="S3491" t="str">
            <v>Mohamed Abdelhamed</v>
          </cell>
          <cell r="T3491">
            <v>45084</v>
          </cell>
          <cell r="U3491" t="str">
            <v>Jene Hamm</v>
          </cell>
          <cell r="V3491">
            <v>45124</v>
          </cell>
          <cell r="W3491">
            <v>45145</v>
          </cell>
          <cell r="Y3491">
            <v>45081</v>
          </cell>
          <cell r="AC3491">
            <v>45137</v>
          </cell>
        </row>
        <row r="3492">
          <cell r="I3492" t="str">
            <v>EDI</v>
          </cell>
          <cell r="L3492">
            <v>2159</v>
          </cell>
          <cell r="N3492" t="str">
            <v>Production</v>
          </cell>
          <cell r="O3492" t="str">
            <v>No</v>
          </cell>
          <cell r="Q3492" t="str">
            <v>Cancelled</v>
          </cell>
          <cell r="R3492">
            <v>45071.049456018518</v>
          </cell>
          <cell r="S3492" t="str">
            <v>Joseph Atef</v>
          </cell>
          <cell r="T3492">
            <v>45083</v>
          </cell>
          <cell r="U3492" t="str">
            <v>Vicky Wright</v>
          </cell>
          <cell r="V3492">
            <v>45132</v>
          </cell>
          <cell r="W3492">
            <v>45313</v>
          </cell>
          <cell r="Y3492">
            <v>45078</v>
          </cell>
          <cell r="AC3492">
            <v>45310</v>
          </cell>
        </row>
        <row r="3493">
          <cell r="I3493" t="str">
            <v>EDI</v>
          </cell>
          <cell r="L3493">
            <v>2149</v>
          </cell>
          <cell r="N3493" t="str">
            <v>Production</v>
          </cell>
          <cell r="O3493" t="str">
            <v>No</v>
          </cell>
          <cell r="Q3493" t="str">
            <v>Cancelled</v>
          </cell>
          <cell r="R3493">
            <v>45070.988518518519</v>
          </cell>
          <cell r="S3493" t="str">
            <v>Mina George</v>
          </cell>
          <cell r="T3493">
            <v>45090</v>
          </cell>
          <cell r="U3493" t="str">
            <v>Vicky Wright</v>
          </cell>
          <cell r="V3493">
            <v>45110</v>
          </cell>
          <cell r="W3493">
            <v>45122</v>
          </cell>
          <cell r="Y3493">
            <v>45083</v>
          </cell>
          <cell r="AC3493">
            <v>45117</v>
          </cell>
        </row>
        <row r="3494">
          <cell r="I3494" t="str">
            <v>EDI</v>
          </cell>
          <cell r="L3494">
            <v>2158</v>
          </cell>
          <cell r="N3494" t="str">
            <v>Production</v>
          </cell>
          <cell r="O3494" t="str">
            <v>No</v>
          </cell>
          <cell r="Q3494" t="str">
            <v>Cancelled</v>
          </cell>
          <cell r="R3494">
            <v>45070.987962962958</v>
          </cell>
          <cell r="S3494" t="str">
            <v>Fady Maged</v>
          </cell>
          <cell r="T3494">
            <v>45083</v>
          </cell>
          <cell r="U3494" t="str">
            <v>Vicky Wright</v>
          </cell>
          <cell r="V3494">
            <v>45159</v>
          </cell>
          <cell r="W3494">
            <v>25569</v>
          </cell>
          <cell r="Y3494">
            <v>45083</v>
          </cell>
          <cell r="AC3494">
            <v>45291</v>
          </cell>
        </row>
        <row r="3495">
          <cell r="I3495" t="str">
            <v>EDI</v>
          </cell>
          <cell r="L3495">
            <v>2423</v>
          </cell>
          <cell r="N3495" t="str">
            <v>Production</v>
          </cell>
          <cell r="O3495" t="str">
            <v>No</v>
          </cell>
          <cell r="Q3495" t="str">
            <v>Cancelled</v>
          </cell>
          <cell r="R3495">
            <v>45070.987314814818</v>
          </cell>
          <cell r="S3495" t="str">
            <v>Mina George</v>
          </cell>
          <cell r="T3495">
            <v>45165</v>
          </cell>
          <cell r="U3495" t="str">
            <v>Vicky Wright</v>
          </cell>
          <cell r="W3495">
            <v>25569</v>
          </cell>
          <cell r="Y3495">
            <v>45112</v>
          </cell>
          <cell r="AC3495">
            <v>45223</v>
          </cell>
        </row>
        <row r="3496">
          <cell r="I3496" t="str">
            <v>EDI</v>
          </cell>
          <cell r="L3496">
            <v>2150</v>
          </cell>
          <cell r="N3496" t="str">
            <v>Production</v>
          </cell>
          <cell r="O3496" t="str">
            <v>No</v>
          </cell>
          <cell r="Q3496" t="str">
            <v>Cancelled</v>
          </cell>
          <cell r="R3496">
            <v>45070.778263888889</v>
          </cell>
          <cell r="S3496" t="str">
            <v>Mina George</v>
          </cell>
          <cell r="T3496">
            <v>45083</v>
          </cell>
          <cell r="U3496" t="str">
            <v>Hans De Grouw</v>
          </cell>
          <cell r="V3496">
            <v>45154</v>
          </cell>
          <cell r="W3496">
            <v>45175</v>
          </cell>
          <cell r="Y3496">
            <v>45081</v>
          </cell>
          <cell r="AC3496">
            <v>45169</v>
          </cell>
        </row>
        <row r="3497">
          <cell r="I3497" t="str">
            <v>EDI</v>
          </cell>
          <cell r="L3497">
            <v>2130</v>
          </cell>
          <cell r="N3497" t="str">
            <v>Production</v>
          </cell>
          <cell r="O3497" t="str">
            <v>No</v>
          </cell>
          <cell r="Q3497" t="str">
            <v>Cancelled</v>
          </cell>
          <cell r="R3497">
            <v>45070.774560185193</v>
          </cell>
          <cell r="S3497" t="str">
            <v>Aya Fathy</v>
          </cell>
          <cell r="T3497">
            <v>45083</v>
          </cell>
          <cell r="U3497" t="str">
            <v>Hans De Grouw</v>
          </cell>
          <cell r="V3497">
            <v>45123</v>
          </cell>
          <cell r="W3497">
            <v>45180</v>
          </cell>
          <cell r="Y3497">
            <v>45081</v>
          </cell>
          <cell r="AC3497">
            <v>45176</v>
          </cell>
        </row>
        <row r="3498">
          <cell r="I3498" t="str">
            <v>EDI</v>
          </cell>
          <cell r="N3498" t="str">
            <v>Pending Start</v>
          </cell>
          <cell r="O3498" t="str">
            <v>No</v>
          </cell>
          <cell r="Q3498" t="str">
            <v>Cancelled</v>
          </cell>
          <cell r="R3498">
            <v>45070.769004629627</v>
          </cell>
          <cell r="U3498" t="str">
            <v>Vicky Wright</v>
          </cell>
        </row>
        <row r="3499">
          <cell r="I3499" t="str">
            <v>EDI</v>
          </cell>
          <cell r="N3499" t="str">
            <v>Pending Start</v>
          </cell>
          <cell r="O3499" t="str">
            <v>No</v>
          </cell>
          <cell r="Q3499" t="str">
            <v>Cancelled</v>
          </cell>
          <cell r="R3499">
            <v>45070.769004629627</v>
          </cell>
          <cell r="U3499" t="str">
            <v>Vicky Wright</v>
          </cell>
        </row>
        <row r="3500">
          <cell r="I3500" t="str">
            <v>EDI</v>
          </cell>
          <cell r="N3500" t="str">
            <v>Pending Start</v>
          </cell>
          <cell r="O3500" t="str">
            <v>No</v>
          </cell>
          <cell r="Q3500" t="str">
            <v>Cancelled</v>
          </cell>
          <cell r="R3500">
            <v>45070.769004629627</v>
          </cell>
          <cell r="U3500" t="str">
            <v>Vicky Wright</v>
          </cell>
        </row>
        <row r="3501">
          <cell r="I3501" t="str">
            <v>EDI</v>
          </cell>
          <cell r="L3501">
            <v>2148</v>
          </cell>
          <cell r="N3501" t="str">
            <v>Production</v>
          </cell>
          <cell r="O3501" t="str">
            <v>No</v>
          </cell>
          <cell r="Q3501" t="str">
            <v>Cancelled</v>
          </cell>
          <cell r="R3501">
            <v>45069.835405092592</v>
          </cell>
          <cell r="S3501" t="str">
            <v>Ahmed Sami</v>
          </cell>
          <cell r="T3501">
            <v>45083</v>
          </cell>
          <cell r="U3501" t="str">
            <v>Hans De Grouw</v>
          </cell>
          <cell r="V3501">
            <v>45145</v>
          </cell>
          <cell r="W3501">
            <v>45161</v>
          </cell>
          <cell r="Y3501">
            <v>45074</v>
          </cell>
          <cell r="AC3501">
            <v>45160</v>
          </cell>
        </row>
        <row r="3502">
          <cell r="I3502" t="str">
            <v>EDI</v>
          </cell>
          <cell r="L3502">
            <v>2106</v>
          </cell>
          <cell r="N3502" t="str">
            <v>Production</v>
          </cell>
          <cell r="O3502" t="str">
            <v>No</v>
          </cell>
          <cell r="Q3502" t="str">
            <v>Cancelled</v>
          </cell>
          <cell r="R3502">
            <v>45069.704421296286</v>
          </cell>
          <cell r="S3502" t="str">
            <v>Mina George</v>
          </cell>
          <cell r="T3502">
            <v>45071</v>
          </cell>
          <cell r="U3502" t="str">
            <v>Laurence Peters</v>
          </cell>
          <cell r="V3502">
            <v>45079</v>
          </cell>
          <cell r="W3502">
            <v>45108</v>
          </cell>
          <cell r="Y3502">
            <v>45070</v>
          </cell>
          <cell r="AC3502">
            <v>45095</v>
          </cell>
        </row>
        <row r="3503">
          <cell r="I3503" t="str">
            <v>EDI</v>
          </cell>
          <cell r="L3503">
            <v>2096</v>
          </cell>
          <cell r="N3503" t="str">
            <v>Production</v>
          </cell>
          <cell r="O3503" t="str">
            <v>Everything Benefits</v>
          </cell>
          <cell r="P3503" t="str">
            <v>Production</v>
          </cell>
          <cell r="Q3503" t="str">
            <v>Live</v>
          </cell>
          <cell r="R3503">
            <v>45068.482546296298</v>
          </cell>
          <cell r="S3503" t="str">
            <v>Mohamed Abdelhamed</v>
          </cell>
          <cell r="T3503">
            <v>45071</v>
          </cell>
          <cell r="U3503" t="str">
            <v>Jene Hamm</v>
          </cell>
          <cell r="V3503">
            <v>45141</v>
          </cell>
          <cell r="W3503">
            <v>45313</v>
          </cell>
          <cell r="AC3503">
            <v>45312</v>
          </cell>
        </row>
        <row r="3504">
          <cell r="I3504" t="str">
            <v>EDI</v>
          </cell>
          <cell r="L3504">
            <v>2236</v>
          </cell>
          <cell r="N3504" t="str">
            <v>Production</v>
          </cell>
          <cell r="O3504" t="str">
            <v>No</v>
          </cell>
          <cell r="Q3504" t="str">
            <v>Cancelled</v>
          </cell>
          <cell r="R3504">
            <v>45065.656840277778</v>
          </cell>
          <cell r="S3504" t="str">
            <v>Joseph Atef</v>
          </cell>
          <cell r="T3504">
            <v>45111</v>
          </cell>
          <cell r="U3504" t="str">
            <v>Tammy Davies</v>
          </cell>
          <cell r="V3504">
            <v>45175</v>
          </cell>
          <cell r="W3504">
            <v>45566</v>
          </cell>
          <cell r="Y3504">
            <v>45110</v>
          </cell>
          <cell r="AC3504">
            <v>45565</v>
          </cell>
        </row>
        <row r="3505">
          <cell r="I3505" t="str">
            <v>EDI</v>
          </cell>
          <cell r="L3505">
            <v>2103</v>
          </cell>
          <cell r="N3505" t="str">
            <v>Production</v>
          </cell>
          <cell r="O3505" t="str">
            <v>No</v>
          </cell>
          <cell r="Q3505" t="str">
            <v>Cancelled</v>
          </cell>
          <cell r="R3505">
            <v>45065.656828703701</v>
          </cell>
          <cell r="S3505" t="str">
            <v>Mina Adel</v>
          </cell>
          <cell r="T3505">
            <v>45070</v>
          </cell>
          <cell r="U3505" t="str">
            <v>Tammy Davies</v>
          </cell>
          <cell r="V3505">
            <v>45137</v>
          </cell>
          <cell r="W3505">
            <v>45155</v>
          </cell>
          <cell r="Y3505">
            <v>45069</v>
          </cell>
          <cell r="AC3505">
            <v>45148</v>
          </cell>
        </row>
        <row r="3506">
          <cell r="I3506" t="str">
            <v>EDI</v>
          </cell>
          <cell r="L3506">
            <v>2136</v>
          </cell>
          <cell r="N3506" t="str">
            <v>Production</v>
          </cell>
          <cell r="O3506" t="str">
            <v>No</v>
          </cell>
          <cell r="Q3506" t="str">
            <v>Cancelled</v>
          </cell>
          <cell r="R3506">
            <v>45065.585277777784</v>
          </cell>
          <cell r="S3506" t="str">
            <v>Dina Medhat</v>
          </cell>
          <cell r="T3506">
            <v>45067</v>
          </cell>
          <cell r="U3506" t="str">
            <v>Hans De Grouw</v>
          </cell>
          <cell r="V3506">
            <v>45151</v>
          </cell>
          <cell r="W3506">
            <v>45165</v>
          </cell>
          <cell r="AC3506">
            <v>45173</v>
          </cell>
        </row>
        <row r="3507">
          <cell r="I3507" t="str">
            <v>EDI</v>
          </cell>
          <cell r="L3507">
            <v>2104</v>
          </cell>
          <cell r="N3507" t="str">
            <v>Production</v>
          </cell>
          <cell r="O3507" t="str">
            <v>No</v>
          </cell>
          <cell r="Q3507" t="str">
            <v>Cancelled</v>
          </cell>
          <cell r="R3507">
            <v>45065.585277777784</v>
          </cell>
          <cell r="S3507" t="str">
            <v>Dina Medhat</v>
          </cell>
          <cell r="T3507">
            <v>45067</v>
          </cell>
          <cell r="U3507" t="str">
            <v>Hans De Grouw</v>
          </cell>
          <cell r="W3507">
            <v>45148</v>
          </cell>
          <cell r="AC3507">
            <v>45146</v>
          </cell>
        </row>
        <row r="3508">
          <cell r="I3508" t="str">
            <v>EDI</v>
          </cell>
          <cell r="L3508">
            <v>2136</v>
          </cell>
          <cell r="N3508" t="str">
            <v>Production</v>
          </cell>
          <cell r="O3508" t="str">
            <v>No</v>
          </cell>
          <cell r="Q3508" t="str">
            <v>Cancelled</v>
          </cell>
          <cell r="R3508">
            <v>45065.575821759259</v>
          </cell>
          <cell r="S3508" t="str">
            <v>Omnia Abdelaziz</v>
          </cell>
          <cell r="T3508">
            <v>45081</v>
          </cell>
          <cell r="U3508" t="str">
            <v>Hans De Grouw</v>
          </cell>
          <cell r="V3508">
            <v>45151</v>
          </cell>
          <cell r="W3508">
            <v>45165</v>
          </cell>
          <cell r="Y3508">
            <v>45071</v>
          </cell>
          <cell r="AC3508">
            <v>45162</v>
          </cell>
        </row>
        <row r="3509">
          <cell r="I3509" t="str">
            <v>EDI</v>
          </cell>
          <cell r="L3509">
            <v>2104</v>
          </cell>
          <cell r="N3509" t="str">
            <v>Production</v>
          </cell>
          <cell r="O3509" t="str">
            <v>No</v>
          </cell>
          <cell r="Q3509" t="str">
            <v>Cancelled</v>
          </cell>
          <cell r="R3509">
            <v>45065.575821759259</v>
          </cell>
          <cell r="S3509" t="str">
            <v>Mina Kamil</v>
          </cell>
          <cell r="T3509">
            <v>45071</v>
          </cell>
          <cell r="U3509" t="str">
            <v>Hans De Grouw</v>
          </cell>
          <cell r="W3509">
            <v>45148</v>
          </cell>
          <cell r="Y3509">
            <v>45071</v>
          </cell>
          <cell r="AC3509">
            <v>45145</v>
          </cell>
        </row>
        <row r="3510">
          <cell r="I3510" t="str">
            <v>EDI</v>
          </cell>
          <cell r="L3510">
            <v>2143</v>
          </cell>
          <cell r="N3510" t="str">
            <v>Production</v>
          </cell>
          <cell r="O3510" t="str">
            <v>No</v>
          </cell>
          <cell r="Q3510" t="str">
            <v>Cancelled</v>
          </cell>
          <cell r="R3510">
            <v>45064.545717592591</v>
          </cell>
          <cell r="S3510" t="str">
            <v>Mina Adel</v>
          </cell>
          <cell r="T3510">
            <v>45083</v>
          </cell>
          <cell r="U3510" t="str">
            <v>Laurence Peters</v>
          </cell>
          <cell r="V3510">
            <v>45120</v>
          </cell>
          <cell r="W3510">
            <v>45141</v>
          </cell>
          <cell r="Y3510">
            <v>45078</v>
          </cell>
          <cell r="AC3510">
            <v>45140</v>
          </cell>
        </row>
        <row r="3511">
          <cell r="I3511" t="str">
            <v>EDI</v>
          </cell>
          <cell r="L3511">
            <v>2132</v>
          </cell>
          <cell r="N3511" t="str">
            <v>Production</v>
          </cell>
          <cell r="O3511" t="str">
            <v>No</v>
          </cell>
          <cell r="Q3511" t="str">
            <v>Live</v>
          </cell>
          <cell r="R3511">
            <v>45063.845104166663</v>
          </cell>
          <cell r="S3511" t="str">
            <v>Mina George</v>
          </cell>
          <cell r="T3511">
            <v>45231</v>
          </cell>
          <cell r="U3511" t="str">
            <v>Jene Hamm</v>
          </cell>
          <cell r="V3511">
            <v>45120</v>
          </cell>
          <cell r="W3511">
            <v>45370</v>
          </cell>
          <cell r="Y3511">
            <v>45074</v>
          </cell>
          <cell r="AC3511">
            <v>45368</v>
          </cell>
        </row>
        <row r="3512">
          <cell r="I3512" t="str">
            <v>EDI</v>
          </cell>
          <cell r="L3512">
            <v>2172</v>
          </cell>
          <cell r="N3512" t="str">
            <v>Production</v>
          </cell>
          <cell r="O3512" t="str">
            <v>No</v>
          </cell>
          <cell r="Q3512" t="str">
            <v>Cancelled</v>
          </cell>
          <cell r="R3512">
            <v>45063.781597222223</v>
          </cell>
          <cell r="S3512" t="str">
            <v>Andrew Ramy</v>
          </cell>
          <cell r="T3512">
            <v>45099</v>
          </cell>
          <cell r="U3512" t="str">
            <v>Hans De Grouw</v>
          </cell>
          <cell r="V3512">
            <v>45105</v>
          </cell>
          <cell r="W3512">
            <v>45253</v>
          </cell>
          <cell r="Y3512">
            <v>45098</v>
          </cell>
          <cell r="AC3512">
            <v>45245</v>
          </cell>
        </row>
        <row r="3513">
          <cell r="I3513" t="str">
            <v>EDI</v>
          </cell>
          <cell r="L3513">
            <v>2131</v>
          </cell>
          <cell r="N3513" t="str">
            <v>Testing</v>
          </cell>
          <cell r="O3513" t="str">
            <v>No</v>
          </cell>
          <cell r="Q3513" t="str">
            <v>Cancelled</v>
          </cell>
          <cell r="R3513">
            <v>45063.781585648147</v>
          </cell>
          <cell r="S3513" t="str">
            <v>Omnia Abdelaziz</v>
          </cell>
          <cell r="T3513">
            <v>45083</v>
          </cell>
          <cell r="U3513" t="str">
            <v>Hans De Grouw</v>
          </cell>
          <cell r="V3513">
            <v>45162</v>
          </cell>
          <cell r="Y3513">
            <v>45078</v>
          </cell>
        </row>
        <row r="3514">
          <cell r="I3514" t="str">
            <v>EDI</v>
          </cell>
          <cell r="L3514">
            <v>2128</v>
          </cell>
          <cell r="N3514" t="str">
            <v>Production</v>
          </cell>
          <cell r="O3514" t="str">
            <v>No</v>
          </cell>
          <cell r="Q3514" t="str">
            <v>Live</v>
          </cell>
          <cell r="R3514">
            <v>45063.689988425933</v>
          </cell>
          <cell r="S3514" t="str">
            <v>Aya Fathy</v>
          </cell>
          <cell r="T3514">
            <v>45082</v>
          </cell>
          <cell r="U3514" t="str">
            <v>Jenna  Whaley</v>
          </cell>
          <cell r="V3514">
            <v>45091</v>
          </cell>
          <cell r="W3514">
            <v>45125</v>
          </cell>
          <cell r="Y3514">
            <v>45082</v>
          </cell>
          <cell r="AC3514">
            <v>45116</v>
          </cell>
        </row>
        <row r="3515">
          <cell r="I3515" t="str">
            <v>EDI</v>
          </cell>
          <cell r="L3515">
            <v>2115</v>
          </cell>
          <cell r="N3515" t="str">
            <v>Production</v>
          </cell>
          <cell r="O3515" t="str">
            <v>No</v>
          </cell>
          <cell r="Q3515" t="str">
            <v>Cancelled</v>
          </cell>
          <cell r="R3515">
            <v>45063.686273148152</v>
          </cell>
          <cell r="S3515" t="str">
            <v>Mina Adel</v>
          </cell>
          <cell r="T3515">
            <v>45076</v>
          </cell>
          <cell r="U3515" t="str">
            <v>Jenna  Whaley</v>
          </cell>
          <cell r="V3515">
            <v>45103</v>
          </cell>
          <cell r="W3515">
            <v>45139</v>
          </cell>
          <cell r="Y3515">
            <v>45074</v>
          </cell>
          <cell r="AC3515">
            <v>45134</v>
          </cell>
        </row>
        <row r="3516">
          <cell r="I3516" t="str">
            <v>EDI</v>
          </cell>
          <cell r="L3516">
            <v>2110</v>
          </cell>
          <cell r="N3516" t="str">
            <v>Production</v>
          </cell>
          <cell r="O3516" t="str">
            <v>No</v>
          </cell>
          <cell r="Q3516" t="str">
            <v>Cancelled</v>
          </cell>
          <cell r="R3516">
            <v>45063.685266203713</v>
          </cell>
          <cell r="S3516" t="str">
            <v>Mahmoud Ahmed</v>
          </cell>
          <cell r="T3516">
            <v>45071</v>
          </cell>
          <cell r="U3516" t="str">
            <v>Laurence Peters</v>
          </cell>
          <cell r="V3516">
            <v>45091</v>
          </cell>
          <cell r="W3516">
            <v>45132</v>
          </cell>
          <cell r="Y3516">
            <v>45070</v>
          </cell>
          <cell r="AC3516">
            <v>45126</v>
          </cell>
        </row>
        <row r="3517">
          <cell r="I3517" t="str">
            <v>EDI</v>
          </cell>
          <cell r="L3517">
            <v>2127</v>
          </cell>
          <cell r="N3517" t="str">
            <v>Production</v>
          </cell>
          <cell r="O3517" t="str">
            <v>No</v>
          </cell>
          <cell r="Q3517" t="str">
            <v>Cancelled</v>
          </cell>
          <cell r="R3517">
            <v>45063.682905092603</v>
          </cell>
          <cell r="S3517" t="str">
            <v>Mina George</v>
          </cell>
          <cell r="T3517">
            <v>45081</v>
          </cell>
          <cell r="U3517" t="str">
            <v>Jenna  Whaley</v>
          </cell>
          <cell r="V3517">
            <v>45132</v>
          </cell>
          <cell r="W3517">
            <v>45209</v>
          </cell>
          <cell r="Y3517">
            <v>45078</v>
          </cell>
          <cell r="AC3517">
            <v>45204</v>
          </cell>
        </row>
        <row r="3518">
          <cell r="I3518" t="str">
            <v>EDI</v>
          </cell>
          <cell r="L3518">
            <v>2109</v>
          </cell>
          <cell r="N3518" t="str">
            <v>Production</v>
          </cell>
          <cell r="O3518" t="str">
            <v>No</v>
          </cell>
          <cell r="Q3518" t="str">
            <v>Live</v>
          </cell>
          <cell r="R3518">
            <v>45063.680636574078</v>
          </cell>
          <cell r="S3518" t="str">
            <v>Hazem Rostom</v>
          </cell>
          <cell r="T3518">
            <v>45070</v>
          </cell>
          <cell r="U3518" t="str">
            <v>Laurence Peters</v>
          </cell>
          <cell r="V3518">
            <v>45099</v>
          </cell>
          <cell r="W3518">
            <v>45120</v>
          </cell>
          <cell r="Y3518">
            <v>45069</v>
          </cell>
          <cell r="AC3518">
            <v>45117</v>
          </cell>
        </row>
        <row r="3519">
          <cell r="I3519" t="str">
            <v>EDI</v>
          </cell>
          <cell r="L3519">
            <v>2126</v>
          </cell>
          <cell r="N3519" t="str">
            <v>Production</v>
          </cell>
          <cell r="O3519" t="str">
            <v>No</v>
          </cell>
          <cell r="Q3519" t="str">
            <v>Live</v>
          </cell>
          <cell r="R3519">
            <v>45062.744490740741</v>
          </cell>
          <cell r="S3519" t="str">
            <v>Joseph Atef</v>
          </cell>
          <cell r="T3519">
            <v>45070</v>
          </cell>
          <cell r="U3519" t="str">
            <v>Miranda Naeem</v>
          </cell>
          <cell r="V3519">
            <v>45151</v>
          </cell>
          <cell r="W3519">
            <v>45153</v>
          </cell>
          <cell r="Y3519">
            <v>45062</v>
          </cell>
          <cell r="AC3519">
            <v>45151</v>
          </cell>
        </row>
        <row r="3520">
          <cell r="I3520" t="str">
            <v>EDI</v>
          </cell>
          <cell r="L3520">
            <v>2144</v>
          </cell>
          <cell r="N3520" t="str">
            <v>Production</v>
          </cell>
          <cell r="O3520" t="str">
            <v>No</v>
          </cell>
          <cell r="Q3520" t="str">
            <v>Cancelled</v>
          </cell>
          <cell r="R3520">
            <v>45062.647488425922</v>
          </cell>
          <cell r="S3520" t="str">
            <v>Mina Adel</v>
          </cell>
          <cell r="T3520">
            <v>45089</v>
          </cell>
          <cell r="U3520" t="str">
            <v>Laurence Peters</v>
          </cell>
          <cell r="V3520">
            <v>45120</v>
          </cell>
          <cell r="W3520">
            <v>45141</v>
          </cell>
          <cell r="Y3520">
            <v>45078</v>
          </cell>
          <cell r="AC3520">
            <v>45140</v>
          </cell>
        </row>
        <row r="3521">
          <cell r="I3521" t="str">
            <v>EDI</v>
          </cell>
          <cell r="L3521">
            <v>2114</v>
          </cell>
          <cell r="N3521" t="str">
            <v>Production</v>
          </cell>
          <cell r="O3521" t="str">
            <v>No</v>
          </cell>
          <cell r="Q3521" t="str">
            <v>Live</v>
          </cell>
          <cell r="R3521">
            <v>45062.549861111111</v>
          </cell>
          <cell r="S3521" t="str">
            <v>Omnia Abdelaziz</v>
          </cell>
          <cell r="T3521">
            <v>45069</v>
          </cell>
          <cell r="U3521" t="str">
            <v>Hans De Grouw</v>
          </cell>
          <cell r="V3521">
            <v>45180</v>
          </cell>
          <cell r="W3521">
            <v>45225</v>
          </cell>
          <cell r="Y3521">
            <v>45063</v>
          </cell>
          <cell r="AC3521">
            <v>45217</v>
          </cell>
        </row>
        <row r="3522">
          <cell r="I3522" t="str">
            <v>EDI</v>
          </cell>
          <cell r="L3522">
            <v>2098</v>
          </cell>
          <cell r="N3522" t="str">
            <v>Production</v>
          </cell>
          <cell r="O3522" t="str">
            <v>No</v>
          </cell>
          <cell r="Q3522" t="str">
            <v>Live</v>
          </cell>
          <cell r="R3522">
            <v>45062.528356481482</v>
          </cell>
          <cell r="S3522" t="str">
            <v>Dina Medhat</v>
          </cell>
          <cell r="T3522">
            <v>45062</v>
          </cell>
          <cell r="U3522" t="str">
            <v>Jene Hamm</v>
          </cell>
          <cell r="W3522">
            <v>45209</v>
          </cell>
          <cell r="AC3522">
            <v>45209</v>
          </cell>
        </row>
        <row r="3523">
          <cell r="I3523" t="str">
            <v>EDI</v>
          </cell>
          <cell r="L3523">
            <v>2098</v>
          </cell>
          <cell r="N3523" t="str">
            <v>Production</v>
          </cell>
          <cell r="O3523" t="str">
            <v>No</v>
          </cell>
          <cell r="Q3523" t="str">
            <v>Live</v>
          </cell>
          <cell r="R3523">
            <v>45062.52484953704</v>
          </cell>
          <cell r="S3523" t="str">
            <v>Dina Medhat</v>
          </cell>
          <cell r="T3523">
            <v>45062</v>
          </cell>
          <cell r="U3523" t="str">
            <v>Jene Hamm</v>
          </cell>
          <cell r="W3523">
            <v>45209</v>
          </cell>
          <cell r="AC3523">
            <v>45209</v>
          </cell>
        </row>
        <row r="3524">
          <cell r="I3524" t="str">
            <v>EDI</v>
          </cell>
          <cell r="L3524">
            <v>2098</v>
          </cell>
          <cell r="N3524" t="str">
            <v>Production</v>
          </cell>
          <cell r="O3524" t="str">
            <v>No</v>
          </cell>
          <cell r="Q3524" t="str">
            <v>Live</v>
          </cell>
          <cell r="R3524">
            <v>45062.522905092592</v>
          </cell>
          <cell r="S3524" t="str">
            <v>Dina Medhat</v>
          </cell>
          <cell r="T3524">
            <v>45062</v>
          </cell>
          <cell r="U3524" t="str">
            <v>Jene Hamm</v>
          </cell>
          <cell r="W3524">
            <v>45209</v>
          </cell>
          <cell r="AC3524">
            <v>45209</v>
          </cell>
        </row>
        <row r="3525">
          <cell r="I3525" t="str">
            <v>EDI</v>
          </cell>
          <cell r="L3525">
            <v>2098</v>
          </cell>
          <cell r="N3525" t="str">
            <v>Production</v>
          </cell>
          <cell r="O3525" t="str">
            <v>No</v>
          </cell>
          <cell r="Q3525" t="str">
            <v>Live</v>
          </cell>
          <cell r="R3525">
            <v>45062.521724537037</v>
          </cell>
          <cell r="S3525" t="str">
            <v>Dina Medhat</v>
          </cell>
          <cell r="T3525">
            <v>45062</v>
          </cell>
          <cell r="U3525" t="str">
            <v>Jene Hamm</v>
          </cell>
          <cell r="W3525">
            <v>45209</v>
          </cell>
          <cell r="AC3525">
            <v>45209</v>
          </cell>
        </row>
        <row r="3526">
          <cell r="I3526" t="str">
            <v>EDI</v>
          </cell>
          <cell r="L3526">
            <v>2098</v>
          </cell>
          <cell r="N3526" t="str">
            <v>Production</v>
          </cell>
          <cell r="O3526" t="str">
            <v>No</v>
          </cell>
          <cell r="Q3526" t="str">
            <v>Live</v>
          </cell>
          <cell r="R3526">
            <v>45062.519016203703</v>
          </cell>
          <cell r="S3526" t="str">
            <v>Dina Medhat</v>
          </cell>
          <cell r="T3526">
            <v>45062</v>
          </cell>
          <cell r="U3526" t="str">
            <v>Jene Hamm</v>
          </cell>
          <cell r="W3526">
            <v>45209</v>
          </cell>
          <cell r="AC3526">
            <v>45209</v>
          </cell>
        </row>
        <row r="3527">
          <cell r="I3527" t="str">
            <v>EDI</v>
          </cell>
          <cell r="L3527">
            <v>2129</v>
          </cell>
          <cell r="N3527" t="str">
            <v>Testing</v>
          </cell>
          <cell r="O3527" t="str">
            <v>No</v>
          </cell>
          <cell r="Q3527" t="str">
            <v>Cancelled</v>
          </cell>
          <cell r="R3527">
            <v>45061.843634259261</v>
          </cell>
          <cell r="S3527" t="str">
            <v>Hazem Rostom</v>
          </cell>
          <cell r="T3527">
            <v>45435</v>
          </cell>
          <cell r="U3527" t="str">
            <v>Julio Figueroa</v>
          </cell>
          <cell r="V3527">
            <v>45210</v>
          </cell>
          <cell r="Y3527">
            <v>45078</v>
          </cell>
        </row>
        <row r="3528">
          <cell r="I3528" t="str">
            <v>EDI</v>
          </cell>
          <cell r="L3528">
            <v>2161</v>
          </cell>
          <cell r="N3528" t="str">
            <v>Production</v>
          </cell>
          <cell r="O3528" t="str">
            <v>No</v>
          </cell>
          <cell r="Q3528" t="str">
            <v>Cancelled</v>
          </cell>
          <cell r="R3528">
            <v>45061.843622685177</v>
          </cell>
          <cell r="S3528" t="str">
            <v>Aya Fathy</v>
          </cell>
          <cell r="T3528">
            <v>45095</v>
          </cell>
          <cell r="U3528" t="str">
            <v>Julio Figueroa</v>
          </cell>
          <cell r="V3528">
            <v>45103</v>
          </cell>
          <cell r="W3528">
            <v>45183</v>
          </cell>
          <cell r="Y3528">
            <v>45095</v>
          </cell>
          <cell r="AC3528">
            <v>45181</v>
          </cell>
        </row>
        <row r="3529">
          <cell r="I3529" t="str">
            <v>EDI</v>
          </cell>
          <cell r="L3529">
            <v>2198</v>
          </cell>
          <cell r="N3529" t="str">
            <v>Testing</v>
          </cell>
          <cell r="O3529" t="str">
            <v>No</v>
          </cell>
          <cell r="Q3529" t="str">
            <v>Cancelled</v>
          </cell>
          <cell r="R3529">
            <v>45061.843622685177</v>
          </cell>
          <cell r="S3529" t="str">
            <v>Reem Radwan</v>
          </cell>
          <cell r="T3529">
            <v>45431</v>
          </cell>
          <cell r="U3529" t="str">
            <v>Julio Figueroa</v>
          </cell>
          <cell r="V3529">
            <v>45227</v>
          </cell>
          <cell r="Y3529">
            <v>45111</v>
          </cell>
        </row>
        <row r="3530">
          <cell r="I3530" t="str">
            <v>EDI</v>
          </cell>
          <cell r="L3530">
            <v>2095</v>
          </cell>
          <cell r="N3530" t="str">
            <v>Production</v>
          </cell>
          <cell r="O3530" t="str">
            <v>No</v>
          </cell>
          <cell r="Q3530" t="str">
            <v>Live</v>
          </cell>
          <cell r="R3530">
            <v>45061.714502314811</v>
          </cell>
          <cell r="S3530" t="str">
            <v>Dina Medhat</v>
          </cell>
          <cell r="T3530">
            <v>45062</v>
          </cell>
          <cell r="U3530" t="str">
            <v>Jene Hamm</v>
          </cell>
          <cell r="V3530">
            <v>45075</v>
          </cell>
          <cell r="W3530">
            <v>45265</v>
          </cell>
          <cell r="AC3530">
            <v>45271</v>
          </cell>
        </row>
        <row r="3531">
          <cell r="I3531" t="str">
            <v>EDI</v>
          </cell>
          <cell r="L3531">
            <v>2095</v>
          </cell>
          <cell r="N3531" t="str">
            <v>Production</v>
          </cell>
          <cell r="O3531" t="str">
            <v>No</v>
          </cell>
          <cell r="Q3531" t="str">
            <v>Live</v>
          </cell>
          <cell r="R3531">
            <v>45061.711377314823</v>
          </cell>
          <cell r="S3531" t="str">
            <v>Dina Medhat</v>
          </cell>
          <cell r="T3531">
            <v>45062</v>
          </cell>
          <cell r="U3531" t="str">
            <v>Jene Hamm</v>
          </cell>
          <cell r="V3531">
            <v>45075</v>
          </cell>
          <cell r="W3531">
            <v>45265</v>
          </cell>
          <cell r="AC3531">
            <v>45271</v>
          </cell>
        </row>
        <row r="3532">
          <cell r="I3532" t="str">
            <v>EDI</v>
          </cell>
          <cell r="L3532">
            <v>2095</v>
          </cell>
          <cell r="N3532" t="str">
            <v>Production</v>
          </cell>
          <cell r="O3532" t="str">
            <v>No</v>
          </cell>
          <cell r="Q3532" t="str">
            <v>Live</v>
          </cell>
          <cell r="R3532">
            <v>45061.709907407407</v>
          </cell>
          <cell r="S3532" t="str">
            <v>Dina Medhat</v>
          </cell>
          <cell r="T3532">
            <v>45062</v>
          </cell>
          <cell r="U3532" t="str">
            <v>Jene Hamm</v>
          </cell>
          <cell r="V3532">
            <v>45075</v>
          </cell>
          <cell r="W3532">
            <v>45265</v>
          </cell>
          <cell r="AC3532">
            <v>45271</v>
          </cell>
        </row>
        <row r="3533">
          <cell r="I3533" t="str">
            <v>EDI</v>
          </cell>
          <cell r="L3533">
            <v>2095</v>
          </cell>
          <cell r="N3533" t="str">
            <v>Production</v>
          </cell>
          <cell r="O3533" t="str">
            <v>No</v>
          </cell>
          <cell r="Q3533" t="str">
            <v>Live</v>
          </cell>
          <cell r="R3533">
            <v>45061.708472222221</v>
          </cell>
          <cell r="S3533" t="str">
            <v>Aya Fathy</v>
          </cell>
          <cell r="T3533">
            <v>45068</v>
          </cell>
          <cell r="U3533" t="str">
            <v>Jene Hamm</v>
          </cell>
          <cell r="V3533">
            <v>45075</v>
          </cell>
          <cell r="W3533">
            <v>45265</v>
          </cell>
          <cell r="Y3533">
            <v>45067</v>
          </cell>
          <cell r="AC3533">
            <v>45260</v>
          </cell>
        </row>
        <row r="3534">
          <cell r="I3534" t="str">
            <v>EDI</v>
          </cell>
          <cell r="L3534">
            <v>2098</v>
          </cell>
          <cell r="N3534" t="str">
            <v>Production</v>
          </cell>
          <cell r="O3534" t="str">
            <v>No</v>
          </cell>
          <cell r="Q3534" t="str">
            <v>Live</v>
          </cell>
          <cell r="R3534">
            <v>45061.708472222221</v>
          </cell>
          <cell r="S3534" t="str">
            <v>Mina Kamil</v>
          </cell>
          <cell r="T3534">
            <v>45069</v>
          </cell>
          <cell r="U3534" t="str">
            <v>Jene Hamm</v>
          </cell>
          <cell r="W3534">
            <v>45209</v>
          </cell>
          <cell r="Y3534">
            <v>45063</v>
          </cell>
          <cell r="AC3534">
            <v>45207</v>
          </cell>
        </row>
        <row r="3535">
          <cell r="I3535" t="str">
            <v>EDI</v>
          </cell>
          <cell r="L3535">
            <v>2095</v>
          </cell>
          <cell r="N3535" t="str">
            <v>Production</v>
          </cell>
          <cell r="O3535" t="str">
            <v>No</v>
          </cell>
          <cell r="Q3535" t="str">
            <v>Live</v>
          </cell>
          <cell r="R3535">
            <v>45061.705520833333</v>
          </cell>
          <cell r="S3535" t="str">
            <v>Dina Medhat</v>
          </cell>
          <cell r="T3535">
            <v>45062</v>
          </cell>
          <cell r="U3535" t="str">
            <v>Jene Hamm</v>
          </cell>
          <cell r="V3535">
            <v>45075</v>
          </cell>
          <cell r="W3535">
            <v>45265</v>
          </cell>
          <cell r="AC3535">
            <v>45271</v>
          </cell>
        </row>
        <row r="3536">
          <cell r="I3536" t="str">
            <v>EDI</v>
          </cell>
          <cell r="L3536">
            <v>2095</v>
          </cell>
          <cell r="N3536" t="str">
            <v>Production</v>
          </cell>
          <cell r="O3536" t="str">
            <v>No</v>
          </cell>
          <cell r="Q3536" t="str">
            <v>Live</v>
          </cell>
          <cell r="R3536">
            <v>45061.702766203707</v>
          </cell>
          <cell r="S3536" t="str">
            <v>Dina Medhat</v>
          </cell>
          <cell r="T3536">
            <v>45062</v>
          </cell>
          <cell r="U3536" t="str">
            <v>Jene Hamm</v>
          </cell>
          <cell r="V3536">
            <v>45075</v>
          </cell>
          <cell r="W3536">
            <v>45265</v>
          </cell>
          <cell r="AC3536">
            <v>45271</v>
          </cell>
        </row>
        <row r="3537">
          <cell r="I3537" t="str">
            <v>EDI</v>
          </cell>
          <cell r="N3537" t="str">
            <v>Pending Start</v>
          </cell>
          <cell r="O3537" t="str">
            <v>No</v>
          </cell>
          <cell r="Q3537" t="str">
            <v>Cancelled</v>
          </cell>
          <cell r="R3537">
            <v>45061.568692129629</v>
          </cell>
          <cell r="U3537" t="str">
            <v>Jene Hamm</v>
          </cell>
        </row>
        <row r="3538">
          <cell r="I3538" t="str">
            <v>EDI</v>
          </cell>
          <cell r="N3538" t="str">
            <v>Pending Start</v>
          </cell>
          <cell r="O3538" t="str">
            <v>No</v>
          </cell>
          <cell r="Q3538" t="str">
            <v>Cancelled</v>
          </cell>
          <cell r="R3538">
            <v>45061.568680555552</v>
          </cell>
          <cell r="U3538" t="str">
            <v>Jene Hamm</v>
          </cell>
        </row>
        <row r="3539">
          <cell r="I3539" t="str">
            <v>EDI</v>
          </cell>
          <cell r="L3539">
            <v>2099</v>
          </cell>
          <cell r="N3539" t="str">
            <v>Testing</v>
          </cell>
          <cell r="O3539" t="str">
            <v>No</v>
          </cell>
          <cell r="Q3539" t="str">
            <v>Cancelled</v>
          </cell>
          <cell r="R3539">
            <v>45061.539664351847</v>
          </cell>
          <cell r="S3539" t="str">
            <v>Mina Kamil</v>
          </cell>
          <cell r="T3539">
            <v>45326</v>
          </cell>
          <cell r="U3539" t="str">
            <v>Jene Hamm</v>
          </cell>
          <cell r="V3539">
            <v>45155</v>
          </cell>
          <cell r="Y3539">
            <v>45064</v>
          </cell>
        </row>
        <row r="3540">
          <cell r="I3540" t="str">
            <v>EDI</v>
          </cell>
          <cell r="N3540" t="str">
            <v>Requirements Gathering</v>
          </cell>
          <cell r="O3540" t="str">
            <v>No</v>
          </cell>
          <cell r="Q3540" t="str">
            <v>Cancelled</v>
          </cell>
          <cell r="R3540">
            <v>45061.539652777778</v>
          </cell>
          <cell r="S3540" t="str">
            <v>Sandra Adel</v>
          </cell>
          <cell r="T3540">
            <v>45061</v>
          </cell>
          <cell r="U3540" t="str">
            <v>Jene Hamm</v>
          </cell>
        </row>
        <row r="3541">
          <cell r="I3541" t="str">
            <v>EDI</v>
          </cell>
          <cell r="L3541">
            <v>2087</v>
          </cell>
          <cell r="N3541" t="str">
            <v>Production</v>
          </cell>
          <cell r="O3541" t="str">
            <v>No</v>
          </cell>
          <cell r="Q3541" t="str">
            <v>Cancelled</v>
          </cell>
          <cell r="R3541">
            <v>45058.618391203701</v>
          </cell>
          <cell r="S3541" t="str">
            <v>Dina Medhat</v>
          </cell>
          <cell r="T3541">
            <v>45060</v>
          </cell>
          <cell r="U3541" t="str">
            <v>Vicky Wright</v>
          </cell>
          <cell r="V3541">
            <v>45100</v>
          </cell>
          <cell r="W3541">
            <v>45183</v>
          </cell>
          <cell r="AC3541">
            <v>45180</v>
          </cell>
        </row>
        <row r="3542">
          <cell r="I3542" t="str">
            <v>EDI</v>
          </cell>
          <cell r="L3542">
            <v>2102</v>
          </cell>
          <cell r="N3542" t="str">
            <v>Production</v>
          </cell>
          <cell r="O3542" t="str">
            <v>No</v>
          </cell>
          <cell r="Q3542" t="str">
            <v>Cancelled</v>
          </cell>
          <cell r="R3542">
            <v>45058.618379629632</v>
          </cell>
          <cell r="S3542" t="str">
            <v>Dina Medhat</v>
          </cell>
          <cell r="T3542">
            <v>45060</v>
          </cell>
          <cell r="U3542" t="str">
            <v>Vicky Wright</v>
          </cell>
          <cell r="V3542">
            <v>45118</v>
          </cell>
          <cell r="W3542">
            <v>45127</v>
          </cell>
          <cell r="AC3542">
            <v>45134</v>
          </cell>
        </row>
        <row r="3543">
          <cell r="I3543" t="str">
            <v>EDI</v>
          </cell>
          <cell r="L3543">
            <v>2087</v>
          </cell>
          <cell r="N3543" t="str">
            <v>Production</v>
          </cell>
          <cell r="O3543" t="str">
            <v>No</v>
          </cell>
          <cell r="Q3543" t="str">
            <v>Cancelled</v>
          </cell>
          <cell r="R3543">
            <v>45058.606400462973</v>
          </cell>
          <cell r="S3543" t="str">
            <v>Mina George</v>
          </cell>
          <cell r="T3543">
            <v>45062</v>
          </cell>
          <cell r="U3543" t="str">
            <v>Vicky Wright</v>
          </cell>
          <cell r="V3543">
            <v>45100</v>
          </cell>
          <cell r="W3543">
            <v>45183</v>
          </cell>
          <cell r="Y3543">
            <v>45061</v>
          </cell>
          <cell r="AC3543">
            <v>45180</v>
          </cell>
        </row>
        <row r="3544">
          <cell r="I3544" t="str">
            <v>EDI</v>
          </cell>
          <cell r="L3544">
            <v>2102</v>
          </cell>
          <cell r="N3544" t="str">
            <v>Production</v>
          </cell>
          <cell r="O3544" t="str">
            <v>No</v>
          </cell>
          <cell r="Q3544" t="str">
            <v>Cancelled</v>
          </cell>
          <cell r="R3544">
            <v>45058.606388888889</v>
          </cell>
          <cell r="S3544" t="str">
            <v>Mahmoud Ahmed</v>
          </cell>
          <cell r="T3544">
            <v>45069</v>
          </cell>
          <cell r="U3544" t="str">
            <v>Vicky Wright</v>
          </cell>
          <cell r="V3544">
            <v>45118</v>
          </cell>
          <cell r="W3544">
            <v>45127</v>
          </cell>
          <cell r="Y3544">
            <v>45069</v>
          </cell>
          <cell r="AC3544">
            <v>45126</v>
          </cell>
        </row>
        <row r="3545">
          <cell r="I3545" t="str">
            <v>EDI</v>
          </cell>
          <cell r="L3545">
            <v>2138</v>
          </cell>
          <cell r="N3545" t="str">
            <v>Production</v>
          </cell>
          <cell r="O3545" t="str">
            <v>No</v>
          </cell>
          <cell r="Q3545" t="str">
            <v>Cancelled</v>
          </cell>
          <cell r="R3545">
            <v>45056.791400462957</v>
          </cell>
          <cell r="S3545" t="str">
            <v>Aya Fathy</v>
          </cell>
          <cell r="T3545">
            <v>45088</v>
          </cell>
          <cell r="U3545" t="str">
            <v>Jene Hamm</v>
          </cell>
          <cell r="V3545">
            <v>25569</v>
          </cell>
          <cell r="W3545">
            <v>45243</v>
          </cell>
          <cell r="Y3545">
            <v>45085</v>
          </cell>
          <cell r="AC3545">
            <v>45238</v>
          </cell>
        </row>
        <row r="3546">
          <cell r="I3546" t="str">
            <v>EDI</v>
          </cell>
          <cell r="L3546">
            <v>2092</v>
          </cell>
          <cell r="N3546" t="str">
            <v>Production</v>
          </cell>
          <cell r="O3546" t="str">
            <v>No</v>
          </cell>
          <cell r="Q3546" t="str">
            <v>Live</v>
          </cell>
          <cell r="R3546">
            <v>45056.634641203702</v>
          </cell>
          <cell r="S3546" t="str">
            <v>Mina George</v>
          </cell>
          <cell r="T3546">
            <v>45064</v>
          </cell>
          <cell r="U3546" t="str">
            <v>Miranda Naeem</v>
          </cell>
          <cell r="V3546">
            <v>45076</v>
          </cell>
          <cell r="W3546">
            <v>45112</v>
          </cell>
          <cell r="Y3546">
            <v>45064</v>
          </cell>
          <cell r="AC3546">
            <v>45110</v>
          </cell>
        </row>
        <row r="3547">
          <cell r="I3547" t="str">
            <v>EDI</v>
          </cell>
          <cell r="L3547">
            <v>2120</v>
          </cell>
          <cell r="N3547" t="str">
            <v>Production</v>
          </cell>
          <cell r="O3547" t="str">
            <v>No</v>
          </cell>
          <cell r="Q3547" t="str">
            <v>Live</v>
          </cell>
          <cell r="R3547">
            <v>45055.691643518519</v>
          </cell>
          <cell r="S3547" t="str">
            <v>Fady Maged</v>
          </cell>
          <cell r="T3547">
            <v>45070</v>
          </cell>
          <cell r="U3547" t="str">
            <v>Jene Hamm</v>
          </cell>
          <cell r="V3547">
            <v>25569</v>
          </cell>
          <cell r="W3547">
            <v>45160</v>
          </cell>
          <cell r="Y3547">
            <v>45070</v>
          </cell>
          <cell r="AC3547">
            <v>45158</v>
          </cell>
        </row>
        <row r="3548">
          <cell r="I3548" t="str">
            <v>EDI</v>
          </cell>
          <cell r="L3548">
            <v>2082</v>
          </cell>
          <cell r="N3548" t="str">
            <v>Production</v>
          </cell>
          <cell r="O3548" t="str">
            <v>No</v>
          </cell>
          <cell r="Q3548" t="str">
            <v>Live</v>
          </cell>
          <cell r="R3548">
            <v>45055.691643518519</v>
          </cell>
          <cell r="S3548" t="str">
            <v>Mina Kamil</v>
          </cell>
          <cell r="T3548">
            <v>45060</v>
          </cell>
          <cell r="U3548" t="str">
            <v>Jene Hamm</v>
          </cell>
          <cell r="V3548">
            <v>45148</v>
          </cell>
          <cell r="W3548">
            <v>45174</v>
          </cell>
          <cell r="Y3548">
            <v>45060</v>
          </cell>
          <cell r="AC3548">
            <v>45169</v>
          </cell>
        </row>
        <row r="3549">
          <cell r="I3549" t="str">
            <v>EDI</v>
          </cell>
          <cell r="L3549">
            <v>2239</v>
          </cell>
          <cell r="N3549" t="str">
            <v>Production</v>
          </cell>
          <cell r="O3549" t="str">
            <v>No</v>
          </cell>
          <cell r="Q3549" t="str">
            <v>Live</v>
          </cell>
          <cell r="R3549">
            <v>45055.691643518519</v>
          </cell>
          <cell r="S3549" t="str">
            <v>Fady Maged</v>
          </cell>
          <cell r="T3549">
            <v>45118</v>
          </cell>
          <cell r="U3549" t="str">
            <v>Jene Hamm</v>
          </cell>
          <cell r="V3549">
            <v>45138</v>
          </cell>
          <cell r="W3549">
            <v>45188</v>
          </cell>
          <cell r="Y3549">
            <v>45118</v>
          </cell>
          <cell r="AC3549">
            <v>45181</v>
          </cell>
        </row>
        <row r="3550">
          <cell r="I3550" t="str">
            <v>EDI</v>
          </cell>
          <cell r="L3550">
            <v>2093</v>
          </cell>
          <cell r="N3550" t="str">
            <v>Production</v>
          </cell>
          <cell r="O3550" t="str">
            <v>No</v>
          </cell>
          <cell r="Q3550" t="str">
            <v>Live</v>
          </cell>
          <cell r="R3550">
            <v>45055.597858796304</v>
          </cell>
          <cell r="S3550" t="str">
            <v>Mina Kamil</v>
          </cell>
          <cell r="T3550">
            <v>45067</v>
          </cell>
          <cell r="U3550" t="str">
            <v>Miranda Naeem</v>
          </cell>
          <cell r="W3550">
            <v>45426</v>
          </cell>
          <cell r="Y3550">
            <v>45062</v>
          </cell>
          <cell r="AC3550">
            <v>45403</v>
          </cell>
        </row>
        <row r="3551">
          <cell r="I3551" t="str">
            <v>EDI</v>
          </cell>
          <cell r="L3551">
            <v>2078</v>
          </cell>
          <cell r="N3551" t="str">
            <v>Production</v>
          </cell>
          <cell r="O3551" t="str">
            <v>No</v>
          </cell>
          <cell r="Q3551" t="str">
            <v>Cancelled</v>
          </cell>
          <cell r="R3551">
            <v>45054.846458333333</v>
          </cell>
          <cell r="S3551" t="str">
            <v>Mina Kamil</v>
          </cell>
          <cell r="T3551">
            <v>45055</v>
          </cell>
          <cell r="U3551" t="str">
            <v>Jenna  Whaley</v>
          </cell>
          <cell r="V3551">
            <v>45414</v>
          </cell>
          <cell r="W3551">
            <v>45160</v>
          </cell>
          <cell r="Y3551">
            <v>45055</v>
          </cell>
          <cell r="AC3551">
            <v>45153</v>
          </cell>
        </row>
        <row r="3552">
          <cell r="I3552" t="str">
            <v>EDI</v>
          </cell>
          <cell r="N3552" t="str">
            <v>Requirements Gathering</v>
          </cell>
          <cell r="O3552" t="str">
            <v>No</v>
          </cell>
          <cell r="Q3552" t="str">
            <v>Cancelled</v>
          </cell>
          <cell r="R3552">
            <v>45054.816504629627</v>
          </cell>
          <cell r="S3552" t="str">
            <v>Abdulrahman Tarek</v>
          </cell>
          <cell r="T3552">
            <v>45055</v>
          </cell>
          <cell r="U3552" t="str">
            <v>Robbie Schappell</v>
          </cell>
        </row>
        <row r="3553">
          <cell r="I3553" t="str">
            <v>EDI</v>
          </cell>
          <cell r="L3553">
            <v>2118</v>
          </cell>
          <cell r="N3553" t="str">
            <v>Production</v>
          </cell>
          <cell r="O3553" t="str">
            <v>No</v>
          </cell>
          <cell r="Q3553" t="str">
            <v>Cancelled</v>
          </cell>
          <cell r="R3553">
            <v>45054.816493055558</v>
          </cell>
          <cell r="S3553" t="str">
            <v>Alaa Yehia</v>
          </cell>
          <cell r="T3553">
            <v>45067</v>
          </cell>
          <cell r="U3553" t="str">
            <v>Robbie Schappell</v>
          </cell>
          <cell r="V3553">
            <v>45172</v>
          </cell>
          <cell r="W3553">
            <v>45433</v>
          </cell>
          <cell r="Y3553">
            <v>45062</v>
          </cell>
          <cell r="AC3553">
            <v>45430</v>
          </cell>
        </row>
        <row r="3554">
          <cell r="I3554" t="str">
            <v>EDI</v>
          </cell>
          <cell r="N3554" t="str">
            <v>Requirements Gathering</v>
          </cell>
          <cell r="O3554" t="str">
            <v>No</v>
          </cell>
          <cell r="Q3554" t="str">
            <v>Cancelled</v>
          </cell>
          <cell r="R3554">
            <v>45054.816493055558</v>
          </cell>
          <cell r="S3554" t="str">
            <v>Abdulrahman Tarek</v>
          </cell>
          <cell r="T3554">
            <v>45055</v>
          </cell>
          <cell r="U3554" t="str">
            <v>Robbie Schappell</v>
          </cell>
        </row>
        <row r="3555">
          <cell r="I3555" t="str">
            <v>EDI</v>
          </cell>
          <cell r="L3555">
            <v>2068</v>
          </cell>
          <cell r="N3555" t="str">
            <v>Production</v>
          </cell>
          <cell r="O3555" t="str">
            <v>Everything Benefits</v>
          </cell>
          <cell r="P3555" t="str">
            <v>Production</v>
          </cell>
          <cell r="Q3555" t="str">
            <v>Live</v>
          </cell>
          <cell r="R3555">
            <v>45053.491574074083</v>
          </cell>
          <cell r="S3555" t="str">
            <v>Karen Ramy</v>
          </cell>
          <cell r="T3555">
            <v>45053</v>
          </cell>
          <cell r="U3555" t="str">
            <v>Melodie Coles</v>
          </cell>
          <cell r="V3555">
            <v>45054</v>
          </cell>
          <cell r="W3555">
            <v>45061</v>
          </cell>
          <cell r="AC3555">
            <v>45060</v>
          </cell>
        </row>
        <row r="3556">
          <cell r="I3556" t="str">
            <v>EDI</v>
          </cell>
          <cell r="L3556">
            <v>2069</v>
          </cell>
          <cell r="N3556" t="str">
            <v>Production</v>
          </cell>
          <cell r="O3556" t="str">
            <v>Everything Benefits</v>
          </cell>
          <cell r="P3556" t="str">
            <v>Production</v>
          </cell>
          <cell r="Q3556" t="str">
            <v>Live</v>
          </cell>
          <cell r="R3556">
            <v>45053.482002314813</v>
          </cell>
          <cell r="S3556" t="str">
            <v>Karen Ramy</v>
          </cell>
          <cell r="T3556">
            <v>45053</v>
          </cell>
          <cell r="U3556" t="str">
            <v>Melodie Coles</v>
          </cell>
          <cell r="V3556">
            <v>45054</v>
          </cell>
          <cell r="W3556">
            <v>45061</v>
          </cell>
          <cell r="AC3556">
            <v>45060</v>
          </cell>
        </row>
        <row r="3557">
          <cell r="I3557" t="str">
            <v>EDI</v>
          </cell>
          <cell r="L3557">
            <v>2090</v>
          </cell>
          <cell r="N3557" t="str">
            <v>Production</v>
          </cell>
          <cell r="O3557" t="str">
            <v>No</v>
          </cell>
          <cell r="Q3557" t="str">
            <v>Live</v>
          </cell>
          <cell r="R3557">
            <v>45051.571979166663</v>
          </cell>
          <cell r="S3557" t="str">
            <v>Omnia Abdelaziz</v>
          </cell>
          <cell r="T3557">
            <v>45060</v>
          </cell>
          <cell r="U3557" t="str">
            <v>Robbie Schappell</v>
          </cell>
          <cell r="V3557">
            <v>45084</v>
          </cell>
          <cell r="W3557">
            <v>45091</v>
          </cell>
          <cell r="Y3557">
            <v>45056</v>
          </cell>
          <cell r="AC3557">
            <v>45090</v>
          </cell>
        </row>
        <row r="3558">
          <cell r="I3558" t="str">
            <v>EDI</v>
          </cell>
          <cell r="L3558">
            <v>2085</v>
          </cell>
          <cell r="N3558" t="str">
            <v>Production</v>
          </cell>
          <cell r="O3558" t="str">
            <v>No</v>
          </cell>
          <cell r="Q3558" t="str">
            <v>Live</v>
          </cell>
          <cell r="R3558">
            <v>45051.571967592587</v>
          </cell>
          <cell r="S3558" t="str">
            <v>Alaa Yehia</v>
          </cell>
          <cell r="T3558">
            <v>45057</v>
          </cell>
          <cell r="U3558" t="str">
            <v>Robbie Schappell</v>
          </cell>
          <cell r="V3558">
            <v>45076</v>
          </cell>
          <cell r="W3558">
            <v>45189</v>
          </cell>
          <cell r="Y3558">
            <v>45056</v>
          </cell>
          <cell r="AC3558">
            <v>45183</v>
          </cell>
        </row>
        <row r="3559">
          <cell r="I3559" t="str">
            <v>EDI</v>
          </cell>
          <cell r="L3559">
            <v>2071</v>
          </cell>
          <cell r="N3559" t="str">
            <v>Production</v>
          </cell>
          <cell r="O3559" t="str">
            <v>No</v>
          </cell>
          <cell r="Q3559" t="str">
            <v>Live</v>
          </cell>
          <cell r="R3559">
            <v>45047.84878472222</v>
          </cell>
          <cell r="S3559" t="str">
            <v>Mina George</v>
          </cell>
          <cell r="T3559">
            <v>45050</v>
          </cell>
          <cell r="U3559" t="str">
            <v>Hans De Grouw</v>
          </cell>
          <cell r="V3559">
            <v>45090</v>
          </cell>
          <cell r="W3559">
            <v>45181</v>
          </cell>
          <cell r="Y3559">
            <v>45049</v>
          </cell>
          <cell r="AC3559">
            <v>45151</v>
          </cell>
        </row>
        <row r="3560">
          <cell r="I3560" t="str">
            <v>EDI</v>
          </cell>
          <cell r="L3560">
            <v>2623</v>
          </cell>
          <cell r="N3560" t="str">
            <v>Production</v>
          </cell>
          <cell r="O3560" t="str">
            <v>No</v>
          </cell>
          <cell r="Q3560" t="str">
            <v>Cancelled</v>
          </cell>
          <cell r="R3560">
            <v>45047.788206018522</v>
          </cell>
          <cell r="S3560" t="str">
            <v>Andrew Ramy</v>
          </cell>
          <cell r="T3560">
            <v>45249</v>
          </cell>
          <cell r="U3560" t="str">
            <v>Miranda Naeem</v>
          </cell>
          <cell r="V3560">
            <v>45341</v>
          </cell>
          <cell r="W3560">
            <v>25569</v>
          </cell>
          <cell r="Y3560">
            <v>45246</v>
          </cell>
          <cell r="AC3560">
            <v>45377</v>
          </cell>
        </row>
        <row r="3561">
          <cell r="I3561" t="str">
            <v>EDI</v>
          </cell>
          <cell r="L3561">
            <v>2168</v>
          </cell>
          <cell r="N3561" t="str">
            <v>Production</v>
          </cell>
          <cell r="O3561" t="str">
            <v>No</v>
          </cell>
          <cell r="Q3561" t="str">
            <v>Live</v>
          </cell>
          <cell r="R3561">
            <v>45047.753506944442</v>
          </cell>
          <cell r="S3561" t="str">
            <v>Joseph Atef</v>
          </cell>
          <cell r="T3561">
            <v>45089</v>
          </cell>
          <cell r="U3561" t="str">
            <v>Robbie Schappell</v>
          </cell>
          <cell r="V3561">
            <v>45155</v>
          </cell>
          <cell r="W3561">
            <v>45191</v>
          </cell>
          <cell r="Y3561">
            <v>45088</v>
          </cell>
          <cell r="AC3561">
            <v>45191</v>
          </cell>
        </row>
        <row r="3562">
          <cell r="I3562" t="str">
            <v>EDI</v>
          </cell>
          <cell r="L3562">
            <v>2086</v>
          </cell>
          <cell r="N3562" t="str">
            <v>Production</v>
          </cell>
          <cell r="O3562" t="str">
            <v>No</v>
          </cell>
          <cell r="Q3562" t="str">
            <v>Live</v>
          </cell>
          <cell r="R3562">
            <v>45047.753506944442</v>
          </cell>
          <cell r="S3562" t="str">
            <v>Mina Adel</v>
          </cell>
          <cell r="T3562">
            <v>45060</v>
          </cell>
          <cell r="U3562" t="str">
            <v>Robbie Schappell</v>
          </cell>
          <cell r="V3562">
            <v>45075</v>
          </cell>
          <cell r="W3562">
            <v>45122</v>
          </cell>
          <cell r="Y3562">
            <v>45060</v>
          </cell>
          <cell r="AC3562">
            <v>45111</v>
          </cell>
        </row>
        <row r="3563">
          <cell r="I3563" t="str">
            <v>EDI</v>
          </cell>
          <cell r="L3563">
            <v>2083</v>
          </cell>
          <cell r="N3563" t="str">
            <v>Production</v>
          </cell>
          <cell r="O3563" t="str">
            <v>No</v>
          </cell>
          <cell r="Q3563" t="str">
            <v>Cancelled</v>
          </cell>
          <cell r="R3563">
            <v>45047.715995370367</v>
          </cell>
          <cell r="S3563" t="str">
            <v>Tarek Medhat</v>
          </cell>
          <cell r="T3563">
            <v>45060</v>
          </cell>
          <cell r="U3563" t="str">
            <v>Miranda Naeem</v>
          </cell>
          <cell r="V3563">
            <v>45084</v>
          </cell>
          <cell r="W3563">
            <v>45202</v>
          </cell>
          <cell r="Y3563">
            <v>45060</v>
          </cell>
          <cell r="AC3563">
            <v>45197</v>
          </cell>
        </row>
        <row r="3564">
          <cell r="I3564" t="str">
            <v>EDI</v>
          </cell>
          <cell r="L3564">
            <v>2133</v>
          </cell>
          <cell r="N3564" t="str">
            <v>Production</v>
          </cell>
          <cell r="O3564" t="str">
            <v>No</v>
          </cell>
          <cell r="Q3564" t="str">
            <v>Cancelled</v>
          </cell>
          <cell r="R3564">
            <v>45047.703506944446</v>
          </cell>
          <cell r="S3564" t="str">
            <v>Tarek Medhat</v>
          </cell>
          <cell r="T3564">
            <v>45231</v>
          </cell>
          <cell r="U3564" t="str">
            <v>Miranda Naeem</v>
          </cell>
          <cell r="V3564">
            <v>25569</v>
          </cell>
          <cell r="W3564">
            <v>45286</v>
          </cell>
          <cell r="Y3564">
            <v>45069</v>
          </cell>
          <cell r="AC3564">
            <v>45284</v>
          </cell>
        </row>
        <row r="3565">
          <cell r="I3565" t="str">
            <v>EDI</v>
          </cell>
          <cell r="N3565" t="str">
            <v>Requirements Gathering</v>
          </cell>
          <cell r="O3565" t="str">
            <v>No</v>
          </cell>
          <cell r="Q3565" t="str">
            <v>Cancelled</v>
          </cell>
          <cell r="R3565">
            <v>45047.671087962961</v>
          </cell>
          <cell r="S3565" t="str">
            <v>Sandra Adel</v>
          </cell>
          <cell r="T3565">
            <v>45048</v>
          </cell>
          <cell r="U3565" t="str">
            <v>Robbie Schappell</v>
          </cell>
        </row>
        <row r="3566">
          <cell r="I3566" t="str">
            <v>EDI</v>
          </cell>
          <cell r="N3566" t="str">
            <v>Requirements Gathering</v>
          </cell>
          <cell r="O3566" t="str">
            <v>No</v>
          </cell>
          <cell r="Q3566" t="str">
            <v>Cancelled</v>
          </cell>
          <cell r="R3566">
            <v>45047.671076388891</v>
          </cell>
          <cell r="S3566" t="str">
            <v>Sandra Adel</v>
          </cell>
          <cell r="T3566">
            <v>45048</v>
          </cell>
          <cell r="U3566" t="str">
            <v>Robbie Schappell</v>
          </cell>
        </row>
        <row r="3567">
          <cell r="I3567" t="str">
            <v>EDI</v>
          </cell>
          <cell r="N3567" t="str">
            <v>Requirements Gathering</v>
          </cell>
          <cell r="O3567" t="str">
            <v>No</v>
          </cell>
          <cell r="Q3567" t="str">
            <v>Cancelled</v>
          </cell>
          <cell r="R3567">
            <v>45047.671076388891</v>
          </cell>
          <cell r="S3567" t="str">
            <v>Sandra Adel</v>
          </cell>
          <cell r="T3567">
            <v>45048</v>
          </cell>
          <cell r="U3567" t="str">
            <v>Robbie Schappell</v>
          </cell>
        </row>
        <row r="3568">
          <cell r="I3568" t="str">
            <v>EDI</v>
          </cell>
          <cell r="L3568">
            <v>2060</v>
          </cell>
          <cell r="N3568" t="str">
            <v>Production</v>
          </cell>
          <cell r="O3568" t="str">
            <v>Everything Benefits</v>
          </cell>
          <cell r="P3568" t="str">
            <v>Production</v>
          </cell>
          <cell r="Q3568" t="str">
            <v>Cancelled</v>
          </cell>
          <cell r="R3568">
            <v>45047.616354166668</v>
          </cell>
          <cell r="S3568" t="str">
            <v>Amira Elshora</v>
          </cell>
          <cell r="T3568">
            <v>45047</v>
          </cell>
          <cell r="U3568" t="str">
            <v>Jene Hamm</v>
          </cell>
          <cell r="V3568">
            <v>45048</v>
          </cell>
          <cell r="W3568">
            <v>45175</v>
          </cell>
          <cell r="AC3568">
            <v>45172</v>
          </cell>
        </row>
        <row r="3569">
          <cell r="I3569" t="str">
            <v>EDI</v>
          </cell>
          <cell r="L3569">
            <v>1994</v>
          </cell>
          <cell r="N3569" t="str">
            <v>Production</v>
          </cell>
          <cell r="O3569" t="str">
            <v>No</v>
          </cell>
          <cell r="Q3569" t="str">
            <v>Live</v>
          </cell>
          <cell r="R3569">
            <v>45046.369131944448</v>
          </cell>
          <cell r="S3569" t="str">
            <v>Omar Elmahalwy</v>
          </cell>
          <cell r="T3569">
            <v>45049</v>
          </cell>
          <cell r="U3569" t="str">
            <v>Vicky Wright</v>
          </cell>
          <cell r="V3569">
            <v>45184</v>
          </cell>
          <cell r="W3569">
            <v>25569</v>
          </cell>
          <cell r="AC3569">
            <v>45350</v>
          </cell>
        </row>
        <row r="3570">
          <cell r="I3570" t="str">
            <v>EDI</v>
          </cell>
          <cell r="L3570">
            <v>2064</v>
          </cell>
          <cell r="N3570" t="str">
            <v>Mapping</v>
          </cell>
          <cell r="O3570" t="str">
            <v>No</v>
          </cell>
          <cell r="Q3570" t="str">
            <v>Cancelled</v>
          </cell>
          <cell r="R3570">
            <v>45044.86582175926</v>
          </cell>
          <cell r="S3570" t="str">
            <v>Alaa Yehia</v>
          </cell>
          <cell r="T3570">
            <v>45055</v>
          </cell>
          <cell r="U3570" t="str">
            <v>Robbie Schappell</v>
          </cell>
          <cell r="Y3570">
            <v>45051</v>
          </cell>
        </row>
        <row r="3571">
          <cell r="I3571" t="str">
            <v>EDI</v>
          </cell>
          <cell r="L3571">
            <v>2081</v>
          </cell>
          <cell r="N3571" t="str">
            <v>Production</v>
          </cell>
          <cell r="O3571" t="str">
            <v>No</v>
          </cell>
          <cell r="Q3571" t="str">
            <v>Cancelled</v>
          </cell>
          <cell r="R3571">
            <v>45044.86582175926</v>
          </cell>
          <cell r="S3571" t="str">
            <v>Mina George</v>
          </cell>
          <cell r="T3571">
            <v>45055</v>
          </cell>
          <cell r="U3571" t="str">
            <v>Robbie Schappell</v>
          </cell>
          <cell r="V3571">
            <v>45076</v>
          </cell>
          <cell r="W3571">
            <v>45112</v>
          </cell>
          <cell r="Y3571">
            <v>45051</v>
          </cell>
          <cell r="AC3571">
            <v>45095</v>
          </cell>
        </row>
        <row r="3572">
          <cell r="I3572" t="str">
            <v>EDI</v>
          </cell>
          <cell r="L3572">
            <v>2097</v>
          </cell>
          <cell r="N3572" t="str">
            <v>Production</v>
          </cell>
          <cell r="O3572" t="str">
            <v>No</v>
          </cell>
          <cell r="Q3572" t="str">
            <v>Cancelled</v>
          </cell>
          <cell r="R3572">
            <v>45044.86582175926</v>
          </cell>
          <cell r="S3572" t="str">
            <v>Omnia Abdelaziz</v>
          </cell>
          <cell r="T3572">
            <v>45067</v>
          </cell>
          <cell r="U3572" t="str">
            <v>Robbie Schappell</v>
          </cell>
          <cell r="V3572">
            <v>45092</v>
          </cell>
          <cell r="W3572">
            <v>25569</v>
          </cell>
          <cell r="Y3572">
            <v>45064</v>
          </cell>
          <cell r="AC3572">
            <v>45214</v>
          </cell>
        </row>
        <row r="3573">
          <cell r="I3573" t="str">
            <v>EDI</v>
          </cell>
          <cell r="L3573">
            <v>2065</v>
          </cell>
          <cell r="N3573" t="str">
            <v>Production</v>
          </cell>
          <cell r="O3573" t="str">
            <v>Everything Benefits</v>
          </cell>
          <cell r="P3573" t="str">
            <v>Production</v>
          </cell>
          <cell r="Q3573" t="str">
            <v>Live</v>
          </cell>
          <cell r="R3573">
            <v>45043.726863425924</v>
          </cell>
          <cell r="S3573" t="str">
            <v>Mahmoud Heidar</v>
          </cell>
          <cell r="T3573">
            <v>45048</v>
          </cell>
          <cell r="U3573" t="str">
            <v>Jene Hamm</v>
          </cell>
          <cell r="V3573">
            <v>45091</v>
          </cell>
          <cell r="W3573">
            <v>45131</v>
          </cell>
          <cell r="Y3573">
            <v>45048</v>
          </cell>
          <cell r="AC3573">
            <v>45131</v>
          </cell>
        </row>
        <row r="3574">
          <cell r="I3574" t="str">
            <v>EDI</v>
          </cell>
          <cell r="L3574">
            <v>2072</v>
          </cell>
          <cell r="N3574" t="str">
            <v>Production</v>
          </cell>
          <cell r="O3574" t="str">
            <v>Everything Benefits</v>
          </cell>
          <cell r="P3574" t="str">
            <v>Production</v>
          </cell>
          <cell r="Q3574" t="str">
            <v>Live</v>
          </cell>
          <cell r="R3574">
            <v>45043.726851851847</v>
          </cell>
          <cell r="S3574" t="str">
            <v>Mahmoud Heidar</v>
          </cell>
          <cell r="T3574">
            <v>45048</v>
          </cell>
          <cell r="U3574" t="str">
            <v>Trish Kalinczok</v>
          </cell>
          <cell r="V3574">
            <v>45115</v>
          </cell>
          <cell r="W3574">
            <v>25569</v>
          </cell>
          <cell r="Y3574">
            <v>45048</v>
          </cell>
          <cell r="AC3574">
            <v>45207</v>
          </cell>
        </row>
        <row r="3575">
          <cell r="I3575" t="str">
            <v>EDI</v>
          </cell>
          <cell r="L3575">
            <v>2066</v>
          </cell>
          <cell r="N3575" t="str">
            <v>Production</v>
          </cell>
          <cell r="O3575" t="str">
            <v>Everything Benefits</v>
          </cell>
          <cell r="P3575" t="str">
            <v>Production</v>
          </cell>
          <cell r="Q3575" t="str">
            <v>Live</v>
          </cell>
          <cell r="R3575">
            <v>45043.726851851847</v>
          </cell>
          <cell r="S3575" t="str">
            <v>Mahmoud Heidar</v>
          </cell>
          <cell r="T3575">
            <v>45048</v>
          </cell>
          <cell r="U3575" t="str">
            <v>Jene Hamm</v>
          </cell>
          <cell r="V3575">
            <v>25569</v>
          </cell>
          <cell r="W3575">
            <v>25569</v>
          </cell>
          <cell r="Y3575">
            <v>45048</v>
          </cell>
          <cell r="AC3575">
            <v>45214</v>
          </cell>
        </row>
        <row r="3576">
          <cell r="I3576" t="str">
            <v>EDI</v>
          </cell>
          <cell r="N3576" t="str">
            <v>Pending Start</v>
          </cell>
          <cell r="O3576" t="str">
            <v>Everything Benefits</v>
          </cell>
          <cell r="P3576" t="str">
            <v>Map Under Review</v>
          </cell>
          <cell r="Q3576" t="str">
            <v>Cancelled</v>
          </cell>
          <cell r="R3576">
            <v>45043.718564814822</v>
          </cell>
          <cell r="U3576" t="str">
            <v>Vicky Wright</v>
          </cell>
        </row>
        <row r="3577">
          <cell r="I3577" t="str">
            <v>EDI</v>
          </cell>
          <cell r="N3577" t="str">
            <v>Pending Start</v>
          </cell>
          <cell r="O3577" t="str">
            <v>Everything Benefits</v>
          </cell>
          <cell r="P3577" t="str">
            <v>Map Under Review</v>
          </cell>
          <cell r="Q3577" t="str">
            <v>Cancelled</v>
          </cell>
          <cell r="R3577">
            <v>45043.718564814822</v>
          </cell>
          <cell r="U3577" t="str">
            <v>Vicky Wright</v>
          </cell>
        </row>
        <row r="3578">
          <cell r="I3578" t="str">
            <v>EDI</v>
          </cell>
          <cell r="N3578" t="str">
            <v>Pending Start</v>
          </cell>
          <cell r="O3578" t="str">
            <v>Everything Benefits</v>
          </cell>
          <cell r="P3578" t="str">
            <v>Map Under Review</v>
          </cell>
          <cell r="Q3578" t="str">
            <v>Cancelled</v>
          </cell>
          <cell r="R3578">
            <v>45043.718553240738</v>
          </cell>
          <cell r="U3578" t="str">
            <v>Vicky Wright</v>
          </cell>
        </row>
        <row r="3579">
          <cell r="I3579" t="str">
            <v>EDI</v>
          </cell>
          <cell r="L3579">
            <v>2076</v>
          </cell>
          <cell r="N3579" t="str">
            <v>Testing</v>
          </cell>
          <cell r="O3579" t="str">
            <v>No</v>
          </cell>
          <cell r="Q3579" t="str">
            <v>Cancelled</v>
          </cell>
          <cell r="R3579">
            <v>45042.747372685182</v>
          </cell>
          <cell r="S3579" t="str">
            <v>Hazem Rostom</v>
          </cell>
          <cell r="T3579">
            <v>45049</v>
          </cell>
          <cell r="U3579" t="str">
            <v>Hans De Grouw</v>
          </cell>
          <cell r="Y3579">
            <v>45048</v>
          </cell>
        </row>
        <row r="3580">
          <cell r="I3580" t="str">
            <v>EDI</v>
          </cell>
          <cell r="L3580">
            <v>2123</v>
          </cell>
          <cell r="N3580" t="str">
            <v>Production</v>
          </cell>
          <cell r="O3580" t="str">
            <v>No</v>
          </cell>
          <cell r="Q3580" t="str">
            <v>Cancelled</v>
          </cell>
          <cell r="R3580">
            <v>45041.753530092603</v>
          </cell>
          <cell r="S3580" t="str">
            <v>Aya Fathy</v>
          </cell>
          <cell r="T3580">
            <v>45106</v>
          </cell>
          <cell r="U3580" t="str">
            <v>Hans De Grouw</v>
          </cell>
          <cell r="V3580">
            <v>45123</v>
          </cell>
          <cell r="W3580">
            <v>45169</v>
          </cell>
          <cell r="Y3580">
            <v>45081</v>
          </cell>
          <cell r="AC3580">
            <v>45163</v>
          </cell>
        </row>
        <row r="3581">
          <cell r="I3581" t="str">
            <v>EDI</v>
          </cell>
          <cell r="L3581">
            <v>2100</v>
          </cell>
          <cell r="N3581" t="str">
            <v>Testing</v>
          </cell>
          <cell r="O3581" t="str">
            <v>No</v>
          </cell>
          <cell r="Q3581" t="str">
            <v>Cancelled</v>
          </cell>
          <cell r="R3581">
            <v>45041.753530092603</v>
          </cell>
          <cell r="S3581" t="str">
            <v>Hazem Rostom</v>
          </cell>
          <cell r="T3581">
            <v>45057</v>
          </cell>
          <cell r="U3581" t="str">
            <v>Hans De Grouw</v>
          </cell>
          <cell r="V3581">
            <v>45126</v>
          </cell>
          <cell r="W3581">
            <v>45232</v>
          </cell>
          <cell r="Y3581">
            <v>45056</v>
          </cell>
          <cell r="AC3581">
            <v>45232</v>
          </cell>
        </row>
        <row r="3582">
          <cell r="I3582" t="str">
            <v>EDI</v>
          </cell>
          <cell r="L3582">
            <v>2117</v>
          </cell>
          <cell r="N3582" t="str">
            <v>Testing</v>
          </cell>
          <cell r="O3582" t="str">
            <v>No</v>
          </cell>
          <cell r="Q3582" t="str">
            <v>Cancelled</v>
          </cell>
          <cell r="R3582">
            <v>45036.79478009259</v>
          </cell>
          <cell r="S3582" t="str">
            <v>Mina Adel</v>
          </cell>
          <cell r="T3582">
            <v>45077</v>
          </cell>
          <cell r="U3582" t="str">
            <v>Vicky Wright</v>
          </cell>
          <cell r="V3582">
            <v>45252</v>
          </cell>
          <cell r="Y3582">
            <v>45077</v>
          </cell>
        </row>
        <row r="3583">
          <cell r="I3583" t="str">
            <v>EDI</v>
          </cell>
          <cell r="L3583">
            <v>2038</v>
          </cell>
          <cell r="N3583" t="str">
            <v>Production</v>
          </cell>
          <cell r="O3583" t="str">
            <v>No</v>
          </cell>
          <cell r="Q3583" t="str">
            <v>Cancelled</v>
          </cell>
          <cell r="R3583">
            <v>45036.737199074072</v>
          </cell>
          <cell r="S3583" t="str">
            <v>Omar Elmahalwy</v>
          </cell>
          <cell r="T3583">
            <v>45042</v>
          </cell>
          <cell r="U3583" t="str">
            <v>Hans De Grouw</v>
          </cell>
          <cell r="V3583">
            <v>25569</v>
          </cell>
          <cell r="W3583">
            <v>45090</v>
          </cell>
          <cell r="Y3583">
            <v>45039</v>
          </cell>
          <cell r="AC3583">
            <v>45088</v>
          </cell>
        </row>
        <row r="3584">
          <cell r="I3584" t="str">
            <v>EDI</v>
          </cell>
          <cell r="L3584">
            <v>2084</v>
          </cell>
          <cell r="N3584" t="str">
            <v>Production</v>
          </cell>
          <cell r="O3584" t="str">
            <v>No</v>
          </cell>
          <cell r="Q3584" t="str">
            <v>Live</v>
          </cell>
          <cell r="R3584">
            <v>45035.7659375</v>
          </cell>
          <cell r="S3584" t="str">
            <v>Alaa Yehia</v>
          </cell>
          <cell r="T3584">
            <v>45231</v>
          </cell>
          <cell r="U3584" t="str">
            <v>Hans De Grouw</v>
          </cell>
          <cell r="V3584">
            <v>45085</v>
          </cell>
          <cell r="W3584">
            <v>45302</v>
          </cell>
          <cell r="Y3584">
            <v>45048</v>
          </cell>
          <cell r="AC3584">
            <v>45299</v>
          </cell>
        </row>
        <row r="3585">
          <cell r="I3585" t="str">
            <v>EDI</v>
          </cell>
          <cell r="L3585">
            <v>2070</v>
          </cell>
          <cell r="N3585" t="str">
            <v>Production</v>
          </cell>
          <cell r="O3585" t="str">
            <v>No</v>
          </cell>
          <cell r="Q3585" t="str">
            <v>Live</v>
          </cell>
          <cell r="R3585">
            <v>45035.547418981478</v>
          </cell>
          <cell r="S3585" t="str">
            <v>Mahmoud Ahmed</v>
          </cell>
          <cell r="T3585">
            <v>45049</v>
          </cell>
          <cell r="U3585" t="str">
            <v>Hans De Grouw</v>
          </cell>
          <cell r="V3585">
            <v>45207</v>
          </cell>
          <cell r="W3585">
            <v>45407</v>
          </cell>
          <cell r="Y3585">
            <v>45040</v>
          </cell>
          <cell r="AC3585">
            <v>45403</v>
          </cell>
        </row>
        <row r="3586">
          <cell r="I3586" t="str">
            <v>EDI</v>
          </cell>
          <cell r="L3586">
            <v>2048</v>
          </cell>
          <cell r="N3586" t="str">
            <v>Production</v>
          </cell>
          <cell r="O3586" t="str">
            <v>No</v>
          </cell>
          <cell r="Q3586" t="str">
            <v>Cancelled</v>
          </cell>
          <cell r="R3586">
            <v>45034.838969907411</v>
          </cell>
          <cell r="S3586" t="str">
            <v>Mina Kamil</v>
          </cell>
          <cell r="T3586">
            <v>45046</v>
          </cell>
          <cell r="U3586" t="str">
            <v>Hans De Grouw</v>
          </cell>
          <cell r="W3586">
            <v>45141</v>
          </cell>
          <cell r="Y3586">
            <v>45036</v>
          </cell>
          <cell r="AC3586">
            <v>45138</v>
          </cell>
        </row>
        <row r="3587">
          <cell r="I3587" t="str">
            <v>EDI</v>
          </cell>
          <cell r="L3587">
            <v>2056</v>
          </cell>
          <cell r="N3587" t="str">
            <v>Production</v>
          </cell>
          <cell r="O3587" t="str">
            <v>No</v>
          </cell>
          <cell r="Q3587" t="str">
            <v>Live</v>
          </cell>
          <cell r="R3587">
            <v>45034.838969907411</v>
          </cell>
          <cell r="S3587" t="str">
            <v>Alaa Yehia</v>
          </cell>
          <cell r="T3587">
            <v>45046</v>
          </cell>
          <cell r="U3587" t="str">
            <v>Hans De Grouw</v>
          </cell>
          <cell r="V3587">
            <v>45087</v>
          </cell>
          <cell r="W3587">
            <v>45148</v>
          </cell>
          <cell r="Y3587">
            <v>45036</v>
          </cell>
          <cell r="AC3587">
            <v>45140</v>
          </cell>
        </row>
        <row r="3588">
          <cell r="I3588" t="str">
            <v>EDI</v>
          </cell>
          <cell r="N3588" t="str">
            <v>Requirements Gathering</v>
          </cell>
          <cell r="O3588" t="str">
            <v>No</v>
          </cell>
          <cell r="Q3588" t="str">
            <v>Cancelled</v>
          </cell>
          <cell r="R3588">
            <v>45034.5937037037</v>
          </cell>
          <cell r="S3588" t="str">
            <v>Abdulrahman Tarek</v>
          </cell>
          <cell r="T3588">
            <v>45035</v>
          </cell>
          <cell r="U3588" t="str">
            <v>Miranda Naeem</v>
          </cell>
        </row>
        <row r="3589">
          <cell r="I3589" t="str">
            <v>EDI</v>
          </cell>
          <cell r="L3589">
            <v>2059</v>
          </cell>
          <cell r="N3589" t="str">
            <v>Production</v>
          </cell>
          <cell r="O3589" t="str">
            <v>No</v>
          </cell>
          <cell r="Q3589" t="str">
            <v>Cancelled</v>
          </cell>
          <cell r="R3589">
            <v>45034.593692129631</v>
          </cell>
          <cell r="S3589" t="str">
            <v>Mina Kamil</v>
          </cell>
          <cell r="T3589">
            <v>45047</v>
          </cell>
          <cell r="U3589" t="str">
            <v>Miranda Naeem</v>
          </cell>
          <cell r="V3589">
            <v>45356</v>
          </cell>
          <cell r="W3589">
            <v>45264</v>
          </cell>
          <cell r="Y3589">
            <v>45047</v>
          </cell>
          <cell r="AC3589">
            <v>45264</v>
          </cell>
        </row>
        <row r="3590">
          <cell r="I3590" t="str">
            <v>EDI</v>
          </cell>
          <cell r="N3590" t="str">
            <v>Requirements Gathering</v>
          </cell>
          <cell r="O3590" t="str">
            <v>No</v>
          </cell>
          <cell r="Q3590" t="str">
            <v>Cancelled</v>
          </cell>
          <cell r="R3590">
            <v>45034.593692129631</v>
          </cell>
          <cell r="S3590" t="str">
            <v>Abdulrahman Tarek</v>
          </cell>
          <cell r="T3590">
            <v>45035</v>
          </cell>
          <cell r="U3590" t="str">
            <v>Miranda Naeem</v>
          </cell>
        </row>
        <row r="3591">
          <cell r="I3591" t="str">
            <v>EDI</v>
          </cell>
          <cell r="L3591">
            <v>2116</v>
          </cell>
          <cell r="N3591" t="str">
            <v>Production</v>
          </cell>
          <cell r="O3591" t="str">
            <v>No</v>
          </cell>
          <cell r="Q3591" t="str">
            <v>Live</v>
          </cell>
          <cell r="R3591">
            <v>45034.587245370371</v>
          </cell>
          <cell r="S3591" t="str">
            <v>Omnia Abdelaziz</v>
          </cell>
          <cell r="T3591">
            <v>45076</v>
          </cell>
          <cell r="U3591" t="str">
            <v>Robbie Schappell</v>
          </cell>
          <cell r="V3591">
            <v>45137</v>
          </cell>
          <cell r="W3591">
            <v>45195</v>
          </cell>
          <cell r="Y3591">
            <v>45074</v>
          </cell>
          <cell r="AC3591">
            <v>45189</v>
          </cell>
        </row>
        <row r="3592">
          <cell r="I3592" t="str">
            <v>EDI</v>
          </cell>
          <cell r="L3592">
            <v>2055</v>
          </cell>
          <cell r="N3592" t="str">
            <v>Production</v>
          </cell>
          <cell r="O3592" t="str">
            <v>No</v>
          </cell>
          <cell r="Q3592" t="str">
            <v>Live</v>
          </cell>
          <cell r="R3592">
            <v>45034.587245370371</v>
          </cell>
          <cell r="S3592" t="str">
            <v>Aya Fathy</v>
          </cell>
          <cell r="T3592">
            <v>45047</v>
          </cell>
          <cell r="U3592" t="str">
            <v>Robbie Schappell</v>
          </cell>
          <cell r="V3592">
            <v>45118</v>
          </cell>
          <cell r="W3592">
            <v>45280</v>
          </cell>
          <cell r="Y3592">
            <v>45047</v>
          </cell>
          <cell r="AC3592">
            <v>45277</v>
          </cell>
        </row>
        <row r="3593">
          <cell r="I3593" t="str">
            <v>EDI</v>
          </cell>
          <cell r="L3593">
            <v>2044</v>
          </cell>
          <cell r="N3593" t="str">
            <v>Production</v>
          </cell>
          <cell r="O3593" t="str">
            <v>No</v>
          </cell>
          <cell r="Q3593" t="str">
            <v>Live</v>
          </cell>
          <cell r="R3593">
            <v>45034.587233796286</v>
          </cell>
          <cell r="S3593" t="str">
            <v>Joseph Atef</v>
          </cell>
          <cell r="T3593">
            <v>45039</v>
          </cell>
          <cell r="U3593" t="str">
            <v>Robbie Schappell</v>
          </cell>
          <cell r="V3593">
            <v>45064</v>
          </cell>
          <cell r="W3593">
            <v>25569</v>
          </cell>
          <cell r="Y3593">
            <v>45036</v>
          </cell>
          <cell r="AC3593">
            <v>45091</v>
          </cell>
        </row>
        <row r="3594">
          <cell r="I3594" t="str">
            <v>EDI</v>
          </cell>
          <cell r="L3594">
            <v>2032</v>
          </cell>
          <cell r="N3594" t="str">
            <v>Production</v>
          </cell>
          <cell r="O3594" t="str">
            <v>No</v>
          </cell>
          <cell r="Q3594" t="str">
            <v>Cancelled</v>
          </cell>
          <cell r="R3594">
            <v>45033.736909722233</v>
          </cell>
          <cell r="S3594" t="str">
            <v>Omar Elmahalwy</v>
          </cell>
          <cell r="T3594">
            <v>45034</v>
          </cell>
          <cell r="U3594" t="str">
            <v>Hans De Grouw</v>
          </cell>
          <cell r="V3594">
            <v>45048</v>
          </cell>
          <cell r="W3594">
            <v>45071</v>
          </cell>
          <cell r="AC3594">
            <v>45071</v>
          </cell>
        </row>
        <row r="3595">
          <cell r="I3595" t="str">
            <v>EDI</v>
          </cell>
          <cell r="L3595">
            <v>2061</v>
          </cell>
          <cell r="N3595" t="str">
            <v>Production</v>
          </cell>
          <cell r="O3595" t="str">
            <v>No</v>
          </cell>
          <cell r="Q3595" t="str">
            <v>Cancelled</v>
          </cell>
          <cell r="R3595">
            <v>45033.728530092587</v>
          </cell>
          <cell r="S3595" t="str">
            <v>Omnia Abdelaziz</v>
          </cell>
          <cell r="T3595">
            <v>45048</v>
          </cell>
          <cell r="U3595" t="str">
            <v>Jenna  Whaley</v>
          </cell>
          <cell r="V3595">
            <v>45125</v>
          </cell>
          <cell r="W3595">
            <v>45158</v>
          </cell>
          <cell r="Y3595">
            <v>45048</v>
          </cell>
          <cell r="AC3595">
            <v>45151</v>
          </cell>
        </row>
        <row r="3596">
          <cell r="I3596" t="str">
            <v>EDI</v>
          </cell>
          <cell r="L3596">
            <v>2105</v>
          </cell>
          <cell r="N3596" t="str">
            <v>Production</v>
          </cell>
          <cell r="O3596" t="str">
            <v>No</v>
          </cell>
          <cell r="Q3596" t="str">
            <v>Live</v>
          </cell>
          <cell r="R3596">
            <v>45033.62263888889</v>
          </cell>
          <cell r="S3596" t="str">
            <v>Mina George</v>
          </cell>
          <cell r="T3596">
            <v>45067</v>
          </cell>
          <cell r="U3596" t="str">
            <v>Hans De Grouw</v>
          </cell>
          <cell r="W3596">
            <v>45125</v>
          </cell>
          <cell r="Y3596">
            <v>45063</v>
          </cell>
          <cell r="AC3596">
            <v>45120</v>
          </cell>
        </row>
        <row r="3597">
          <cell r="I3597" t="str">
            <v>EDI</v>
          </cell>
          <cell r="L3597">
            <v>2080</v>
          </cell>
          <cell r="N3597" t="str">
            <v>Production</v>
          </cell>
          <cell r="O3597" t="str">
            <v>No</v>
          </cell>
          <cell r="Q3597" t="str">
            <v>Cancelled</v>
          </cell>
          <cell r="R3597">
            <v>45028.709965277783</v>
          </cell>
          <cell r="S3597" t="str">
            <v>Mina Adel</v>
          </cell>
          <cell r="T3597">
            <v>45057</v>
          </cell>
          <cell r="U3597" t="str">
            <v>Melodie Coles</v>
          </cell>
          <cell r="W3597">
            <v>45257</v>
          </cell>
          <cell r="Y3597">
            <v>45056</v>
          </cell>
          <cell r="AC3597">
            <v>45256</v>
          </cell>
        </row>
        <row r="3598">
          <cell r="I3598" t="str">
            <v>EDI</v>
          </cell>
          <cell r="L3598">
            <v>2049</v>
          </cell>
          <cell r="N3598" t="str">
            <v>Production</v>
          </cell>
          <cell r="O3598" t="str">
            <v>No</v>
          </cell>
          <cell r="Q3598" t="str">
            <v>Live</v>
          </cell>
          <cell r="R3598">
            <v>45028.651747685188</v>
          </cell>
          <cell r="S3598" t="str">
            <v>Aya Fathy</v>
          </cell>
          <cell r="T3598">
            <v>45046</v>
          </cell>
          <cell r="U3598" t="str">
            <v>Tammy Davies</v>
          </cell>
          <cell r="V3598">
            <v>45058</v>
          </cell>
          <cell r="W3598">
            <v>45246</v>
          </cell>
          <cell r="Y3598">
            <v>45043</v>
          </cell>
          <cell r="AC3598">
            <v>45244</v>
          </cell>
        </row>
        <row r="3599">
          <cell r="I3599" t="str">
            <v>EDI</v>
          </cell>
          <cell r="L3599">
            <v>2034</v>
          </cell>
          <cell r="N3599" t="str">
            <v>Testing</v>
          </cell>
          <cell r="O3599" t="str">
            <v>No</v>
          </cell>
          <cell r="Q3599" t="str">
            <v>Cancelled</v>
          </cell>
          <cell r="R3599">
            <v>45027.66070601852</v>
          </cell>
          <cell r="S3599" t="str">
            <v>Tarek Medhat</v>
          </cell>
          <cell r="T3599">
            <v>45034</v>
          </cell>
          <cell r="U3599" t="str">
            <v>Tammy Davies</v>
          </cell>
          <cell r="V3599">
            <v>45081</v>
          </cell>
          <cell r="Y3599">
            <v>45028</v>
          </cell>
        </row>
        <row r="3600">
          <cell r="I3600" t="str">
            <v>EDI</v>
          </cell>
          <cell r="L3600">
            <v>2043</v>
          </cell>
          <cell r="N3600" t="str">
            <v>Mapping</v>
          </cell>
          <cell r="O3600" t="str">
            <v>No</v>
          </cell>
          <cell r="Q3600" t="str">
            <v>Cancelled</v>
          </cell>
          <cell r="R3600">
            <v>45027.557175925933</v>
          </cell>
          <cell r="S3600" t="str">
            <v>Mina George</v>
          </cell>
          <cell r="T3600">
            <v>45034</v>
          </cell>
          <cell r="U3600" t="str">
            <v>Hans De Grouw</v>
          </cell>
          <cell r="Y3600">
            <v>45028</v>
          </cell>
        </row>
        <row r="3601">
          <cell r="I3601" t="str">
            <v>EDI</v>
          </cell>
          <cell r="L3601">
            <v>2277</v>
          </cell>
          <cell r="N3601" t="str">
            <v>Production</v>
          </cell>
          <cell r="O3601" t="str">
            <v>No</v>
          </cell>
          <cell r="Q3601" t="str">
            <v>Live</v>
          </cell>
          <cell r="R3601">
            <v>45027.555601851847</v>
          </cell>
          <cell r="S3601" t="str">
            <v>Mina Adel</v>
          </cell>
          <cell r="T3601">
            <v>45134</v>
          </cell>
          <cell r="U3601" t="str">
            <v>Hans De Grouw</v>
          </cell>
          <cell r="V3601">
            <v>45200</v>
          </cell>
          <cell r="W3601">
            <v>45351</v>
          </cell>
          <cell r="Y3601">
            <v>45134</v>
          </cell>
          <cell r="AC3601">
            <v>45345</v>
          </cell>
        </row>
        <row r="3602">
          <cell r="I3602" t="str">
            <v>EDI</v>
          </cell>
          <cell r="L3602">
            <v>2042</v>
          </cell>
          <cell r="N3602" t="str">
            <v>Production</v>
          </cell>
          <cell r="O3602" t="str">
            <v>No</v>
          </cell>
          <cell r="Q3602" t="str">
            <v>Live</v>
          </cell>
          <cell r="R3602">
            <v>45027.555601851847</v>
          </cell>
          <cell r="S3602" t="str">
            <v>Mina George</v>
          </cell>
          <cell r="T3602">
            <v>45034</v>
          </cell>
          <cell r="U3602" t="str">
            <v>Hans De Grouw</v>
          </cell>
          <cell r="V3602">
            <v>45082</v>
          </cell>
          <cell r="W3602">
            <v>25569</v>
          </cell>
          <cell r="Y3602">
            <v>45028</v>
          </cell>
          <cell r="AC3602">
            <v>45145</v>
          </cell>
        </row>
        <row r="3603">
          <cell r="I3603" t="str">
            <v>EDI</v>
          </cell>
          <cell r="L3603">
            <v>2077</v>
          </cell>
          <cell r="N3603" t="str">
            <v>Production</v>
          </cell>
          <cell r="O3603" t="str">
            <v>No</v>
          </cell>
          <cell r="Q3603" t="str">
            <v>Live</v>
          </cell>
          <cell r="R3603">
            <v>45023.680428240739</v>
          </cell>
          <cell r="S3603" t="str">
            <v>Mina Kamil</v>
          </cell>
          <cell r="T3603">
            <v>45057</v>
          </cell>
          <cell r="U3603" t="str">
            <v>Miranda Naeem</v>
          </cell>
          <cell r="W3603">
            <v>45256</v>
          </cell>
          <cell r="Y3603">
            <v>45056</v>
          </cell>
          <cell r="AC3603">
            <v>45256</v>
          </cell>
        </row>
        <row r="3604">
          <cell r="I3604" t="str">
            <v>EDI</v>
          </cell>
          <cell r="L3604">
            <v>2039</v>
          </cell>
          <cell r="N3604" t="str">
            <v>Production</v>
          </cell>
          <cell r="O3604" t="str">
            <v>No</v>
          </cell>
          <cell r="Q3604" t="str">
            <v>Live</v>
          </cell>
          <cell r="R3604">
            <v>45023.680428240739</v>
          </cell>
          <cell r="S3604" t="str">
            <v>Mina Kamil</v>
          </cell>
          <cell r="T3604">
            <v>45042</v>
          </cell>
          <cell r="U3604" t="str">
            <v>Miranda Naeem</v>
          </cell>
          <cell r="W3604">
            <v>45090</v>
          </cell>
          <cell r="Y3604">
            <v>45042</v>
          </cell>
          <cell r="AC3604">
            <v>45089</v>
          </cell>
        </row>
        <row r="3605">
          <cell r="I3605" t="str">
            <v>EDI</v>
          </cell>
          <cell r="L3605">
            <v>2058</v>
          </cell>
          <cell r="N3605" t="str">
            <v>Production</v>
          </cell>
          <cell r="O3605" t="str">
            <v>No</v>
          </cell>
          <cell r="Q3605" t="str">
            <v>Cancelled</v>
          </cell>
          <cell r="R3605">
            <v>45023.680428240739</v>
          </cell>
          <cell r="S3605" t="str">
            <v>Mahmoud Ahmed</v>
          </cell>
          <cell r="T3605">
            <v>45034</v>
          </cell>
          <cell r="U3605" t="str">
            <v>Miranda Naeem</v>
          </cell>
          <cell r="V3605">
            <v>45081</v>
          </cell>
          <cell r="W3605">
            <v>45139</v>
          </cell>
          <cell r="Y3605">
            <v>45028</v>
          </cell>
          <cell r="AC3605">
            <v>45133</v>
          </cell>
        </row>
        <row r="3606">
          <cell r="I3606" t="str">
            <v>EDI</v>
          </cell>
          <cell r="N3606" t="str">
            <v>Requirements Gathering</v>
          </cell>
          <cell r="O3606" t="str">
            <v>No</v>
          </cell>
          <cell r="Q3606" t="str">
            <v>Cancelled</v>
          </cell>
          <cell r="R3606">
            <v>45023.68041666667</v>
          </cell>
          <cell r="S3606" t="str">
            <v>Lourina Edmon</v>
          </cell>
          <cell r="T3606">
            <v>45026</v>
          </cell>
          <cell r="U3606" t="str">
            <v>Miranda Naeem</v>
          </cell>
        </row>
        <row r="3607">
          <cell r="I3607" t="str">
            <v>EDI</v>
          </cell>
          <cell r="N3607" t="str">
            <v>Requirements Gathering</v>
          </cell>
          <cell r="O3607" t="str">
            <v>No</v>
          </cell>
          <cell r="Q3607" t="str">
            <v>Cancelled</v>
          </cell>
          <cell r="R3607">
            <v>45023.68041666667</v>
          </cell>
          <cell r="S3607" t="str">
            <v>Lourina Edmon</v>
          </cell>
          <cell r="T3607">
            <v>45026</v>
          </cell>
          <cell r="U3607" t="str">
            <v>Miranda Naeem</v>
          </cell>
        </row>
        <row r="3608">
          <cell r="I3608" t="str">
            <v>EDI</v>
          </cell>
          <cell r="L3608">
            <v>2052</v>
          </cell>
          <cell r="N3608" t="str">
            <v>Testing</v>
          </cell>
          <cell r="O3608" t="str">
            <v>No</v>
          </cell>
          <cell r="Q3608" t="str">
            <v>Cancelled</v>
          </cell>
          <cell r="R3608">
            <v>45023.655555555553</v>
          </cell>
          <cell r="S3608" t="str">
            <v>Joseph Atef</v>
          </cell>
          <cell r="T3608">
            <v>45046</v>
          </cell>
          <cell r="U3608" t="str">
            <v>Hans De Grouw</v>
          </cell>
          <cell r="V3608">
            <v>45194</v>
          </cell>
          <cell r="Y3608">
            <v>45042</v>
          </cell>
        </row>
        <row r="3609">
          <cell r="I3609" t="str">
            <v>EDI</v>
          </cell>
          <cell r="L3609">
            <v>2051</v>
          </cell>
          <cell r="N3609" t="str">
            <v>Production</v>
          </cell>
          <cell r="O3609" t="str">
            <v>No</v>
          </cell>
          <cell r="Q3609" t="str">
            <v>Cancelled</v>
          </cell>
          <cell r="R3609">
            <v>45022.741747685177</v>
          </cell>
          <cell r="S3609" t="str">
            <v>Hazem Rostom</v>
          </cell>
          <cell r="T3609">
            <v>45034</v>
          </cell>
          <cell r="U3609" t="str">
            <v>Jenna  Whaley</v>
          </cell>
          <cell r="V3609">
            <v>45062</v>
          </cell>
          <cell r="W3609">
            <v>25569</v>
          </cell>
          <cell r="Y3609">
            <v>45028</v>
          </cell>
          <cell r="AC3609">
            <v>45244</v>
          </cell>
        </row>
        <row r="3610">
          <cell r="I3610" t="str">
            <v>EDI</v>
          </cell>
          <cell r="L3610">
            <v>2035</v>
          </cell>
          <cell r="N3610" t="str">
            <v>Production</v>
          </cell>
          <cell r="O3610" t="str">
            <v>No</v>
          </cell>
          <cell r="Q3610" t="str">
            <v>Cancelled</v>
          </cell>
          <cell r="R3610">
            <v>45022.741747685177</v>
          </cell>
          <cell r="S3610" t="str">
            <v>Fady Maged</v>
          </cell>
          <cell r="T3610">
            <v>45034</v>
          </cell>
          <cell r="U3610" t="str">
            <v>Jenna  Whaley</v>
          </cell>
          <cell r="V3610">
            <v>45067</v>
          </cell>
          <cell r="W3610">
            <v>25569</v>
          </cell>
          <cell r="Y3610">
            <v>45027</v>
          </cell>
          <cell r="AC3610">
            <v>45166</v>
          </cell>
        </row>
        <row r="3611">
          <cell r="I3611" t="str">
            <v>EDI</v>
          </cell>
          <cell r="L3611">
            <v>2037</v>
          </cell>
          <cell r="N3611" t="str">
            <v>Production</v>
          </cell>
          <cell r="O3611" t="str">
            <v>No</v>
          </cell>
          <cell r="Q3611" t="str">
            <v>Live</v>
          </cell>
          <cell r="R3611">
            <v>45021.563275462962</v>
          </cell>
          <cell r="S3611" t="str">
            <v>Alaa Yehia</v>
          </cell>
          <cell r="T3611">
            <v>45034</v>
          </cell>
          <cell r="U3611" t="str">
            <v>Robbie Schappell</v>
          </cell>
          <cell r="V3611">
            <v>45097</v>
          </cell>
          <cell r="W3611">
            <v>25569</v>
          </cell>
          <cell r="Y3611">
            <v>45027</v>
          </cell>
          <cell r="AC3611">
            <v>45145</v>
          </cell>
        </row>
        <row r="3612">
          <cell r="I3612" t="str">
            <v>EDI</v>
          </cell>
          <cell r="L3612">
            <v>2050</v>
          </cell>
          <cell r="N3612" t="str">
            <v>Production</v>
          </cell>
          <cell r="O3612" t="str">
            <v>No</v>
          </cell>
          <cell r="Q3612" t="str">
            <v>Live</v>
          </cell>
          <cell r="R3612">
            <v>45021.563263888893</v>
          </cell>
          <cell r="S3612" t="str">
            <v>Hazem Rostom</v>
          </cell>
          <cell r="T3612">
            <v>45029</v>
          </cell>
          <cell r="U3612" t="str">
            <v>Robbie Schappell</v>
          </cell>
          <cell r="W3612">
            <v>45168</v>
          </cell>
          <cell r="Y3612">
            <v>45022</v>
          </cell>
          <cell r="AC3612">
            <v>45165</v>
          </cell>
        </row>
        <row r="3613">
          <cell r="I3613" t="str">
            <v>EDI</v>
          </cell>
          <cell r="L3613">
            <v>2053</v>
          </cell>
          <cell r="N3613" t="str">
            <v>Production</v>
          </cell>
          <cell r="O3613" t="str">
            <v>No</v>
          </cell>
          <cell r="Q3613" t="str">
            <v>Live</v>
          </cell>
          <cell r="R3613">
            <v>45021.563263888893</v>
          </cell>
          <cell r="S3613" t="str">
            <v>Salma Yamani</v>
          </cell>
          <cell r="T3613">
            <v>45034</v>
          </cell>
          <cell r="U3613" t="str">
            <v>Robbie Schappell</v>
          </cell>
          <cell r="V3613">
            <v>45078</v>
          </cell>
          <cell r="W3613">
            <v>45091</v>
          </cell>
          <cell r="Y3613">
            <v>45026</v>
          </cell>
          <cell r="AC3613">
            <v>45085</v>
          </cell>
        </row>
        <row r="3614">
          <cell r="I3614" t="str">
            <v>EDI</v>
          </cell>
          <cell r="L3614">
            <v>2029</v>
          </cell>
          <cell r="N3614" t="str">
            <v>Production</v>
          </cell>
          <cell r="O3614" t="str">
            <v>No</v>
          </cell>
          <cell r="Q3614" t="str">
            <v>Live</v>
          </cell>
          <cell r="R3614">
            <v>45019.641736111109</v>
          </cell>
          <cell r="S3614" t="str">
            <v>Aya Fathy</v>
          </cell>
          <cell r="T3614">
            <v>45029</v>
          </cell>
          <cell r="U3614" t="str">
            <v>Miranda Naeem</v>
          </cell>
          <cell r="W3614">
            <v>45139</v>
          </cell>
          <cell r="Y3614">
            <v>45026</v>
          </cell>
          <cell r="AC3614">
            <v>45133</v>
          </cell>
        </row>
        <row r="3615">
          <cell r="I3615" t="str">
            <v>EDI</v>
          </cell>
          <cell r="L3615">
            <v>2088</v>
          </cell>
          <cell r="N3615" t="str">
            <v>Production</v>
          </cell>
          <cell r="O3615" t="str">
            <v>No</v>
          </cell>
          <cell r="Q3615" t="str">
            <v>Live</v>
          </cell>
          <cell r="R3615">
            <v>45016.777129629627</v>
          </cell>
          <cell r="S3615" t="str">
            <v>Salma Yamani</v>
          </cell>
          <cell r="T3615">
            <v>45062</v>
          </cell>
          <cell r="U3615" t="str">
            <v>Vicky Wright</v>
          </cell>
          <cell r="V3615">
            <v>45120</v>
          </cell>
          <cell r="W3615">
            <v>45127</v>
          </cell>
          <cell r="Y3615">
            <v>45062</v>
          </cell>
          <cell r="AC3615">
            <v>45120</v>
          </cell>
        </row>
        <row r="3616">
          <cell r="I3616" t="str">
            <v>EDI</v>
          </cell>
          <cell r="L3616">
            <v>2027</v>
          </cell>
          <cell r="N3616" t="str">
            <v>Production</v>
          </cell>
          <cell r="O3616" t="str">
            <v>No</v>
          </cell>
          <cell r="Q3616" t="str">
            <v>Live</v>
          </cell>
          <cell r="R3616">
            <v>45016.777129629627</v>
          </cell>
          <cell r="S3616" t="str">
            <v>Omar Elmahalwy</v>
          </cell>
          <cell r="T3616">
            <v>45028</v>
          </cell>
          <cell r="U3616" t="str">
            <v>Vicky Wright</v>
          </cell>
          <cell r="V3616">
            <v>45029</v>
          </cell>
          <cell r="W3616">
            <v>45064</v>
          </cell>
          <cell r="Y3616">
            <v>45025</v>
          </cell>
          <cell r="AC3616">
            <v>45062</v>
          </cell>
        </row>
        <row r="3617">
          <cell r="I3617" t="str">
            <v>EDI</v>
          </cell>
          <cell r="L3617">
            <v>2020</v>
          </cell>
          <cell r="N3617" t="str">
            <v>Production</v>
          </cell>
          <cell r="O3617" t="str">
            <v>No</v>
          </cell>
          <cell r="Q3617" t="str">
            <v>Live</v>
          </cell>
          <cell r="R3617">
            <v>45015.540752314817</v>
          </cell>
          <cell r="S3617" t="str">
            <v>Aya Fathy</v>
          </cell>
          <cell r="T3617">
            <v>45026</v>
          </cell>
          <cell r="U3617" t="str">
            <v>Jenna  Whaley</v>
          </cell>
          <cell r="V3617">
            <v>45043</v>
          </cell>
          <cell r="W3617">
            <v>45055</v>
          </cell>
          <cell r="Y3617">
            <v>45015</v>
          </cell>
          <cell r="AC3617">
            <v>45049</v>
          </cell>
        </row>
        <row r="3618">
          <cell r="I3618" t="str">
            <v>EDI</v>
          </cell>
          <cell r="L3618">
            <v>2063</v>
          </cell>
          <cell r="N3618" t="str">
            <v>Production</v>
          </cell>
          <cell r="O3618" t="str">
            <v>No</v>
          </cell>
          <cell r="Q3618" t="str">
            <v>Cancelled</v>
          </cell>
          <cell r="R3618">
            <v>45014.773194444453</v>
          </cell>
          <cell r="S3618" t="str">
            <v>Fady Maged</v>
          </cell>
          <cell r="T3618">
            <v>45028</v>
          </cell>
          <cell r="U3618" t="str">
            <v>Hans De Grouw</v>
          </cell>
          <cell r="V3618">
            <v>25569</v>
          </cell>
          <cell r="W3618">
            <v>25569</v>
          </cell>
          <cell r="Y3618">
            <v>45022</v>
          </cell>
          <cell r="AC3618">
            <v>45232</v>
          </cell>
        </row>
        <row r="3619">
          <cell r="I3619" t="str">
            <v>EDI</v>
          </cell>
          <cell r="L3619">
            <v>2155</v>
          </cell>
          <cell r="N3619" t="str">
            <v>Mapping</v>
          </cell>
          <cell r="O3619" t="str">
            <v>No</v>
          </cell>
          <cell r="Q3619" t="str">
            <v>Cancelled</v>
          </cell>
          <cell r="R3619">
            <v>45014.694976851853</v>
          </cell>
          <cell r="S3619" t="str">
            <v>Aya Fathy</v>
          </cell>
          <cell r="T3619">
            <v>45092</v>
          </cell>
          <cell r="U3619" t="str">
            <v>Tammy Davies</v>
          </cell>
          <cell r="Y3619">
            <v>45092</v>
          </cell>
        </row>
        <row r="3620">
          <cell r="I3620" t="str">
            <v>EDI</v>
          </cell>
          <cell r="L3620">
            <v>2030</v>
          </cell>
          <cell r="N3620" t="str">
            <v>Production</v>
          </cell>
          <cell r="O3620" t="str">
            <v>No</v>
          </cell>
          <cell r="Q3620" t="str">
            <v>Cancelled</v>
          </cell>
          <cell r="R3620">
            <v>45013.763622685183</v>
          </cell>
          <cell r="S3620" t="str">
            <v>Alaa Yehia</v>
          </cell>
          <cell r="T3620">
            <v>45027</v>
          </cell>
          <cell r="U3620" t="str">
            <v>Heather Bawsel</v>
          </cell>
          <cell r="V3620">
            <v>45103</v>
          </cell>
          <cell r="W3620">
            <v>45127</v>
          </cell>
          <cell r="Y3620">
            <v>45018</v>
          </cell>
          <cell r="AC3620">
            <v>45125</v>
          </cell>
        </row>
        <row r="3621">
          <cell r="I3621" t="str">
            <v>EDI</v>
          </cell>
          <cell r="L3621">
            <v>2054</v>
          </cell>
          <cell r="N3621" t="str">
            <v>Testing</v>
          </cell>
          <cell r="O3621" t="str">
            <v>No</v>
          </cell>
          <cell r="Q3621" t="str">
            <v>Cancelled</v>
          </cell>
          <cell r="R3621">
            <v>45013.763622685183</v>
          </cell>
          <cell r="S3621" t="str">
            <v>Mahmoud Ahmed</v>
          </cell>
          <cell r="T3621">
            <v>45027</v>
          </cell>
          <cell r="U3621" t="str">
            <v>Heather Bawsel</v>
          </cell>
          <cell r="V3621">
            <v>45070</v>
          </cell>
          <cell r="Y3621">
            <v>45022</v>
          </cell>
        </row>
        <row r="3622">
          <cell r="I3622" t="str">
            <v>EDI</v>
          </cell>
          <cell r="L3622">
            <v>2075</v>
          </cell>
          <cell r="N3622" t="str">
            <v>Mapping</v>
          </cell>
          <cell r="O3622" t="str">
            <v>No</v>
          </cell>
          <cell r="Q3622" t="str">
            <v>Cancelled</v>
          </cell>
          <cell r="R3622">
            <v>45013.554340277777</v>
          </cell>
          <cell r="S3622" t="str">
            <v>Joseph Atef</v>
          </cell>
          <cell r="T3622">
            <v>45055</v>
          </cell>
          <cell r="U3622" t="str">
            <v>Hans De Grouw</v>
          </cell>
          <cell r="Y3622">
            <v>45053</v>
          </cell>
        </row>
        <row r="3623">
          <cell r="I3623" t="str">
            <v>EDI</v>
          </cell>
          <cell r="L3623">
            <v>2047</v>
          </cell>
          <cell r="N3623" t="str">
            <v>Production</v>
          </cell>
          <cell r="O3623" t="str">
            <v>No</v>
          </cell>
          <cell r="Q3623" t="str">
            <v>Cancelled</v>
          </cell>
          <cell r="R3623">
            <v>45009.647800925923</v>
          </cell>
          <cell r="S3623" t="str">
            <v>Mirna Azmy</v>
          </cell>
          <cell r="T3623">
            <v>45231</v>
          </cell>
          <cell r="U3623" t="str">
            <v>Miranda Naeem</v>
          </cell>
          <cell r="V3623">
            <v>45092</v>
          </cell>
          <cell r="W3623">
            <v>45237</v>
          </cell>
          <cell r="Y3623">
            <v>45013</v>
          </cell>
          <cell r="AC3623">
            <v>45235</v>
          </cell>
        </row>
        <row r="3624">
          <cell r="I3624" t="str">
            <v>EDI</v>
          </cell>
          <cell r="L3624">
            <v>2122</v>
          </cell>
          <cell r="N3624" t="str">
            <v>Production</v>
          </cell>
          <cell r="O3624" t="str">
            <v>No</v>
          </cell>
          <cell r="Q3624" t="str">
            <v>Live</v>
          </cell>
          <cell r="R3624">
            <v>45009.647800925923</v>
          </cell>
          <cell r="S3624" t="str">
            <v>Mina George</v>
          </cell>
          <cell r="T3624">
            <v>45074</v>
          </cell>
          <cell r="U3624" t="str">
            <v>Miranda Naeem</v>
          </cell>
          <cell r="V3624">
            <v>45091</v>
          </cell>
          <cell r="W3624">
            <v>45189</v>
          </cell>
          <cell r="Y3624">
            <v>45071</v>
          </cell>
          <cell r="AC3624">
            <v>45187</v>
          </cell>
        </row>
        <row r="3625">
          <cell r="I3625" t="str">
            <v>EDI</v>
          </cell>
          <cell r="L3625">
            <v>2036</v>
          </cell>
          <cell r="N3625" t="str">
            <v>Production</v>
          </cell>
          <cell r="O3625" t="str">
            <v>No</v>
          </cell>
          <cell r="Q3625" t="str">
            <v>Cancelled</v>
          </cell>
          <cell r="R3625">
            <v>45009.647800925923</v>
          </cell>
          <cell r="S3625" t="str">
            <v>Joseph Atef</v>
          </cell>
          <cell r="T3625">
            <v>45026</v>
          </cell>
          <cell r="U3625" t="str">
            <v>Miranda Naeem</v>
          </cell>
          <cell r="V3625">
            <v>45077</v>
          </cell>
          <cell r="W3625">
            <v>45104</v>
          </cell>
          <cell r="Y3625">
            <v>45015</v>
          </cell>
          <cell r="AC3625">
            <v>45102</v>
          </cell>
        </row>
        <row r="3626">
          <cell r="I3626" t="str">
            <v>EDI</v>
          </cell>
          <cell r="L3626">
            <v>2011</v>
          </cell>
          <cell r="N3626" t="str">
            <v>Production</v>
          </cell>
          <cell r="O3626" t="str">
            <v>No</v>
          </cell>
          <cell r="Q3626" t="str">
            <v>Cancelled</v>
          </cell>
          <cell r="R3626">
            <v>45009.551990740743</v>
          </cell>
          <cell r="S3626" t="str">
            <v>Aya Fathy</v>
          </cell>
          <cell r="T3626">
            <v>45021</v>
          </cell>
          <cell r="U3626" t="str">
            <v>Tammy Davies</v>
          </cell>
          <cell r="V3626">
            <v>45082</v>
          </cell>
          <cell r="W3626">
            <v>45120</v>
          </cell>
          <cell r="Y3626">
            <v>45013</v>
          </cell>
          <cell r="AC3626">
            <v>45118</v>
          </cell>
        </row>
        <row r="3627">
          <cell r="I3627" t="str">
            <v>EDI</v>
          </cell>
          <cell r="L3627">
            <v>2018</v>
          </cell>
          <cell r="N3627" t="str">
            <v>Production</v>
          </cell>
          <cell r="O3627" t="str">
            <v>No</v>
          </cell>
          <cell r="Q3627" t="str">
            <v>Live</v>
          </cell>
          <cell r="R3627">
            <v>45009.551990740743</v>
          </cell>
          <cell r="S3627" t="str">
            <v>Andrew Ramy</v>
          </cell>
          <cell r="T3627">
            <v>45022</v>
          </cell>
          <cell r="U3627" t="str">
            <v>Tammy Davies</v>
          </cell>
          <cell r="V3627">
            <v>45151</v>
          </cell>
          <cell r="W3627">
            <v>45789</v>
          </cell>
          <cell r="Y3627">
            <v>45013</v>
          </cell>
          <cell r="AC3627">
            <v>45785</v>
          </cell>
        </row>
        <row r="3628">
          <cell r="I3628" t="str">
            <v>EDI</v>
          </cell>
          <cell r="L3628">
            <v>2046</v>
          </cell>
          <cell r="N3628" t="str">
            <v>Production</v>
          </cell>
          <cell r="O3628" t="str">
            <v>No</v>
          </cell>
          <cell r="Q3628" t="str">
            <v>Cancelled</v>
          </cell>
          <cell r="R3628">
            <v>45008.657604166663</v>
          </cell>
          <cell r="S3628" t="str">
            <v>Ahmed Sami</v>
          </cell>
          <cell r="T3628">
            <v>45028</v>
          </cell>
          <cell r="U3628" t="str">
            <v>Miranda Naeem</v>
          </cell>
          <cell r="V3628">
            <v>45148</v>
          </cell>
          <cell r="W3628">
            <v>45224</v>
          </cell>
          <cell r="Y3628">
            <v>45027</v>
          </cell>
          <cell r="AC3628">
            <v>45224</v>
          </cell>
        </row>
        <row r="3629">
          <cell r="I3629" t="str">
            <v>EDI</v>
          </cell>
          <cell r="L3629">
            <v>1995</v>
          </cell>
          <cell r="N3629" t="str">
            <v>Production</v>
          </cell>
          <cell r="O3629" t="str">
            <v>No</v>
          </cell>
          <cell r="Q3629" t="str">
            <v>Cancelled</v>
          </cell>
          <cell r="R3629">
            <v>45007.855706018519</v>
          </cell>
          <cell r="S3629" t="str">
            <v>Alaa Yehia</v>
          </cell>
          <cell r="T3629">
            <v>45008</v>
          </cell>
          <cell r="U3629" t="str">
            <v>Robbie Schappell</v>
          </cell>
          <cell r="V3629">
            <v>45026</v>
          </cell>
          <cell r="W3629">
            <v>45070</v>
          </cell>
          <cell r="AC3629">
            <v>45064</v>
          </cell>
        </row>
        <row r="3630">
          <cell r="I3630" t="str">
            <v>EDI</v>
          </cell>
          <cell r="L3630">
            <v>2007</v>
          </cell>
          <cell r="N3630" t="str">
            <v>Production</v>
          </cell>
          <cell r="O3630" t="str">
            <v>No</v>
          </cell>
          <cell r="Q3630" t="str">
            <v>Cancelled</v>
          </cell>
          <cell r="R3630">
            <v>45007.704722222217</v>
          </cell>
          <cell r="S3630" t="str">
            <v>Salma Yamani</v>
          </cell>
          <cell r="T3630">
            <v>45019</v>
          </cell>
          <cell r="U3630" t="str">
            <v>Tammy Davies</v>
          </cell>
          <cell r="V3630">
            <v>45223</v>
          </cell>
          <cell r="W3630">
            <v>25569</v>
          </cell>
          <cell r="Y3630">
            <v>45011</v>
          </cell>
          <cell r="AC3630">
            <v>45330</v>
          </cell>
        </row>
        <row r="3631">
          <cell r="I3631" t="str">
            <v>EDI</v>
          </cell>
          <cell r="L3631">
            <v>2010</v>
          </cell>
          <cell r="N3631" t="str">
            <v>Production</v>
          </cell>
          <cell r="O3631" t="str">
            <v>No</v>
          </cell>
          <cell r="Q3631" t="str">
            <v>Live</v>
          </cell>
          <cell r="R3631">
            <v>45007.688287037039</v>
          </cell>
          <cell r="S3631" t="str">
            <v>Fady Maged</v>
          </cell>
          <cell r="T3631">
            <v>45021</v>
          </cell>
          <cell r="U3631" t="str">
            <v>Miranda Naeem</v>
          </cell>
          <cell r="V3631">
            <v>45072</v>
          </cell>
          <cell r="W3631">
            <v>45153</v>
          </cell>
          <cell r="Y3631">
            <v>45020</v>
          </cell>
          <cell r="AC3631">
            <v>45149</v>
          </cell>
        </row>
        <row r="3632">
          <cell r="I3632" t="str">
            <v>EDI</v>
          </cell>
          <cell r="L3632">
            <v>2057</v>
          </cell>
          <cell r="N3632" t="str">
            <v>Production</v>
          </cell>
          <cell r="O3632" t="str">
            <v>No</v>
          </cell>
          <cell r="Q3632" t="str">
            <v>Live</v>
          </cell>
          <cell r="R3632">
            <v>45007.666574074072</v>
          </cell>
          <cell r="S3632" t="str">
            <v>Omnia Abdelaziz</v>
          </cell>
          <cell r="T3632">
            <v>45046</v>
          </cell>
          <cell r="U3632" t="str">
            <v>Miranda Naeem</v>
          </cell>
          <cell r="V3632">
            <v>45088</v>
          </cell>
          <cell r="W3632">
            <v>45125</v>
          </cell>
          <cell r="Y3632">
            <v>45042</v>
          </cell>
          <cell r="AC3632">
            <v>45125</v>
          </cell>
        </row>
        <row r="3633">
          <cell r="I3633" t="str">
            <v>EDI</v>
          </cell>
          <cell r="L3633">
            <v>2005</v>
          </cell>
          <cell r="N3633" t="str">
            <v>Production</v>
          </cell>
          <cell r="O3633" t="str">
            <v>No</v>
          </cell>
          <cell r="Q3633" t="str">
            <v>Live</v>
          </cell>
          <cell r="R3633">
            <v>45007.666574074072</v>
          </cell>
          <cell r="S3633" t="str">
            <v>Aya Fathy</v>
          </cell>
          <cell r="T3633">
            <v>45019</v>
          </cell>
          <cell r="U3633" t="str">
            <v>Miranda Naeem</v>
          </cell>
          <cell r="V3633">
            <v>45111</v>
          </cell>
          <cell r="W3633">
            <v>25569</v>
          </cell>
          <cell r="Y3633">
            <v>45011</v>
          </cell>
          <cell r="AC3633">
            <v>45163</v>
          </cell>
        </row>
        <row r="3634">
          <cell r="I3634" t="str">
            <v>EDI</v>
          </cell>
          <cell r="L3634">
            <v>2094</v>
          </cell>
          <cell r="N3634" t="str">
            <v>Production</v>
          </cell>
          <cell r="O3634" t="str">
            <v>No</v>
          </cell>
          <cell r="Q3634" t="str">
            <v>Live</v>
          </cell>
          <cell r="R3634">
            <v>45007.666574074072</v>
          </cell>
          <cell r="S3634" t="str">
            <v>Mina Adel</v>
          </cell>
          <cell r="T3634">
            <v>45067</v>
          </cell>
          <cell r="U3634" t="str">
            <v>Miranda Naeem</v>
          </cell>
          <cell r="W3634">
            <v>45094</v>
          </cell>
          <cell r="Y3634">
            <v>45067</v>
          </cell>
          <cell r="AC3634">
            <v>45091</v>
          </cell>
        </row>
        <row r="3635">
          <cell r="I3635" t="str">
            <v>EDI</v>
          </cell>
          <cell r="L3635">
            <v>2015</v>
          </cell>
          <cell r="N3635" t="str">
            <v>Production</v>
          </cell>
          <cell r="O3635" t="str">
            <v>No</v>
          </cell>
          <cell r="Q3635" t="str">
            <v>Live</v>
          </cell>
          <cell r="R3635">
            <v>45007.66265046296</v>
          </cell>
          <cell r="S3635" t="str">
            <v>Mina George</v>
          </cell>
          <cell r="T3635">
            <v>45019</v>
          </cell>
          <cell r="U3635" t="str">
            <v>Robbie Schappell</v>
          </cell>
          <cell r="V3635">
            <v>45034</v>
          </cell>
          <cell r="W3635">
            <v>45051</v>
          </cell>
          <cell r="Y3635">
            <v>45012</v>
          </cell>
          <cell r="AC3635">
            <v>45048</v>
          </cell>
        </row>
        <row r="3636">
          <cell r="I3636" t="str">
            <v>EDI</v>
          </cell>
          <cell r="L3636">
            <v>2024</v>
          </cell>
          <cell r="N3636" t="str">
            <v>Testing</v>
          </cell>
          <cell r="O3636" t="str">
            <v>No</v>
          </cell>
          <cell r="Q3636" t="str">
            <v>Cancelled</v>
          </cell>
          <cell r="R3636">
            <v>45007.6409375</v>
          </cell>
          <cell r="S3636" t="str">
            <v>Ahmed Ali</v>
          </cell>
          <cell r="T3636">
            <v>45839</v>
          </cell>
          <cell r="U3636" t="str">
            <v>Hans De Grouw</v>
          </cell>
          <cell r="V3636">
            <v>45056</v>
          </cell>
          <cell r="Y3636">
            <v>45014</v>
          </cell>
        </row>
        <row r="3637">
          <cell r="I3637" t="str">
            <v>EDI</v>
          </cell>
          <cell r="L3637">
            <v>2022</v>
          </cell>
          <cell r="N3637" t="str">
            <v>Production</v>
          </cell>
          <cell r="O3637" t="str">
            <v>No</v>
          </cell>
          <cell r="Q3637" t="str">
            <v>Live</v>
          </cell>
          <cell r="R3637">
            <v>45007.6409375</v>
          </cell>
          <cell r="S3637" t="str">
            <v>Alaa Yehia</v>
          </cell>
          <cell r="T3637">
            <v>45019</v>
          </cell>
          <cell r="U3637" t="str">
            <v>Hans De Grouw</v>
          </cell>
          <cell r="V3637">
            <v>45041</v>
          </cell>
          <cell r="W3637">
            <v>45057</v>
          </cell>
          <cell r="Y3637">
            <v>45013</v>
          </cell>
          <cell r="AC3637">
            <v>45054</v>
          </cell>
        </row>
        <row r="3638">
          <cell r="I3638" t="str">
            <v>EDI</v>
          </cell>
          <cell r="L3638">
            <v>2023</v>
          </cell>
          <cell r="N3638" t="str">
            <v>Production</v>
          </cell>
          <cell r="O3638" t="str">
            <v>No</v>
          </cell>
          <cell r="Q3638" t="str">
            <v>Live</v>
          </cell>
          <cell r="R3638">
            <v>45007.6409375</v>
          </cell>
          <cell r="S3638" t="str">
            <v>Mahmoud Ahmed</v>
          </cell>
          <cell r="T3638">
            <v>45019</v>
          </cell>
          <cell r="U3638" t="str">
            <v>Hans De Grouw</v>
          </cell>
          <cell r="V3638">
            <v>45207</v>
          </cell>
          <cell r="W3638">
            <v>45351</v>
          </cell>
          <cell r="Y3638">
            <v>45013</v>
          </cell>
          <cell r="AC3638">
            <v>45344</v>
          </cell>
        </row>
        <row r="3639">
          <cell r="I3639" t="str">
            <v>EDI</v>
          </cell>
          <cell r="L3639">
            <v>2031</v>
          </cell>
          <cell r="N3639" t="str">
            <v>Production</v>
          </cell>
          <cell r="O3639" t="str">
            <v>No</v>
          </cell>
          <cell r="Q3639" t="str">
            <v>Cancelled</v>
          </cell>
          <cell r="R3639">
            <v>45007.640925925924</v>
          </cell>
          <cell r="S3639" t="str">
            <v>Aya Fathy</v>
          </cell>
          <cell r="T3639">
            <v>45034</v>
          </cell>
          <cell r="U3639" t="str">
            <v>Hans De Grouw</v>
          </cell>
          <cell r="V3639">
            <v>45053</v>
          </cell>
          <cell r="W3639">
            <v>25569</v>
          </cell>
          <cell r="Y3639">
            <v>45029</v>
          </cell>
          <cell r="AC3639">
            <v>45088</v>
          </cell>
        </row>
        <row r="3640">
          <cell r="I3640" t="str">
            <v>EDI</v>
          </cell>
          <cell r="L3640">
            <v>2008</v>
          </cell>
          <cell r="N3640" t="str">
            <v>Production</v>
          </cell>
          <cell r="O3640" t="str">
            <v>No</v>
          </cell>
          <cell r="Q3640" t="str">
            <v>Cancelled</v>
          </cell>
          <cell r="R3640">
            <v>45007.624513888892</v>
          </cell>
          <cell r="S3640" t="str">
            <v>Tarek Medhat</v>
          </cell>
          <cell r="T3640">
            <v>45018</v>
          </cell>
          <cell r="U3640" t="str">
            <v>Vicky Wright</v>
          </cell>
          <cell r="V3640">
            <v>45034</v>
          </cell>
          <cell r="W3640">
            <v>45071</v>
          </cell>
          <cell r="Y3640">
            <v>45011</v>
          </cell>
          <cell r="AC3640">
            <v>45064</v>
          </cell>
        </row>
        <row r="3641">
          <cell r="I3641" t="str">
            <v>EDI</v>
          </cell>
          <cell r="L3641">
            <v>2012</v>
          </cell>
          <cell r="N3641" t="str">
            <v>Production</v>
          </cell>
          <cell r="O3641" t="str">
            <v>No</v>
          </cell>
          <cell r="Q3641" t="str">
            <v>Live</v>
          </cell>
          <cell r="R3641">
            <v>45007.576805555553</v>
          </cell>
          <cell r="S3641" t="str">
            <v>Omnia Abdelaziz</v>
          </cell>
          <cell r="T3641">
            <v>45015</v>
          </cell>
          <cell r="U3641" t="str">
            <v>Hans De Grouw</v>
          </cell>
          <cell r="V3641">
            <v>45063</v>
          </cell>
          <cell r="W3641">
            <v>45153</v>
          </cell>
          <cell r="Y3641">
            <v>45011</v>
          </cell>
          <cell r="AC3641">
            <v>45148</v>
          </cell>
        </row>
        <row r="3642">
          <cell r="I3642" t="str">
            <v>EDI</v>
          </cell>
          <cell r="N3642" t="str">
            <v>Requirements Gathering</v>
          </cell>
          <cell r="O3642" t="str">
            <v>No</v>
          </cell>
          <cell r="Q3642" t="str">
            <v>Cancelled</v>
          </cell>
          <cell r="R3642">
            <v>45006.657986111109</v>
          </cell>
          <cell r="S3642" t="str">
            <v>Sandra Adel</v>
          </cell>
          <cell r="T3642">
            <v>45007</v>
          </cell>
          <cell r="U3642" t="str">
            <v>Jenna  Whaley</v>
          </cell>
        </row>
        <row r="3643">
          <cell r="I3643" t="str">
            <v>EDI</v>
          </cell>
          <cell r="L3643">
            <v>2079</v>
          </cell>
          <cell r="N3643" t="str">
            <v>Production</v>
          </cell>
          <cell r="O3643" t="str">
            <v>No</v>
          </cell>
          <cell r="Q3643" t="str">
            <v>Live</v>
          </cell>
          <cell r="R3643">
            <v>45006.656793981478</v>
          </cell>
          <cell r="S3643" t="str">
            <v>Aya Fathy</v>
          </cell>
          <cell r="T3643">
            <v>45057</v>
          </cell>
          <cell r="U3643" t="str">
            <v>Jenna  Whaley</v>
          </cell>
          <cell r="V3643">
            <v>45074</v>
          </cell>
          <cell r="W3643">
            <v>45090</v>
          </cell>
          <cell r="Y3643">
            <v>45056</v>
          </cell>
          <cell r="AC3643">
            <v>45084</v>
          </cell>
        </row>
        <row r="3644">
          <cell r="I3644" t="str">
            <v>EDI</v>
          </cell>
          <cell r="L3644">
            <v>2062</v>
          </cell>
          <cell r="N3644" t="str">
            <v>Production</v>
          </cell>
          <cell r="O3644" t="str">
            <v>No</v>
          </cell>
          <cell r="Q3644" t="str">
            <v>Cancelled</v>
          </cell>
          <cell r="R3644">
            <v>45006.656782407408</v>
          </cell>
          <cell r="S3644" t="str">
            <v>Tarek Medhat</v>
          </cell>
          <cell r="T3644">
            <v>45046</v>
          </cell>
          <cell r="U3644" t="str">
            <v>Jenna  Whaley</v>
          </cell>
          <cell r="V3644">
            <v>45083</v>
          </cell>
          <cell r="W3644">
            <v>45237</v>
          </cell>
          <cell r="Y3644">
            <v>45042</v>
          </cell>
          <cell r="AC3644">
            <v>45232</v>
          </cell>
        </row>
        <row r="3645">
          <cell r="I3645" t="str">
            <v>EDI</v>
          </cell>
          <cell r="L3645">
            <v>2026</v>
          </cell>
          <cell r="N3645" t="str">
            <v>Production</v>
          </cell>
          <cell r="O3645" t="str">
            <v>No</v>
          </cell>
          <cell r="Q3645" t="str">
            <v>Live</v>
          </cell>
          <cell r="R3645">
            <v>45006.656782407408</v>
          </cell>
          <cell r="S3645" t="str">
            <v>Fady Maged</v>
          </cell>
          <cell r="T3645">
            <v>45018</v>
          </cell>
          <cell r="U3645" t="str">
            <v>Jenna  Whaley</v>
          </cell>
          <cell r="V3645">
            <v>45052</v>
          </cell>
          <cell r="W3645">
            <v>45125</v>
          </cell>
          <cell r="Y3645">
            <v>45016</v>
          </cell>
          <cell r="AC3645">
            <v>45124</v>
          </cell>
        </row>
        <row r="3646">
          <cell r="I3646" t="str">
            <v>EDI</v>
          </cell>
          <cell r="L3646">
            <v>2089</v>
          </cell>
          <cell r="N3646" t="str">
            <v>Production</v>
          </cell>
          <cell r="O3646" t="str">
            <v>No</v>
          </cell>
          <cell r="Q3646" t="str">
            <v>Cancelled</v>
          </cell>
          <cell r="R3646">
            <v>45006.656782407408</v>
          </cell>
          <cell r="S3646" t="str">
            <v>Mina Kamil</v>
          </cell>
          <cell r="T3646">
            <v>45062</v>
          </cell>
          <cell r="U3646" t="str">
            <v>Jenna  Whaley</v>
          </cell>
          <cell r="W3646">
            <v>45223</v>
          </cell>
          <cell r="Y3646">
            <v>45062</v>
          </cell>
          <cell r="AC3646">
            <v>45214</v>
          </cell>
        </row>
        <row r="3647">
          <cell r="I3647" t="str">
            <v>EDI</v>
          </cell>
          <cell r="L3647">
            <v>2033</v>
          </cell>
          <cell r="N3647" t="str">
            <v>Requirements Gathering</v>
          </cell>
          <cell r="O3647" t="str">
            <v>No</v>
          </cell>
          <cell r="Q3647" t="str">
            <v>Cancelled</v>
          </cell>
          <cell r="R3647">
            <v>45006.63784722222</v>
          </cell>
          <cell r="S3647" t="str">
            <v>Abdulrahman Tarek</v>
          </cell>
          <cell r="T3647">
            <v>45007</v>
          </cell>
          <cell r="U3647" t="str">
            <v>Hans De Grouw</v>
          </cell>
        </row>
        <row r="3648">
          <cell r="I3648" t="str">
            <v>EDI</v>
          </cell>
          <cell r="L3648">
            <v>2025</v>
          </cell>
          <cell r="N3648" t="str">
            <v>Production</v>
          </cell>
          <cell r="O3648" t="str">
            <v>No</v>
          </cell>
          <cell r="Q3648" t="str">
            <v>Cancelled</v>
          </cell>
          <cell r="R3648">
            <v>45006.63784722222</v>
          </cell>
          <cell r="S3648" t="str">
            <v>Tarek Medhat</v>
          </cell>
          <cell r="T3648">
            <v>45026</v>
          </cell>
          <cell r="U3648" t="str">
            <v>Hans De Grouw</v>
          </cell>
          <cell r="V3648">
            <v>45049</v>
          </cell>
          <cell r="W3648">
            <v>45085</v>
          </cell>
          <cell r="Y3648">
            <v>45025</v>
          </cell>
          <cell r="AC3648">
            <v>45081</v>
          </cell>
        </row>
        <row r="3649">
          <cell r="I3649" t="str">
            <v>EDI</v>
          </cell>
          <cell r="L3649">
            <v>1996</v>
          </cell>
          <cell r="N3649" t="str">
            <v>Production</v>
          </cell>
          <cell r="O3649" t="str">
            <v>No</v>
          </cell>
          <cell r="Q3649" t="str">
            <v>Cancelled</v>
          </cell>
          <cell r="R3649">
            <v>45005.663923611108</v>
          </cell>
          <cell r="S3649" t="str">
            <v>Omnia Abdelaziz</v>
          </cell>
          <cell r="T3649">
            <v>45012</v>
          </cell>
          <cell r="U3649" t="str">
            <v>Hans De Grouw</v>
          </cell>
          <cell r="V3649">
            <v>45057</v>
          </cell>
          <cell r="W3649">
            <v>45264</v>
          </cell>
          <cell r="Y3649">
            <v>45008</v>
          </cell>
          <cell r="AC3649">
            <v>45250</v>
          </cell>
        </row>
        <row r="3650">
          <cell r="I3650" t="str">
            <v>EDI</v>
          </cell>
          <cell r="L3650">
            <v>1980</v>
          </cell>
          <cell r="N3650" t="str">
            <v>Production</v>
          </cell>
          <cell r="O3650" t="str">
            <v>Everything Benefits</v>
          </cell>
          <cell r="P3650" t="str">
            <v>Production</v>
          </cell>
          <cell r="Q3650" t="str">
            <v>Cancelled</v>
          </cell>
          <cell r="R3650">
            <v>45005.444618055553</v>
          </cell>
          <cell r="S3650" t="str">
            <v>Salma Yamani</v>
          </cell>
          <cell r="T3650">
            <v>45005</v>
          </cell>
          <cell r="U3650" t="str">
            <v>Melodie Coles</v>
          </cell>
          <cell r="V3650">
            <v>45043</v>
          </cell>
          <cell r="W3650">
            <v>45065</v>
          </cell>
          <cell r="AC3650">
            <v>45062</v>
          </cell>
        </row>
        <row r="3651">
          <cell r="I3651" t="str">
            <v>EDI</v>
          </cell>
          <cell r="L3651">
            <v>1981</v>
          </cell>
          <cell r="N3651" t="str">
            <v>Testing</v>
          </cell>
          <cell r="O3651" t="str">
            <v>Everything Benefits</v>
          </cell>
          <cell r="P3651" t="str">
            <v>Phase 3</v>
          </cell>
          <cell r="Q3651" t="str">
            <v>Cancelled</v>
          </cell>
          <cell r="R3651">
            <v>45001.865486111114</v>
          </cell>
          <cell r="S3651" t="str">
            <v>Salma Yamani</v>
          </cell>
          <cell r="T3651">
            <v>45005</v>
          </cell>
          <cell r="U3651" t="str">
            <v>Melodie Coles</v>
          </cell>
          <cell r="V3651">
            <v>45043</v>
          </cell>
        </row>
        <row r="3652">
          <cell r="I3652" t="str">
            <v>EDI</v>
          </cell>
          <cell r="L3652">
            <v>1992</v>
          </cell>
          <cell r="N3652" t="str">
            <v>Production</v>
          </cell>
          <cell r="O3652" t="str">
            <v>No</v>
          </cell>
          <cell r="Q3652" t="str">
            <v>Live</v>
          </cell>
          <cell r="R3652">
            <v>45001.541296296287</v>
          </cell>
          <cell r="S3652" t="str">
            <v>Mina Adel</v>
          </cell>
          <cell r="T3652">
            <v>45012</v>
          </cell>
          <cell r="U3652" t="str">
            <v>Miranda Naeem</v>
          </cell>
          <cell r="V3652">
            <v>45103</v>
          </cell>
          <cell r="W3652">
            <v>45301</v>
          </cell>
          <cell r="Y3652">
            <v>45011</v>
          </cell>
          <cell r="AC3652">
            <v>45295</v>
          </cell>
        </row>
        <row r="3653">
          <cell r="I3653" t="str">
            <v>EDI</v>
          </cell>
          <cell r="L3653">
            <v>2101</v>
          </cell>
          <cell r="N3653" t="str">
            <v>Production</v>
          </cell>
          <cell r="O3653" t="str">
            <v>No</v>
          </cell>
          <cell r="Q3653" t="str">
            <v>Cancelled</v>
          </cell>
          <cell r="R3653">
            <v>45001.540497685193</v>
          </cell>
          <cell r="S3653" t="str">
            <v>Alaa Yehia</v>
          </cell>
          <cell r="T3653">
            <v>45231</v>
          </cell>
          <cell r="U3653" t="str">
            <v>Miranda Naeem</v>
          </cell>
          <cell r="V3653">
            <v>45110</v>
          </cell>
          <cell r="W3653">
            <v>45328</v>
          </cell>
          <cell r="Y3653">
            <v>45061</v>
          </cell>
          <cell r="AC3653">
            <v>45326</v>
          </cell>
        </row>
        <row r="3654">
          <cell r="I3654" t="str">
            <v>EDI</v>
          </cell>
          <cell r="L3654">
            <v>1988</v>
          </cell>
          <cell r="N3654" t="str">
            <v>Production</v>
          </cell>
          <cell r="O3654" t="str">
            <v>No</v>
          </cell>
          <cell r="Q3654" t="str">
            <v>Live</v>
          </cell>
          <cell r="R3654">
            <v>45001.540486111109</v>
          </cell>
          <cell r="S3654" t="str">
            <v>Mina Adel</v>
          </cell>
          <cell r="T3654">
            <v>45008</v>
          </cell>
          <cell r="U3654" t="str">
            <v>Miranda Naeem</v>
          </cell>
          <cell r="V3654">
            <v>45103</v>
          </cell>
          <cell r="W3654">
            <v>45300</v>
          </cell>
          <cell r="Y3654">
            <v>45006</v>
          </cell>
          <cell r="AC3654">
            <v>45295</v>
          </cell>
        </row>
        <row r="3655">
          <cell r="I3655" t="str">
            <v>EDI</v>
          </cell>
          <cell r="L3655">
            <v>1998</v>
          </cell>
          <cell r="N3655" t="str">
            <v>Testing</v>
          </cell>
          <cell r="O3655" t="str">
            <v>No</v>
          </cell>
          <cell r="Q3655" t="str">
            <v>Cancelled</v>
          </cell>
          <cell r="R3655">
            <v>45001.540486111109</v>
          </cell>
          <cell r="S3655" t="str">
            <v>Nada Ashraf</v>
          </cell>
          <cell r="T3655">
            <v>45335</v>
          </cell>
          <cell r="U3655" t="str">
            <v>Hans De Grouw</v>
          </cell>
          <cell r="V3655">
            <v>45057</v>
          </cell>
          <cell r="Y3655">
            <v>45005</v>
          </cell>
        </row>
        <row r="3656">
          <cell r="I3656" t="str">
            <v>EDI</v>
          </cell>
          <cell r="L3656">
            <v>2003</v>
          </cell>
          <cell r="N3656" t="str">
            <v>Production</v>
          </cell>
          <cell r="O3656" t="str">
            <v>No</v>
          </cell>
          <cell r="Q3656" t="str">
            <v>Cancelled</v>
          </cell>
          <cell r="R3656">
            <v>45001.54047453704</v>
          </cell>
          <cell r="S3656" t="str">
            <v>Mahmoud Ahmed</v>
          </cell>
          <cell r="T3656">
            <v>45015</v>
          </cell>
          <cell r="U3656" t="str">
            <v>Miranda Naeem</v>
          </cell>
          <cell r="V3656">
            <v>45084</v>
          </cell>
          <cell r="W3656">
            <v>45195</v>
          </cell>
          <cell r="Y3656">
            <v>45013</v>
          </cell>
          <cell r="AC3656">
            <v>45194</v>
          </cell>
        </row>
        <row r="3657">
          <cell r="I3657" t="str">
            <v>EDI</v>
          </cell>
          <cell r="L3657">
            <v>1986</v>
          </cell>
          <cell r="N3657" t="str">
            <v>Production</v>
          </cell>
          <cell r="O3657" t="str">
            <v>No</v>
          </cell>
          <cell r="Q3657" t="str">
            <v>Cancelled</v>
          </cell>
          <cell r="R3657">
            <v>44998.789768518523</v>
          </cell>
          <cell r="S3657" t="str">
            <v>Omar Elmahalwy</v>
          </cell>
          <cell r="T3657">
            <v>45008</v>
          </cell>
          <cell r="U3657" t="str">
            <v>Miranda Naeem</v>
          </cell>
          <cell r="V3657">
            <v>45021</v>
          </cell>
          <cell r="W3657">
            <v>45174</v>
          </cell>
          <cell r="Y3657">
            <v>45000</v>
          </cell>
          <cell r="AC3657">
            <v>45166</v>
          </cell>
        </row>
        <row r="3658">
          <cell r="I3658" t="str">
            <v>EDI</v>
          </cell>
          <cell r="L3658">
            <v>2000</v>
          </cell>
          <cell r="N3658" t="str">
            <v>Production</v>
          </cell>
          <cell r="O3658" t="str">
            <v>No</v>
          </cell>
          <cell r="Q3658" t="str">
            <v>Live</v>
          </cell>
          <cell r="R3658">
            <v>44998.710231481477</v>
          </cell>
          <cell r="S3658" t="str">
            <v>Andrew Ramy</v>
          </cell>
          <cell r="T3658">
            <v>45008</v>
          </cell>
          <cell r="U3658" t="str">
            <v>Vicky Wright</v>
          </cell>
          <cell r="V3658">
            <v>45020</v>
          </cell>
          <cell r="W3658">
            <v>45043</v>
          </cell>
          <cell r="Y3658">
            <v>45000</v>
          </cell>
          <cell r="AC3658">
            <v>45042</v>
          </cell>
        </row>
        <row r="3659">
          <cell r="I3659" t="str">
            <v>EDI</v>
          </cell>
          <cell r="L3659">
            <v>1991</v>
          </cell>
          <cell r="N3659" t="str">
            <v>Production</v>
          </cell>
          <cell r="O3659" t="str">
            <v>No</v>
          </cell>
          <cell r="Q3659" t="str">
            <v>Cancelled</v>
          </cell>
          <cell r="R3659">
            <v>44997.761840277781</v>
          </cell>
          <cell r="S3659" t="str">
            <v>Mirna Azmy</v>
          </cell>
          <cell r="T3659">
            <v>45011</v>
          </cell>
          <cell r="U3659" t="str">
            <v>Vicky Wright</v>
          </cell>
          <cell r="V3659">
            <v>45022</v>
          </cell>
          <cell r="W3659">
            <v>45064</v>
          </cell>
          <cell r="Y3659">
            <v>45011</v>
          </cell>
          <cell r="AC3659">
            <v>45057</v>
          </cell>
        </row>
        <row r="3660">
          <cell r="I3660" t="str">
            <v>EDI</v>
          </cell>
          <cell r="L3660">
            <v>1993</v>
          </cell>
          <cell r="N3660" t="str">
            <v>Production</v>
          </cell>
          <cell r="O3660" t="str">
            <v>No</v>
          </cell>
          <cell r="Q3660" t="str">
            <v>Live</v>
          </cell>
          <cell r="R3660">
            <v>44994.676030092603</v>
          </cell>
          <cell r="S3660" t="str">
            <v>Tarek Medhat</v>
          </cell>
          <cell r="T3660">
            <v>45006</v>
          </cell>
          <cell r="U3660" t="str">
            <v>Miranda Naeem</v>
          </cell>
          <cell r="V3660">
            <v>45055</v>
          </cell>
          <cell r="W3660">
            <v>45076</v>
          </cell>
          <cell r="Y3660">
            <v>44999</v>
          </cell>
          <cell r="AC3660">
            <v>45071</v>
          </cell>
        </row>
        <row r="3661">
          <cell r="I3661" t="str">
            <v>EDI</v>
          </cell>
          <cell r="L3661">
            <v>2002</v>
          </cell>
          <cell r="N3661" t="str">
            <v>Production</v>
          </cell>
          <cell r="O3661" t="str">
            <v>No</v>
          </cell>
          <cell r="Q3661" t="str">
            <v>Cancelled</v>
          </cell>
          <cell r="R3661">
            <v>44993.602662037039</v>
          </cell>
          <cell r="S3661" t="str">
            <v>Hazem Rostom</v>
          </cell>
          <cell r="T3661">
            <v>45011</v>
          </cell>
          <cell r="U3661" t="str">
            <v>Tammy Davies</v>
          </cell>
          <cell r="V3661">
            <v>45238</v>
          </cell>
          <cell r="W3661">
            <v>45281</v>
          </cell>
          <cell r="Y3661">
            <v>45008</v>
          </cell>
          <cell r="AC3661">
            <v>45281</v>
          </cell>
        </row>
        <row r="3662">
          <cell r="I3662" t="str">
            <v>EDI</v>
          </cell>
          <cell r="L3662">
            <v>1989</v>
          </cell>
          <cell r="N3662" t="str">
            <v>Production</v>
          </cell>
          <cell r="O3662" t="str">
            <v>No</v>
          </cell>
          <cell r="Q3662" t="str">
            <v>Cancelled</v>
          </cell>
          <cell r="R3662">
            <v>44992.846759259257</v>
          </cell>
          <cell r="S3662" t="str">
            <v>Alaa Yehia</v>
          </cell>
          <cell r="T3662">
            <v>45006</v>
          </cell>
          <cell r="U3662" t="str">
            <v>Hans De Grouw</v>
          </cell>
          <cell r="V3662">
            <v>45048</v>
          </cell>
          <cell r="W3662">
            <v>45099</v>
          </cell>
          <cell r="Y3662">
            <v>44994</v>
          </cell>
          <cell r="AC3662">
            <v>45097</v>
          </cell>
        </row>
        <row r="3663">
          <cell r="I3663" t="str">
            <v>EDI</v>
          </cell>
          <cell r="L3663">
            <v>2017</v>
          </cell>
          <cell r="N3663" t="str">
            <v>Production</v>
          </cell>
          <cell r="O3663" t="str">
            <v>No</v>
          </cell>
          <cell r="Q3663" t="str">
            <v>Cancelled</v>
          </cell>
          <cell r="R3663">
            <v>44992.846747685187</v>
          </cell>
          <cell r="S3663" t="str">
            <v>Aya Fathy</v>
          </cell>
          <cell r="T3663">
            <v>45022</v>
          </cell>
          <cell r="U3663" t="str">
            <v>Vicky Wright</v>
          </cell>
          <cell r="V3663">
            <v>45035</v>
          </cell>
          <cell r="W3663">
            <v>45078</v>
          </cell>
          <cell r="Y3663">
            <v>45021</v>
          </cell>
          <cell r="AC3663">
            <v>45074</v>
          </cell>
        </row>
        <row r="3664">
          <cell r="I3664" t="str">
            <v>EDI</v>
          </cell>
          <cell r="N3664" t="str">
            <v>Requirements Gathering</v>
          </cell>
          <cell r="O3664" t="str">
            <v>No</v>
          </cell>
          <cell r="Q3664" t="str">
            <v>Cancelled</v>
          </cell>
          <cell r="R3664">
            <v>44991.626226851848</v>
          </cell>
          <cell r="S3664" t="str">
            <v>Lourina Edmon</v>
          </cell>
          <cell r="T3664">
            <v>44992</v>
          </cell>
          <cell r="U3664" t="str">
            <v>Miranda Naeem</v>
          </cell>
        </row>
        <row r="3665">
          <cell r="I3665" t="str">
            <v>EDI</v>
          </cell>
          <cell r="L3665">
            <v>1940</v>
          </cell>
          <cell r="N3665" t="str">
            <v>Production</v>
          </cell>
          <cell r="O3665" t="str">
            <v>No</v>
          </cell>
          <cell r="Q3665" t="str">
            <v>Live</v>
          </cell>
          <cell r="R3665">
            <v>44990.641122685192</v>
          </cell>
          <cell r="S3665" t="str">
            <v>Mahmoud Ahmed</v>
          </cell>
          <cell r="T3665">
            <v>45060</v>
          </cell>
          <cell r="U3665" t="str">
            <v>Vicky Wright</v>
          </cell>
          <cell r="V3665">
            <v>45034</v>
          </cell>
          <cell r="W3665">
            <v>45183</v>
          </cell>
          <cell r="AC3665">
            <v>45175</v>
          </cell>
        </row>
        <row r="3666">
          <cell r="I3666" t="str">
            <v>EDI</v>
          </cell>
          <cell r="L3666">
            <v>1983</v>
          </cell>
          <cell r="N3666" t="str">
            <v>Production</v>
          </cell>
          <cell r="O3666" t="str">
            <v>No</v>
          </cell>
          <cell r="Q3666" t="str">
            <v>Live</v>
          </cell>
          <cell r="R3666">
            <v>44988.813993055563</v>
          </cell>
          <cell r="S3666" t="str">
            <v>Andrew Ramy</v>
          </cell>
          <cell r="T3666">
            <v>45005</v>
          </cell>
          <cell r="U3666" t="str">
            <v>Miranda Naeem</v>
          </cell>
          <cell r="V3666">
            <v>45076</v>
          </cell>
          <cell r="W3666">
            <v>45125</v>
          </cell>
          <cell r="Y3666">
            <v>44991</v>
          </cell>
          <cell r="AC3666">
            <v>45125</v>
          </cell>
        </row>
        <row r="3667">
          <cell r="I3667" t="str">
            <v>EDI</v>
          </cell>
          <cell r="L3667">
            <v>1979</v>
          </cell>
          <cell r="N3667" t="str">
            <v>Production</v>
          </cell>
          <cell r="O3667" t="str">
            <v>No</v>
          </cell>
          <cell r="Q3667" t="str">
            <v>Live</v>
          </cell>
          <cell r="R3667">
            <v>44988.813993055563</v>
          </cell>
          <cell r="S3667" t="str">
            <v>Omar Elmahalwy</v>
          </cell>
          <cell r="T3667">
            <v>45006</v>
          </cell>
          <cell r="U3667" t="str">
            <v>Miranda Naeem</v>
          </cell>
          <cell r="V3667">
            <v>25569</v>
          </cell>
          <cell r="W3667">
            <v>45034</v>
          </cell>
          <cell r="Y3667">
            <v>44997</v>
          </cell>
          <cell r="AC3667">
            <v>45029</v>
          </cell>
        </row>
        <row r="3668">
          <cell r="I3668" t="str">
            <v>EDI</v>
          </cell>
          <cell r="N3668" t="str">
            <v>Requirements Gathering</v>
          </cell>
          <cell r="O3668" t="str">
            <v>No</v>
          </cell>
          <cell r="Q3668" t="str">
            <v>Cancelled</v>
          </cell>
          <cell r="R3668">
            <v>44988.813993055563</v>
          </cell>
          <cell r="S3668" t="str">
            <v>Sandra Adel</v>
          </cell>
          <cell r="T3668">
            <v>44990</v>
          </cell>
          <cell r="U3668" t="str">
            <v>Miranda Naeem</v>
          </cell>
        </row>
        <row r="3669">
          <cell r="I3669" t="str">
            <v>EDI</v>
          </cell>
          <cell r="L3669">
            <v>1969</v>
          </cell>
          <cell r="N3669" t="str">
            <v>Production</v>
          </cell>
          <cell r="O3669" t="str">
            <v>No</v>
          </cell>
          <cell r="Q3669" t="str">
            <v>Live</v>
          </cell>
          <cell r="R3669">
            <v>44988.813981481479</v>
          </cell>
          <cell r="S3669" t="str">
            <v>Mirna Azmy</v>
          </cell>
          <cell r="T3669">
            <v>45000</v>
          </cell>
          <cell r="U3669" t="str">
            <v>Miranda Naeem</v>
          </cell>
          <cell r="V3669">
            <v>45005</v>
          </cell>
          <cell r="W3669">
            <v>45034</v>
          </cell>
          <cell r="Y3669">
            <v>44991</v>
          </cell>
          <cell r="AC3669">
            <v>45034</v>
          </cell>
        </row>
        <row r="3670">
          <cell r="I3670" t="str">
            <v>EDI</v>
          </cell>
          <cell r="N3670" t="str">
            <v>Requirements Gathering</v>
          </cell>
          <cell r="O3670" t="str">
            <v>No</v>
          </cell>
          <cell r="Q3670" t="str">
            <v>Cancelled</v>
          </cell>
          <cell r="R3670">
            <v>44988.793402777781</v>
          </cell>
          <cell r="S3670" t="str">
            <v>Abdulrahman Tarek</v>
          </cell>
          <cell r="T3670">
            <v>44990</v>
          </cell>
          <cell r="U3670" t="str">
            <v>Miranda Naeem</v>
          </cell>
        </row>
        <row r="3671">
          <cell r="I3671" t="str">
            <v>EDI</v>
          </cell>
          <cell r="L3671">
            <v>2137</v>
          </cell>
          <cell r="N3671" t="str">
            <v>Production</v>
          </cell>
          <cell r="O3671" t="str">
            <v>No</v>
          </cell>
          <cell r="Q3671" t="str">
            <v>Live</v>
          </cell>
          <cell r="R3671">
            <v>44988.613946759258</v>
          </cell>
          <cell r="S3671" t="str">
            <v>Mina George</v>
          </cell>
          <cell r="T3671">
            <v>45088</v>
          </cell>
          <cell r="U3671" t="str">
            <v>Jenna  Whaley</v>
          </cell>
          <cell r="V3671">
            <v>45117</v>
          </cell>
          <cell r="W3671">
            <v>45139</v>
          </cell>
          <cell r="Y3671">
            <v>45088</v>
          </cell>
          <cell r="AC3671">
            <v>45137</v>
          </cell>
        </row>
        <row r="3672">
          <cell r="I3672" t="str">
            <v>EDI</v>
          </cell>
          <cell r="L3672">
            <v>1970</v>
          </cell>
          <cell r="N3672" t="str">
            <v>Production</v>
          </cell>
          <cell r="O3672" t="str">
            <v>No</v>
          </cell>
          <cell r="Q3672" t="str">
            <v>Cancelled</v>
          </cell>
          <cell r="R3672">
            <v>44987.714085648149</v>
          </cell>
          <cell r="S3672" t="str">
            <v>Aya Fathy</v>
          </cell>
          <cell r="T3672">
            <v>45000</v>
          </cell>
          <cell r="U3672" t="str">
            <v>Robbie Schappell</v>
          </cell>
          <cell r="V3672">
            <v>45068</v>
          </cell>
          <cell r="W3672">
            <v>45133</v>
          </cell>
          <cell r="Y3672">
            <v>44991</v>
          </cell>
          <cell r="AC3672">
            <v>45132</v>
          </cell>
        </row>
        <row r="3673">
          <cell r="I3673" t="str">
            <v>EDI</v>
          </cell>
          <cell r="L3673">
            <v>2013</v>
          </cell>
          <cell r="N3673" t="str">
            <v>Testing</v>
          </cell>
          <cell r="O3673" t="str">
            <v>No</v>
          </cell>
          <cell r="Q3673" t="str">
            <v>Cancelled</v>
          </cell>
          <cell r="R3673">
            <v>44987.648587962962</v>
          </cell>
          <cell r="S3673" t="str">
            <v>Mirna Azmy</v>
          </cell>
          <cell r="T3673">
            <v>45231</v>
          </cell>
          <cell r="U3673" t="str">
            <v>Miranda Naeem</v>
          </cell>
          <cell r="V3673">
            <v>45061</v>
          </cell>
          <cell r="Y3673">
            <v>45006</v>
          </cell>
        </row>
        <row r="3674">
          <cell r="I3674" t="str">
            <v>EDI</v>
          </cell>
          <cell r="L3674">
            <v>2004</v>
          </cell>
          <cell r="N3674" t="str">
            <v>Production</v>
          </cell>
          <cell r="O3674" t="str">
            <v>No</v>
          </cell>
          <cell r="Q3674" t="str">
            <v>Cancelled</v>
          </cell>
          <cell r="R3674">
            <v>44987.648576388892</v>
          </cell>
          <cell r="S3674" t="str">
            <v>Omar Elmahalwy</v>
          </cell>
          <cell r="T3674">
            <v>45019</v>
          </cell>
          <cell r="U3674" t="str">
            <v>Miranda Naeem</v>
          </cell>
          <cell r="V3674">
            <v>45035</v>
          </cell>
          <cell r="W3674">
            <v>45062</v>
          </cell>
          <cell r="Y3674">
            <v>45018</v>
          </cell>
          <cell r="AC3674">
            <v>45057</v>
          </cell>
        </row>
        <row r="3675">
          <cell r="I3675" t="str">
            <v>EDI</v>
          </cell>
          <cell r="L3675">
            <v>1974</v>
          </cell>
          <cell r="N3675" t="str">
            <v>Mapping</v>
          </cell>
          <cell r="O3675" t="str">
            <v>No</v>
          </cell>
          <cell r="Q3675" t="str">
            <v>Cancelled</v>
          </cell>
          <cell r="R3675">
            <v>44987.633831018517</v>
          </cell>
          <cell r="S3675" t="str">
            <v>Joseph Atef</v>
          </cell>
          <cell r="T3675">
            <v>44999</v>
          </cell>
          <cell r="U3675" t="str">
            <v>Miranda Naeem</v>
          </cell>
          <cell r="Y3675">
            <v>44993</v>
          </cell>
        </row>
        <row r="3676">
          <cell r="I3676" t="str">
            <v>EDI</v>
          </cell>
          <cell r="L3676">
            <v>1972</v>
          </cell>
          <cell r="N3676" t="str">
            <v>Mapping</v>
          </cell>
          <cell r="O3676" t="str">
            <v>No</v>
          </cell>
          <cell r="Q3676" t="str">
            <v>Cancelled</v>
          </cell>
          <cell r="R3676">
            <v>44986.854178240741</v>
          </cell>
          <cell r="S3676" t="str">
            <v>Alaa Yehia</v>
          </cell>
          <cell r="T3676">
            <v>44999</v>
          </cell>
          <cell r="U3676" t="str">
            <v>Robbie Schappell</v>
          </cell>
          <cell r="Y3676">
            <v>44990</v>
          </cell>
        </row>
        <row r="3677">
          <cell r="I3677" t="str">
            <v>EDI</v>
          </cell>
          <cell r="L3677">
            <v>1966</v>
          </cell>
          <cell r="N3677" t="str">
            <v>Production</v>
          </cell>
          <cell r="O3677" t="str">
            <v>No</v>
          </cell>
          <cell r="Q3677" t="str">
            <v>Cancelled</v>
          </cell>
          <cell r="R3677">
            <v>44986.843506944453</v>
          </cell>
          <cell r="S3677" t="str">
            <v>Salma Yamani</v>
          </cell>
          <cell r="T3677">
            <v>44999</v>
          </cell>
          <cell r="U3677" t="str">
            <v>Vicky Wright</v>
          </cell>
          <cell r="V3677">
            <v>45082</v>
          </cell>
          <cell r="W3677">
            <v>45623</v>
          </cell>
          <cell r="Y3677">
            <v>44997</v>
          </cell>
          <cell r="AC3677">
            <v>45620</v>
          </cell>
        </row>
        <row r="3678">
          <cell r="I3678" t="str">
            <v>EDI</v>
          </cell>
          <cell r="L3678">
            <v>1967</v>
          </cell>
          <cell r="N3678" t="str">
            <v>Production</v>
          </cell>
          <cell r="O3678" t="str">
            <v>No</v>
          </cell>
          <cell r="Q3678" t="str">
            <v>Cancelled</v>
          </cell>
          <cell r="R3678">
            <v>44986.636076388888</v>
          </cell>
          <cell r="S3678" t="str">
            <v>Omnia Abdelaziz</v>
          </cell>
          <cell r="T3678">
            <v>44998</v>
          </cell>
          <cell r="U3678" t="str">
            <v>Melonie Skeen</v>
          </cell>
          <cell r="V3678">
            <v>45013</v>
          </cell>
          <cell r="W3678">
            <v>45063</v>
          </cell>
          <cell r="Y3678">
            <v>44990</v>
          </cell>
          <cell r="AC3678">
            <v>45057</v>
          </cell>
        </row>
        <row r="3679">
          <cell r="I3679" t="str">
            <v>EDI</v>
          </cell>
          <cell r="L3679">
            <v>1987</v>
          </cell>
          <cell r="N3679" t="str">
            <v>Production</v>
          </cell>
          <cell r="O3679" t="str">
            <v>No</v>
          </cell>
          <cell r="Q3679" t="str">
            <v>Cancelled</v>
          </cell>
          <cell r="R3679">
            <v>44986.608263888891</v>
          </cell>
          <cell r="S3679" t="str">
            <v>Mina George</v>
          </cell>
          <cell r="T3679">
            <v>45005</v>
          </cell>
          <cell r="U3679" t="str">
            <v>Melonie Skeen</v>
          </cell>
          <cell r="V3679">
            <v>45015</v>
          </cell>
          <cell r="W3679">
            <v>45035</v>
          </cell>
          <cell r="Y3679">
            <v>45000</v>
          </cell>
          <cell r="AC3679">
            <v>45033</v>
          </cell>
        </row>
        <row r="3680">
          <cell r="I3680" t="str">
            <v>EDI</v>
          </cell>
          <cell r="L3680">
            <v>1977</v>
          </cell>
          <cell r="N3680" t="str">
            <v>Production</v>
          </cell>
          <cell r="O3680" t="str">
            <v>No</v>
          </cell>
          <cell r="Q3680" t="str">
            <v>Live</v>
          </cell>
          <cell r="R3680">
            <v>44985.769282407397</v>
          </cell>
          <cell r="S3680" t="str">
            <v>Fady Maged</v>
          </cell>
          <cell r="T3680">
            <v>44998</v>
          </cell>
          <cell r="U3680" t="str">
            <v>Miranda Naeem</v>
          </cell>
          <cell r="V3680">
            <v>45011</v>
          </cell>
          <cell r="W3680">
            <v>25569</v>
          </cell>
          <cell r="Y3680">
            <v>44997</v>
          </cell>
          <cell r="AC3680">
            <v>45077</v>
          </cell>
        </row>
        <row r="3681">
          <cell r="I3681" t="str">
            <v>EDI</v>
          </cell>
          <cell r="L3681">
            <v>1963</v>
          </cell>
          <cell r="N3681" t="str">
            <v>Production</v>
          </cell>
          <cell r="O3681" t="str">
            <v>No</v>
          </cell>
          <cell r="Q3681" t="str">
            <v>Cancelled</v>
          </cell>
          <cell r="R3681">
            <v>44985.760520833333</v>
          </cell>
          <cell r="S3681" t="str">
            <v>Alaa Yehia</v>
          </cell>
          <cell r="T3681">
            <v>44998</v>
          </cell>
          <cell r="U3681" t="str">
            <v>Miranda Naeem</v>
          </cell>
          <cell r="V3681">
            <v>45012</v>
          </cell>
          <cell r="W3681">
            <v>45020</v>
          </cell>
          <cell r="Y3681">
            <v>44992</v>
          </cell>
          <cell r="AC3681">
            <v>45015</v>
          </cell>
        </row>
        <row r="3682">
          <cell r="I3682" t="str">
            <v>EDI</v>
          </cell>
          <cell r="L3682">
            <v>1984</v>
          </cell>
          <cell r="N3682" t="str">
            <v>Production</v>
          </cell>
          <cell r="O3682" t="str">
            <v>No</v>
          </cell>
          <cell r="Q3682" t="str">
            <v>Live</v>
          </cell>
          <cell r="R3682">
            <v>44985.760520833333</v>
          </cell>
          <cell r="S3682" t="str">
            <v>Mahmoud Ahmed</v>
          </cell>
          <cell r="T3682">
            <v>45004</v>
          </cell>
          <cell r="U3682" t="str">
            <v>Miranda Naeem</v>
          </cell>
          <cell r="V3682">
            <v>25569</v>
          </cell>
          <cell r="W3682">
            <v>45195</v>
          </cell>
          <cell r="Y3682">
            <v>45000</v>
          </cell>
          <cell r="AC3682">
            <v>45194</v>
          </cell>
        </row>
        <row r="3683">
          <cell r="I3683" t="str">
            <v>EDI</v>
          </cell>
          <cell r="L3683">
            <v>1965</v>
          </cell>
          <cell r="N3683" t="str">
            <v>Dataset Validation</v>
          </cell>
          <cell r="O3683" t="str">
            <v>No</v>
          </cell>
          <cell r="Q3683" t="str">
            <v>Cancelled</v>
          </cell>
          <cell r="R3683">
            <v>44985.750150462962</v>
          </cell>
          <cell r="S3683" t="str">
            <v>Omar Elmahalwy</v>
          </cell>
          <cell r="T3683">
            <v>44999</v>
          </cell>
          <cell r="U3683" t="str">
            <v>Vicky Wright</v>
          </cell>
          <cell r="Y3683">
            <v>44986</v>
          </cell>
        </row>
        <row r="3684">
          <cell r="I3684" t="str">
            <v>EDI</v>
          </cell>
          <cell r="L3684">
            <v>1982</v>
          </cell>
          <cell r="N3684" t="str">
            <v>Dataset Validation</v>
          </cell>
          <cell r="O3684" t="str">
            <v>No</v>
          </cell>
          <cell r="Q3684" t="str">
            <v>Cancelled</v>
          </cell>
          <cell r="R3684">
            <v>44985.735243055547</v>
          </cell>
          <cell r="S3684" t="str">
            <v>Ahmed Sami</v>
          </cell>
          <cell r="T3684">
            <v>44997</v>
          </cell>
          <cell r="U3684" t="str">
            <v>Robbie Schappell</v>
          </cell>
          <cell r="Y3684">
            <v>44990</v>
          </cell>
        </row>
        <row r="3685">
          <cell r="I3685" t="str">
            <v>EDI</v>
          </cell>
          <cell r="N3685" t="str">
            <v>Requirements Gathering</v>
          </cell>
          <cell r="O3685" t="str">
            <v>No</v>
          </cell>
          <cell r="Q3685" t="str">
            <v>Cancelled</v>
          </cell>
          <cell r="R3685">
            <v>44985.653182870366</v>
          </cell>
          <cell r="S3685" t="str">
            <v>Lourina Edmon</v>
          </cell>
          <cell r="T3685">
            <v>44986</v>
          </cell>
          <cell r="U3685" t="str">
            <v>Melonie Skeen</v>
          </cell>
        </row>
        <row r="3686">
          <cell r="I3686" t="str">
            <v>EDI</v>
          </cell>
          <cell r="L3686">
            <v>1960</v>
          </cell>
          <cell r="N3686" t="str">
            <v>Production</v>
          </cell>
          <cell r="O3686" t="str">
            <v>No</v>
          </cell>
          <cell r="Q3686" t="str">
            <v>Live</v>
          </cell>
          <cell r="R3686">
            <v>44985.653171296297</v>
          </cell>
          <cell r="S3686" t="str">
            <v>Aya Fathy</v>
          </cell>
          <cell r="T3686">
            <v>44997</v>
          </cell>
          <cell r="U3686" t="str">
            <v>Melonie Skeen</v>
          </cell>
          <cell r="V3686">
            <v>45015</v>
          </cell>
          <cell r="W3686">
            <v>45167</v>
          </cell>
          <cell r="Y3686">
            <v>44990</v>
          </cell>
          <cell r="AC3686">
            <v>45151</v>
          </cell>
        </row>
        <row r="3687">
          <cell r="I3687" t="str">
            <v>EDI</v>
          </cell>
          <cell r="N3687" t="str">
            <v>Requirements Gathering</v>
          </cell>
          <cell r="O3687" t="str">
            <v>No</v>
          </cell>
          <cell r="Q3687" t="str">
            <v>Cancelled</v>
          </cell>
          <cell r="R3687">
            <v>44985.648518518523</v>
          </cell>
          <cell r="S3687" t="str">
            <v>Lourina Edmon</v>
          </cell>
          <cell r="T3687">
            <v>44986</v>
          </cell>
          <cell r="U3687" t="str">
            <v>Miranda Naeem</v>
          </cell>
        </row>
        <row r="3688">
          <cell r="I3688" t="str">
            <v>EDI</v>
          </cell>
          <cell r="L3688">
            <v>1968</v>
          </cell>
          <cell r="N3688" t="str">
            <v>Production</v>
          </cell>
          <cell r="O3688" t="str">
            <v>No</v>
          </cell>
          <cell r="Q3688" t="str">
            <v>Live</v>
          </cell>
          <cell r="R3688">
            <v>44984.901759259257</v>
          </cell>
          <cell r="S3688" t="str">
            <v>Mina George</v>
          </cell>
          <cell r="T3688">
            <v>44997</v>
          </cell>
          <cell r="U3688" t="str">
            <v>Vicky Wright</v>
          </cell>
          <cell r="V3688">
            <v>45015</v>
          </cell>
          <cell r="W3688">
            <v>45036</v>
          </cell>
          <cell r="Y3688">
            <v>44987</v>
          </cell>
          <cell r="AC3688">
            <v>45036</v>
          </cell>
        </row>
        <row r="3689">
          <cell r="I3689" t="str">
            <v>EDI</v>
          </cell>
          <cell r="L3689">
            <v>1985</v>
          </cell>
          <cell r="N3689" t="str">
            <v>Production</v>
          </cell>
          <cell r="O3689" t="str">
            <v>No</v>
          </cell>
          <cell r="Q3689" t="str">
            <v>Live</v>
          </cell>
          <cell r="R3689">
            <v>44984.901747685188</v>
          </cell>
          <cell r="S3689" t="str">
            <v>Hazem Rostom</v>
          </cell>
          <cell r="T3689">
            <v>44997</v>
          </cell>
          <cell r="U3689" t="str">
            <v>Hans De Grouw</v>
          </cell>
          <cell r="V3689">
            <v>45090</v>
          </cell>
          <cell r="W3689">
            <v>45112</v>
          </cell>
          <cell r="Y3689">
            <v>44994</v>
          </cell>
          <cell r="AC3689">
            <v>45112</v>
          </cell>
        </row>
        <row r="3690">
          <cell r="I3690" t="str">
            <v>EDI</v>
          </cell>
          <cell r="N3690" t="str">
            <v>Requirements Gathering</v>
          </cell>
          <cell r="O3690" t="str">
            <v>No</v>
          </cell>
          <cell r="Q3690" t="str">
            <v>Cancelled</v>
          </cell>
          <cell r="R3690">
            <v>44984.901747685188</v>
          </cell>
          <cell r="S3690" t="str">
            <v>Sandra Adel</v>
          </cell>
          <cell r="T3690">
            <v>44985</v>
          </cell>
          <cell r="U3690" t="str">
            <v>Hans De Grouw</v>
          </cell>
        </row>
        <row r="3691">
          <cell r="I3691" t="str">
            <v>EDI</v>
          </cell>
          <cell r="L3691">
            <v>1997</v>
          </cell>
          <cell r="N3691" t="str">
            <v>Production</v>
          </cell>
          <cell r="O3691" t="str">
            <v>No</v>
          </cell>
          <cell r="Q3691" t="str">
            <v>Cancelled</v>
          </cell>
          <cell r="R3691">
            <v>44984.806388888886</v>
          </cell>
          <cell r="S3691" t="str">
            <v>Mina Adel</v>
          </cell>
          <cell r="T3691">
            <v>45011</v>
          </cell>
          <cell r="U3691" t="str">
            <v>Miranda Naeem</v>
          </cell>
          <cell r="V3691">
            <v>45063</v>
          </cell>
          <cell r="W3691">
            <v>45104</v>
          </cell>
          <cell r="Y3691">
            <v>45008</v>
          </cell>
          <cell r="AC3691">
            <v>45102</v>
          </cell>
        </row>
        <row r="3692">
          <cell r="I3692" t="str">
            <v>EDI</v>
          </cell>
          <cell r="N3692" t="str">
            <v>Requirements Gathering</v>
          </cell>
          <cell r="O3692" t="str">
            <v>No</v>
          </cell>
          <cell r="Q3692" t="str">
            <v>Cancelled</v>
          </cell>
          <cell r="R3692">
            <v>44984.806388888886</v>
          </cell>
          <cell r="S3692" t="str">
            <v>Abdulrahman Tarek</v>
          </cell>
          <cell r="T3692">
            <v>44985</v>
          </cell>
          <cell r="U3692" t="str">
            <v>Miranda Naeem</v>
          </cell>
        </row>
        <row r="3693">
          <cell r="I3693" t="str">
            <v>EDI</v>
          </cell>
          <cell r="L3693">
            <v>1951</v>
          </cell>
          <cell r="N3693" t="str">
            <v>Mapping</v>
          </cell>
          <cell r="O3693" t="str">
            <v>No</v>
          </cell>
          <cell r="Q3693" t="str">
            <v>Cancelled</v>
          </cell>
          <cell r="R3693">
            <v>44984.67696759259</v>
          </cell>
          <cell r="S3693" t="str">
            <v>Hazem Rostom</v>
          </cell>
          <cell r="T3693">
            <v>44994</v>
          </cell>
          <cell r="U3693" t="str">
            <v>Miranda Naeem</v>
          </cell>
          <cell r="Y3693">
            <v>44985</v>
          </cell>
        </row>
        <row r="3694">
          <cell r="I3694" t="str">
            <v>EDI</v>
          </cell>
          <cell r="L3694">
            <v>1961</v>
          </cell>
          <cell r="N3694" t="str">
            <v>Production</v>
          </cell>
          <cell r="O3694" t="str">
            <v>No</v>
          </cell>
          <cell r="Q3694" t="str">
            <v>Live</v>
          </cell>
          <cell r="R3694">
            <v>44984.67696759259</v>
          </cell>
          <cell r="S3694" t="str">
            <v>Salma Yamani</v>
          </cell>
          <cell r="T3694">
            <v>44997</v>
          </cell>
          <cell r="U3694" t="str">
            <v>Miranda Naeem</v>
          </cell>
          <cell r="V3694">
            <v>45022</v>
          </cell>
          <cell r="W3694">
            <v>25569</v>
          </cell>
          <cell r="Y3694">
            <v>44993</v>
          </cell>
          <cell r="AC3694">
            <v>45097</v>
          </cell>
        </row>
        <row r="3695">
          <cell r="I3695" t="str">
            <v>EDI</v>
          </cell>
          <cell r="L3695">
            <v>1952</v>
          </cell>
          <cell r="N3695" t="str">
            <v>Production</v>
          </cell>
          <cell r="O3695" t="str">
            <v>No</v>
          </cell>
          <cell r="Q3695" t="str">
            <v>Live</v>
          </cell>
          <cell r="R3695">
            <v>44984.67696759259</v>
          </cell>
          <cell r="S3695" t="str">
            <v>Salma Yamani</v>
          </cell>
          <cell r="T3695">
            <v>45060</v>
          </cell>
          <cell r="U3695" t="str">
            <v>Miranda Naeem</v>
          </cell>
          <cell r="V3695">
            <v>45021</v>
          </cell>
          <cell r="W3695">
            <v>45132</v>
          </cell>
          <cell r="Y3695">
            <v>44990</v>
          </cell>
          <cell r="AC3695">
            <v>45131</v>
          </cell>
        </row>
        <row r="3696">
          <cell r="I3696" t="str">
            <v>EDI</v>
          </cell>
          <cell r="L3696">
            <v>1956</v>
          </cell>
          <cell r="N3696" t="str">
            <v>Production</v>
          </cell>
          <cell r="O3696" t="str">
            <v>No</v>
          </cell>
          <cell r="Q3696" t="str">
            <v>Live</v>
          </cell>
          <cell r="R3696">
            <v>44984.67695601852</v>
          </cell>
          <cell r="S3696" t="str">
            <v>Omnia Abdelaziz</v>
          </cell>
          <cell r="T3696">
            <v>44992</v>
          </cell>
          <cell r="U3696" t="str">
            <v>Miranda Naeem</v>
          </cell>
          <cell r="V3696">
            <v>45001</v>
          </cell>
          <cell r="W3696">
            <v>45104</v>
          </cell>
          <cell r="Y3696">
            <v>44985</v>
          </cell>
          <cell r="AC3696">
            <v>45104</v>
          </cell>
        </row>
        <row r="3697">
          <cell r="I3697" t="str">
            <v>EDI</v>
          </cell>
          <cell r="L3697">
            <v>1953</v>
          </cell>
          <cell r="N3697" t="str">
            <v>Production</v>
          </cell>
          <cell r="O3697" t="str">
            <v>No</v>
          </cell>
          <cell r="Q3697" t="str">
            <v>Live</v>
          </cell>
          <cell r="R3697">
            <v>44984.67695601852</v>
          </cell>
          <cell r="S3697" t="str">
            <v>Tarek Medhat</v>
          </cell>
          <cell r="T3697">
            <v>44994</v>
          </cell>
          <cell r="U3697" t="str">
            <v>Miranda Naeem</v>
          </cell>
          <cell r="V3697">
            <v>45007</v>
          </cell>
          <cell r="W3697">
            <v>45027</v>
          </cell>
          <cell r="Y3697">
            <v>44992</v>
          </cell>
          <cell r="AC3697">
            <v>45025</v>
          </cell>
        </row>
        <row r="3698">
          <cell r="I3698" t="str">
            <v>EDI</v>
          </cell>
          <cell r="L3698">
            <v>1947</v>
          </cell>
          <cell r="N3698" t="str">
            <v>Production</v>
          </cell>
          <cell r="O3698" t="str">
            <v>No</v>
          </cell>
          <cell r="Q3698" t="str">
            <v>Live</v>
          </cell>
          <cell r="R3698">
            <v>44980.754699074067</v>
          </cell>
          <cell r="S3698" t="str">
            <v>Mahmoud Ahmed</v>
          </cell>
          <cell r="T3698">
            <v>44992</v>
          </cell>
          <cell r="U3698" t="str">
            <v>Miranda Naeem</v>
          </cell>
          <cell r="V3698">
            <v>25569</v>
          </cell>
          <cell r="W3698">
            <v>25569</v>
          </cell>
          <cell r="Y3698">
            <v>44988</v>
          </cell>
          <cell r="AC3698">
            <v>45063</v>
          </cell>
        </row>
        <row r="3699">
          <cell r="I3699" t="str">
            <v>EDI</v>
          </cell>
          <cell r="L3699">
            <v>1990</v>
          </cell>
          <cell r="N3699" t="str">
            <v>Testing</v>
          </cell>
          <cell r="O3699" t="str">
            <v>No</v>
          </cell>
          <cell r="Q3699" t="str">
            <v>Cancelled</v>
          </cell>
          <cell r="R3699">
            <v>44980.613865740743</v>
          </cell>
          <cell r="S3699" t="str">
            <v>Fady Maged</v>
          </cell>
          <cell r="T3699">
            <v>45006</v>
          </cell>
          <cell r="U3699" t="str">
            <v>Miranda Naeem</v>
          </cell>
          <cell r="V3699">
            <v>45015</v>
          </cell>
          <cell r="Y3699">
            <v>45005</v>
          </cell>
        </row>
        <row r="3700">
          <cell r="I3700" t="str">
            <v>EDI</v>
          </cell>
          <cell r="L3700">
            <v>1978</v>
          </cell>
          <cell r="N3700" t="str">
            <v>Production</v>
          </cell>
          <cell r="O3700" t="str">
            <v>No</v>
          </cell>
          <cell r="Q3700" t="str">
            <v>Cancelled</v>
          </cell>
          <cell r="R3700">
            <v>44979.77925925926</v>
          </cell>
          <cell r="S3700" t="str">
            <v>Alaa Yehia</v>
          </cell>
          <cell r="T3700">
            <v>45004</v>
          </cell>
          <cell r="U3700" t="str">
            <v>Hans De Grouw</v>
          </cell>
          <cell r="V3700">
            <v>45091</v>
          </cell>
          <cell r="W3700">
            <v>45127</v>
          </cell>
          <cell r="Y3700">
            <v>45004</v>
          </cell>
          <cell r="AC3700">
            <v>45123</v>
          </cell>
        </row>
        <row r="3701">
          <cell r="I3701" t="str">
            <v>EDI</v>
          </cell>
          <cell r="L3701">
            <v>1950</v>
          </cell>
          <cell r="N3701" t="str">
            <v>Production</v>
          </cell>
          <cell r="O3701" t="str">
            <v>No</v>
          </cell>
          <cell r="Q3701" t="str">
            <v>Live</v>
          </cell>
          <cell r="R3701">
            <v>44979.752905092602</v>
          </cell>
          <cell r="S3701" t="str">
            <v>Alaa Yehia</v>
          </cell>
          <cell r="T3701">
            <v>44992</v>
          </cell>
          <cell r="U3701" t="str">
            <v>Miranda Naeem</v>
          </cell>
          <cell r="V3701">
            <v>44999</v>
          </cell>
          <cell r="W3701">
            <v>45013</v>
          </cell>
          <cell r="Y3701">
            <v>44981</v>
          </cell>
          <cell r="AC3701">
            <v>45011</v>
          </cell>
        </row>
        <row r="3702">
          <cell r="I3702" t="str">
            <v>EDI</v>
          </cell>
          <cell r="L3702">
            <v>1954</v>
          </cell>
          <cell r="N3702" t="str">
            <v>Production</v>
          </cell>
          <cell r="O3702" t="str">
            <v>No</v>
          </cell>
          <cell r="Q3702" t="str">
            <v>Cancelled</v>
          </cell>
          <cell r="R3702">
            <v>44979.619409722232</v>
          </cell>
          <cell r="S3702" t="str">
            <v>Mina George</v>
          </cell>
          <cell r="T3702">
            <v>44991</v>
          </cell>
          <cell r="U3702" t="str">
            <v>Miranda Naeem</v>
          </cell>
          <cell r="V3702">
            <v>45030</v>
          </cell>
          <cell r="W3702">
            <v>45090</v>
          </cell>
          <cell r="AC3702">
            <v>45070</v>
          </cell>
        </row>
        <row r="3703">
          <cell r="I3703" t="str">
            <v>EDI</v>
          </cell>
          <cell r="L3703">
            <v>1948</v>
          </cell>
          <cell r="N3703" t="str">
            <v>Production</v>
          </cell>
          <cell r="O3703" t="str">
            <v>No</v>
          </cell>
          <cell r="Q3703" t="str">
            <v>Live</v>
          </cell>
          <cell r="R3703">
            <v>44979.567881944437</v>
          </cell>
          <cell r="S3703" t="str">
            <v>Mina Adel</v>
          </cell>
          <cell r="T3703">
            <v>44987</v>
          </cell>
          <cell r="U3703" t="str">
            <v>Hans De Grouw</v>
          </cell>
          <cell r="V3703">
            <v>45012</v>
          </cell>
          <cell r="W3703">
            <v>45082</v>
          </cell>
          <cell r="Y3703">
            <v>44980</v>
          </cell>
          <cell r="AC3703">
            <v>45077</v>
          </cell>
        </row>
        <row r="3704">
          <cell r="I3704" t="str">
            <v>EDI</v>
          </cell>
          <cell r="L3704">
            <v>1945</v>
          </cell>
          <cell r="N3704" t="str">
            <v>Production</v>
          </cell>
          <cell r="O3704" t="str">
            <v>No</v>
          </cell>
          <cell r="Q3704" t="str">
            <v>Live</v>
          </cell>
          <cell r="R3704">
            <v>44978.678842592592</v>
          </cell>
          <cell r="S3704" t="str">
            <v>Omar Elmahalwy</v>
          </cell>
          <cell r="T3704">
            <v>44993</v>
          </cell>
          <cell r="U3704" t="str">
            <v>Vicky Wright</v>
          </cell>
          <cell r="V3704">
            <v>45022</v>
          </cell>
          <cell r="W3704">
            <v>45045</v>
          </cell>
          <cell r="Y3704">
            <v>44980</v>
          </cell>
          <cell r="AC3704">
            <v>45042</v>
          </cell>
        </row>
        <row r="3705">
          <cell r="I3705" t="str">
            <v>EDI</v>
          </cell>
          <cell r="L3705">
            <v>1962</v>
          </cell>
          <cell r="N3705" t="str">
            <v>Production</v>
          </cell>
          <cell r="O3705" t="str">
            <v>No</v>
          </cell>
          <cell r="Q3705" t="str">
            <v>Live</v>
          </cell>
          <cell r="R3705">
            <v>44978.678333333337</v>
          </cell>
          <cell r="S3705" t="str">
            <v>Andrew Ramy</v>
          </cell>
          <cell r="T3705">
            <v>44992</v>
          </cell>
          <cell r="U3705" t="str">
            <v>Vicky Wright</v>
          </cell>
          <cell r="V3705">
            <v>45026</v>
          </cell>
          <cell r="W3705">
            <v>45090</v>
          </cell>
          <cell r="Y3705">
            <v>44980</v>
          </cell>
          <cell r="AC3705">
            <v>45084</v>
          </cell>
        </row>
        <row r="3706">
          <cell r="I3706" t="str">
            <v>EDI</v>
          </cell>
          <cell r="L3706">
            <v>1957</v>
          </cell>
          <cell r="N3706" t="str">
            <v>Production</v>
          </cell>
          <cell r="O3706" t="str">
            <v>No</v>
          </cell>
          <cell r="Q3706" t="str">
            <v>Live</v>
          </cell>
          <cell r="R3706">
            <v>44977.913425925923</v>
          </cell>
          <cell r="S3706" t="str">
            <v>Aya Fathy</v>
          </cell>
          <cell r="T3706">
            <v>44993</v>
          </cell>
          <cell r="U3706" t="str">
            <v>Vicky Wright</v>
          </cell>
          <cell r="V3706">
            <v>44998</v>
          </cell>
          <cell r="W3706">
            <v>45036</v>
          </cell>
          <cell r="Y3706">
            <v>44978</v>
          </cell>
          <cell r="AC3706">
            <v>45035</v>
          </cell>
        </row>
        <row r="3707">
          <cell r="I3707" t="str">
            <v>EDI</v>
          </cell>
          <cell r="L3707">
            <v>2513</v>
          </cell>
          <cell r="N3707" t="str">
            <v>Ready for Production</v>
          </cell>
          <cell r="O3707" t="str">
            <v>No</v>
          </cell>
          <cell r="Q3707" t="str">
            <v>Cancelled</v>
          </cell>
          <cell r="R3707">
            <v>44977.909861111111</v>
          </cell>
          <cell r="S3707" t="str">
            <v>Mina Adel</v>
          </cell>
          <cell r="T3707">
            <v>45193</v>
          </cell>
          <cell r="U3707" t="str">
            <v>Hans De Grouw</v>
          </cell>
          <cell r="V3707">
            <v>45222</v>
          </cell>
          <cell r="Y3707">
            <v>45193</v>
          </cell>
        </row>
        <row r="3708">
          <cell r="I3708" t="str">
            <v>EDI</v>
          </cell>
          <cell r="L3708">
            <v>1949</v>
          </cell>
          <cell r="N3708" t="str">
            <v>Production</v>
          </cell>
          <cell r="O3708" t="str">
            <v>No</v>
          </cell>
          <cell r="Q3708" t="str">
            <v>Cancelled</v>
          </cell>
          <cell r="R3708">
            <v>44977.840520833342</v>
          </cell>
          <cell r="S3708" t="str">
            <v>Tarek Medhat</v>
          </cell>
          <cell r="T3708">
            <v>44991</v>
          </cell>
          <cell r="U3708" t="str">
            <v>Miranda Naeem</v>
          </cell>
          <cell r="V3708">
            <v>44998</v>
          </cell>
          <cell r="W3708">
            <v>45062</v>
          </cell>
          <cell r="Y3708">
            <v>44980</v>
          </cell>
          <cell r="AC3708">
            <v>45057</v>
          </cell>
        </row>
        <row r="3709">
          <cell r="I3709" t="str">
            <v>EDI</v>
          </cell>
          <cell r="N3709" t="str">
            <v>Requirements Gathering</v>
          </cell>
          <cell r="O3709" t="str">
            <v>No</v>
          </cell>
          <cell r="Q3709" t="str">
            <v>Cancelled</v>
          </cell>
          <cell r="R3709">
            <v>44977.775868055563</v>
          </cell>
          <cell r="S3709" t="str">
            <v>Abdulrahman Tarek</v>
          </cell>
          <cell r="T3709">
            <v>44978</v>
          </cell>
          <cell r="U3709" t="str">
            <v>Vicky Wright</v>
          </cell>
        </row>
        <row r="3710">
          <cell r="I3710" t="str">
            <v>EDI</v>
          </cell>
          <cell r="L3710">
            <v>1943</v>
          </cell>
          <cell r="N3710" t="str">
            <v>Production</v>
          </cell>
          <cell r="O3710" t="str">
            <v>No</v>
          </cell>
          <cell r="Q3710" t="str">
            <v>Cancelled</v>
          </cell>
          <cell r="R3710">
            <v>44977.744502314818</v>
          </cell>
          <cell r="S3710" t="str">
            <v>Mahmoud Ahmed</v>
          </cell>
          <cell r="T3710">
            <v>44991</v>
          </cell>
          <cell r="U3710" t="str">
            <v>Miranda Naeem</v>
          </cell>
          <cell r="V3710">
            <v>45056</v>
          </cell>
          <cell r="W3710">
            <v>45073</v>
          </cell>
          <cell r="Y3710">
            <v>44985</v>
          </cell>
          <cell r="AC3710">
            <v>45070</v>
          </cell>
        </row>
        <row r="3711">
          <cell r="I3711" t="str">
            <v>EDI</v>
          </cell>
          <cell r="L3711">
            <v>1946</v>
          </cell>
          <cell r="N3711" t="str">
            <v>Production</v>
          </cell>
          <cell r="O3711" t="str">
            <v>No</v>
          </cell>
          <cell r="Q3711" t="str">
            <v>Live</v>
          </cell>
          <cell r="R3711">
            <v>44977.712534722217</v>
          </cell>
          <cell r="S3711" t="str">
            <v>Hazem Rostom</v>
          </cell>
          <cell r="T3711">
            <v>44991</v>
          </cell>
          <cell r="U3711" t="str">
            <v>Miranda Naeem</v>
          </cell>
          <cell r="V3711">
            <v>45083</v>
          </cell>
          <cell r="W3711">
            <v>25569</v>
          </cell>
          <cell r="Y3711">
            <v>44980</v>
          </cell>
          <cell r="AC3711">
            <v>45090</v>
          </cell>
        </row>
        <row r="3712">
          <cell r="I3712" t="str">
            <v>EDI</v>
          </cell>
          <cell r="L3712">
            <v>1976</v>
          </cell>
          <cell r="N3712" t="str">
            <v>Production</v>
          </cell>
          <cell r="O3712" t="str">
            <v>No</v>
          </cell>
          <cell r="Q3712" t="str">
            <v>Live</v>
          </cell>
          <cell r="R3712">
            <v>44977.712534722217</v>
          </cell>
          <cell r="S3712" t="str">
            <v>Tarek Medhat</v>
          </cell>
          <cell r="T3712">
            <v>44997</v>
          </cell>
          <cell r="U3712" t="str">
            <v>Miranda Naeem</v>
          </cell>
          <cell r="V3712">
            <v>45018</v>
          </cell>
          <cell r="W3712">
            <v>45062</v>
          </cell>
          <cell r="Y3712">
            <v>44995</v>
          </cell>
          <cell r="AC3712">
            <v>45060</v>
          </cell>
        </row>
        <row r="3713">
          <cell r="I3713" t="str">
            <v>EDI</v>
          </cell>
          <cell r="L3713">
            <v>1918</v>
          </cell>
          <cell r="N3713" t="str">
            <v>Testing</v>
          </cell>
          <cell r="O3713" t="str">
            <v>No</v>
          </cell>
          <cell r="Q3713" t="str">
            <v>Cancelled</v>
          </cell>
          <cell r="R3713">
            <v>44977.681250000001</v>
          </cell>
          <cell r="S3713" t="str">
            <v>Mina Adel</v>
          </cell>
          <cell r="T3713">
            <v>44983</v>
          </cell>
          <cell r="U3713" t="str">
            <v>Hans De Grouw</v>
          </cell>
          <cell r="V3713">
            <v>45013</v>
          </cell>
          <cell r="Y3713">
            <v>44981</v>
          </cell>
        </row>
        <row r="3714">
          <cell r="I3714" t="str">
            <v>EDI</v>
          </cell>
          <cell r="L3714">
            <v>1939</v>
          </cell>
          <cell r="N3714" t="str">
            <v>Production</v>
          </cell>
          <cell r="O3714" t="str">
            <v>No</v>
          </cell>
          <cell r="Q3714" t="str">
            <v>Live</v>
          </cell>
          <cell r="R3714">
            <v>44977.657152777778</v>
          </cell>
          <cell r="S3714" t="str">
            <v>Salma Yamani</v>
          </cell>
          <cell r="T3714">
            <v>44991</v>
          </cell>
          <cell r="U3714" t="str">
            <v>Melonie Skeen</v>
          </cell>
          <cell r="W3714">
            <v>45155</v>
          </cell>
          <cell r="Y3714">
            <v>44980</v>
          </cell>
          <cell r="AC3714">
            <v>45151</v>
          </cell>
        </row>
        <row r="3715">
          <cell r="I3715" t="str">
            <v>EDI</v>
          </cell>
          <cell r="L3715">
            <v>1934</v>
          </cell>
          <cell r="N3715" t="str">
            <v>Production</v>
          </cell>
          <cell r="O3715" t="str">
            <v>No</v>
          </cell>
          <cell r="Q3715" t="str">
            <v>Cancelled</v>
          </cell>
          <cell r="R3715">
            <v>44977.62462962963</v>
          </cell>
          <cell r="S3715" t="str">
            <v>Mina George</v>
          </cell>
          <cell r="T3715">
            <v>44990</v>
          </cell>
          <cell r="U3715" t="str">
            <v>Miranda Naeem</v>
          </cell>
          <cell r="V3715">
            <v>44998</v>
          </cell>
          <cell r="W3715">
            <v>45013</v>
          </cell>
          <cell r="Y3715">
            <v>44978</v>
          </cell>
          <cell r="AC3715">
            <v>45007</v>
          </cell>
        </row>
        <row r="3716">
          <cell r="I3716" t="str">
            <v>EDI</v>
          </cell>
          <cell r="L3716">
            <v>1935</v>
          </cell>
          <cell r="N3716" t="str">
            <v>Production</v>
          </cell>
          <cell r="O3716" t="str">
            <v>No</v>
          </cell>
          <cell r="Q3716" t="str">
            <v>Live</v>
          </cell>
          <cell r="R3716">
            <v>44977.609791666669</v>
          </cell>
          <cell r="S3716" t="str">
            <v>Hazem Rostom</v>
          </cell>
          <cell r="T3716">
            <v>44990</v>
          </cell>
          <cell r="U3716" t="str">
            <v>Jenna  Whaley</v>
          </cell>
          <cell r="V3716">
            <v>45036</v>
          </cell>
          <cell r="W3716">
            <v>45090</v>
          </cell>
          <cell r="Y3716">
            <v>44978</v>
          </cell>
          <cell r="AC3716">
            <v>45083</v>
          </cell>
        </row>
        <row r="3717">
          <cell r="I3717" t="str">
            <v>EDI</v>
          </cell>
          <cell r="L3717">
            <v>1973</v>
          </cell>
          <cell r="N3717" t="str">
            <v>Production</v>
          </cell>
          <cell r="O3717" t="str">
            <v>No</v>
          </cell>
          <cell r="Q3717" t="str">
            <v>Live</v>
          </cell>
          <cell r="R3717">
            <v>44977.609780092593</v>
          </cell>
          <cell r="S3717" t="str">
            <v>Andrew Ramy</v>
          </cell>
          <cell r="T3717">
            <v>45001</v>
          </cell>
          <cell r="U3717" t="str">
            <v>Jenna  Whaley</v>
          </cell>
          <cell r="V3717">
            <v>45007</v>
          </cell>
          <cell r="W3717">
            <v>45055</v>
          </cell>
          <cell r="Y3717">
            <v>45000</v>
          </cell>
          <cell r="AC3717">
            <v>45050</v>
          </cell>
        </row>
        <row r="3718">
          <cell r="I3718" t="str">
            <v>EDI</v>
          </cell>
          <cell r="L3718">
            <v>1971</v>
          </cell>
          <cell r="N3718" t="str">
            <v>Production</v>
          </cell>
          <cell r="O3718" t="str">
            <v>No</v>
          </cell>
          <cell r="Q3718" t="str">
            <v>Cancelled</v>
          </cell>
          <cell r="R3718">
            <v>44977.598356481481</v>
          </cell>
          <cell r="S3718" t="str">
            <v>Mahmoud Ahmed</v>
          </cell>
          <cell r="T3718">
            <v>44994</v>
          </cell>
          <cell r="U3718" t="str">
            <v>Robbie Schappell</v>
          </cell>
          <cell r="V3718">
            <v>45042</v>
          </cell>
          <cell r="W3718">
            <v>45134</v>
          </cell>
          <cell r="Y3718">
            <v>44993</v>
          </cell>
          <cell r="AC3718">
            <v>45132</v>
          </cell>
        </row>
        <row r="3719">
          <cell r="I3719" t="str">
            <v>EDI</v>
          </cell>
          <cell r="L3719">
            <v>1975</v>
          </cell>
          <cell r="N3719" t="str">
            <v>Production</v>
          </cell>
          <cell r="O3719" t="str">
            <v>No</v>
          </cell>
          <cell r="Q3719" t="str">
            <v>Live</v>
          </cell>
          <cell r="R3719">
            <v>44977.598356481481</v>
          </cell>
          <cell r="S3719" t="str">
            <v>Mina Adel</v>
          </cell>
          <cell r="T3719">
            <v>45004</v>
          </cell>
          <cell r="U3719" t="str">
            <v>Robbie Schappell</v>
          </cell>
          <cell r="V3719">
            <v>45042</v>
          </cell>
          <cell r="W3719">
            <v>45057</v>
          </cell>
          <cell r="Y3719">
            <v>45004</v>
          </cell>
          <cell r="AC3719">
            <v>45057</v>
          </cell>
        </row>
        <row r="3720">
          <cell r="I3720" t="str">
            <v>EDI</v>
          </cell>
          <cell r="L3720">
            <v>1895</v>
          </cell>
          <cell r="N3720" t="str">
            <v>Production</v>
          </cell>
          <cell r="O3720" t="str">
            <v>No</v>
          </cell>
          <cell r="Q3720" t="str">
            <v>Live</v>
          </cell>
          <cell r="R3720">
            <v>44977.562037037038</v>
          </cell>
          <cell r="S3720" t="str">
            <v>Karim Tarek</v>
          </cell>
          <cell r="T3720">
            <v>44977</v>
          </cell>
          <cell r="U3720" t="str">
            <v>Miranda Naeem</v>
          </cell>
          <cell r="V3720">
            <v>44985</v>
          </cell>
          <cell r="W3720">
            <v>44992</v>
          </cell>
          <cell r="AC3720">
            <v>44990</v>
          </cell>
        </row>
        <row r="3721">
          <cell r="I3721" t="str">
            <v>EDI</v>
          </cell>
          <cell r="N3721" t="str">
            <v>Mapping</v>
          </cell>
          <cell r="O3721" t="str">
            <v>No</v>
          </cell>
          <cell r="Q3721" t="str">
            <v>Cancelled</v>
          </cell>
          <cell r="R3721">
            <v>44973.880324074067</v>
          </cell>
          <cell r="S3721" t="str">
            <v>Omar Elmahalwy</v>
          </cell>
          <cell r="T3721">
            <v>45013</v>
          </cell>
          <cell r="U3721" t="str">
            <v>Melonie Skeen</v>
          </cell>
          <cell r="Y3721">
            <v>44980</v>
          </cell>
        </row>
        <row r="3722">
          <cell r="I3722" t="str">
            <v>EDI</v>
          </cell>
          <cell r="N3722" t="str">
            <v>Mapping</v>
          </cell>
          <cell r="O3722" t="str">
            <v>No</v>
          </cell>
          <cell r="Q3722" t="str">
            <v>Cancelled</v>
          </cell>
          <cell r="R3722">
            <v>44973.708622685182</v>
          </cell>
          <cell r="S3722" t="str">
            <v>Mina George</v>
          </cell>
          <cell r="T3722">
            <v>45013</v>
          </cell>
          <cell r="U3722" t="str">
            <v>Melonie Skeen</v>
          </cell>
          <cell r="Y3722">
            <v>44980</v>
          </cell>
        </row>
        <row r="3723">
          <cell r="I3723" t="str">
            <v>EDI</v>
          </cell>
          <cell r="N3723" t="str">
            <v>Dataset Validation</v>
          </cell>
          <cell r="O3723" t="str">
            <v>No</v>
          </cell>
          <cell r="Q3723" t="str">
            <v>Cancelled</v>
          </cell>
          <cell r="R3723">
            <v>44973.708611111113</v>
          </cell>
          <cell r="S3723" t="str">
            <v>Mina Adel</v>
          </cell>
          <cell r="T3723">
            <v>45013</v>
          </cell>
          <cell r="U3723" t="str">
            <v>Melonie Skeen</v>
          </cell>
          <cell r="Y3723">
            <v>44987</v>
          </cell>
        </row>
        <row r="3724">
          <cell r="I3724" t="str">
            <v>EDI</v>
          </cell>
          <cell r="L3724">
            <v>1942</v>
          </cell>
          <cell r="N3724" t="str">
            <v>Production</v>
          </cell>
          <cell r="O3724" t="str">
            <v>No</v>
          </cell>
          <cell r="Q3724" t="str">
            <v>Cancelled</v>
          </cell>
          <cell r="R3724">
            <v>44973.610266203701</v>
          </cell>
          <cell r="S3724" t="str">
            <v>Tarek Medhat</v>
          </cell>
          <cell r="T3724">
            <v>44990</v>
          </cell>
          <cell r="U3724" t="str">
            <v>Robbie Schappell</v>
          </cell>
          <cell r="V3724">
            <v>45015</v>
          </cell>
          <cell r="W3724">
            <v>45120</v>
          </cell>
          <cell r="Y3724">
            <v>44982</v>
          </cell>
          <cell r="AC3724">
            <v>45119</v>
          </cell>
        </row>
        <row r="3725">
          <cell r="I3725" t="str">
            <v>EDI</v>
          </cell>
          <cell r="L3725">
            <v>2001</v>
          </cell>
          <cell r="N3725" t="str">
            <v>Production</v>
          </cell>
          <cell r="O3725" t="str">
            <v>No</v>
          </cell>
          <cell r="Q3725" t="str">
            <v>Live</v>
          </cell>
          <cell r="R3725">
            <v>44973.610266203701</v>
          </cell>
          <cell r="S3725" t="str">
            <v>Mina George</v>
          </cell>
          <cell r="T3725">
            <v>45011</v>
          </cell>
          <cell r="U3725" t="str">
            <v>Robbie Schappell</v>
          </cell>
          <cell r="V3725">
            <v>45027</v>
          </cell>
          <cell r="W3725">
            <v>45358</v>
          </cell>
          <cell r="Y3725">
            <v>45011</v>
          </cell>
          <cell r="AC3725">
            <v>45358</v>
          </cell>
        </row>
        <row r="3726">
          <cell r="I3726" t="str">
            <v>EDI</v>
          </cell>
          <cell r="L3726">
            <v>1958</v>
          </cell>
          <cell r="N3726" t="str">
            <v>Production</v>
          </cell>
          <cell r="O3726" t="str">
            <v>No</v>
          </cell>
          <cell r="Q3726" t="str">
            <v>Live</v>
          </cell>
          <cell r="R3726">
            <v>44973.610266203701</v>
          </cell>
          <cell r="S3726" t="str">
            <v>Fady Maged</v>
          </cell>
          <cell r="T3726">
            <v>44990</v>
          </cell>
          <cell r="U3726" t="str">
            <v>Robbie Schappell</v>
          </cell>
          <cell r="V3726">
            <v>45005</v>
          </cell>
          <cell r="W3726">
            <v>45071</v>
          </cell>
          <cell r="Y3726">
            <v>44981</v>
          </cell>
          <cell r="AC3726">
            <v>45070</v>
          </cell>
        </row>
        <row r="3727">
          <cell r="I3727" t="str">
            <v>EDI</v>
          </cell>
          <cell r="L3727">
            <v>1937</v>
          </cell>
          <cell r="N3727" t="str">
            <v>Mapping</v>
          </cell>
          <cell r="O3727" t="str">
            <v>No</v>
          </cell>
          <cell r="Q3727" t="str">
            <v>Cancelled</v>
          </cell>
          <cell r="R3727">
            <v>44972.89912037037</v>
          </cell>
          <cell r="S3727" t="str">
            <v>Tarek Medhat</v>
          </cell>
          <cell r="T3727">
            <v>44987</v>
          </cell>
          <cell r="U3727" t="str">
            <v>Melonie Skeen</v>
          </cell>
          <cell r="Y3727">
            <v>44978</v>
          </cell>
        </row>
        <row r="3728">
          <cell r="I3728" t="str">
            <v>EDI</v>
          </cell>
          <cell r="N3728" t="str">
            <v>Requirements Gathering</v>
          </cell>
          <cell r="O3728" t="str">
            <v>No</v>
          </cell>
          <cell r="Q3728" t="str">
            <v>Cancelled</v>
          </cell>
          <cell r="R3728">
            <v>44972.89912037037</v>
          </cell>
          <cell r="S3728" t="str">
            <v>Abdulrahman Tarek</v>
          </cell>
          <cell r="T3728">
            <v>44973</v>
          </cell>
        </row>
        <row r="3729">
          <cell r="I3729" t="str">
            <v>EDI</v>
          </cell>
          <cell r="L3729">
            <v>1925</v>
          </cell>
          <cell r="N3729" t="str">
            <v>Production</v>
          </cell>
          <cell r="O3729" t="str">
            <v>No</v>
          </cell>
          <cell r="Q3729" t="str">
            <v>Cancelled</v>
          </cell>
          <cell r="R3729">
            <v>44972.883553240739</v>
          </cell>
          <cell r="S3729" t="str">
            <v>Omar Elmahalwy</v>
          </cell>
          <cell r="T3729">
            <v>44986</v>
          </cell>
          <cell r="U3729" t="str">
            <v>Kristin Zambrano</v>
          </cell>
          <cell r="V3729">
            <v>45047</v>
          </cell>
          <cell r="W3729">
            <v>45187</v>
          </cell>
          <cell r="Y3729">
            <v>44978</v>
          </cell>
          <cell r="AC3729">
            <v>45183</v>
          </cell>
        </row>
        <row r="3730">
          <cell r="I3730" t="str">
            <v>EDI</v>
          </cell>
          <cell r="L3730">
            <v>2014</v>
          </cell>
          <cell r="N3730" t="str">
            <v>Production</v>
          </cell>
          <cell r="O3730" t="str">
            <v>No</v>
          </cell>
          <cell r="Q3730" t="str">
            <v>Cancelled</v>
          </cell>
          <cell r="R3730">
            <v>44971.622256944444</v>
          </cell>
          <cell r="S3730" t="str">
            <v>Omnia Abdelaziz</v>
          </cell>
          <cell r="T3730">
            <v>45231</v>
          </cell>
          <cell r="U3730" t="str">
            <v>Miranda Naeem</v>
          </cell>
          <cell r="V3730">
            <v>45069</v>
          </cell>
          <cell r="W3730">
            <v>45279</v>
          </cell>
          <cell r="Y3730">
            <v>45009</v>
          </cell>
          <cell r="AC3730">
            <v>45278</v>
          </cell>
        </row>
        <row r="3731">
          <cell r="I3731" t="str">
            <v>EDI</v>
          </cell>
          <cell r="L3731">
            <v>1930</v>
          </cell>
          <cell r="N3731" t="str">
            <v>Production</v>
          </cell>
          <cell r="O3731" t="str">
            <v>No</v>
          </cell>
          <cell r="Q3731" t="str">
            <v>Live</v>
          </cell>
          <cell r="R3731">
            <v>44971.622256944444</v>
          </cell>
          <cell r="S3731" t="str">
            <v>Hazem Rostom</v>
          </cell>
          <cell r="T3731">
            <v>44987</v>
          </cell>
          <cell r="U3731" t="str">
            <v>Miranda Naeem</v>
          </cell>
          <cell r="V3731">
            <v>45141</v>
          </cell>
          <cell r="W3731">
            <v>45155</v>
          </cell>
          <cell r="Y3731">
            <v>44976</v>
          </cell>
          <cell r="AC3731">
            <v>45153</v>
          </cell>
        </row>
        <row r="3732">
          <cell r="I3732" t="str">
            <v>EDI</v>
          </cell>
          <cell r="L3732">
            <v>1924</v>
          </cell>
          <cell r="N3732" t="str">
            <v>Production</v>
          </cell>
          <cell r="O3732" t="str">
            <v>No</v>
          </cell>
          <cell r="Q3732" t="str">
            <v>Live</v>
          </cell>
          <cell r="R3732">
            <v>44971.622245370367</v>
          </cell>
          <cell r="S3732" t="str">
            <v>Aya Fathy</v>
          </cell>
          <cell r="T3732">
            <v>44986</v>
          </cell>
          <cell r="U3732" t="str">
            <v>Miranda Naeem</v>
          </cell>
          <cell r="V3732">
            <v>44998</v>
          </cell>
          <cell r="W3732">
            <v>45316</v>
          </cell>
          <cell r="Y3732">
            <v>44984</v>
          </cell>
          <cell r="AC3732">
            <v>45315</v>
          </cell>
        </row>
        <row r="3733">
          <cell r="I3733" t="str">
            <v>EDI</v>
          </cell>
          <cell r="L3733">
            <v>1923</v>
          </cell>
          <cell r="N3733" t="str">
            <v>Mapping</v>
          </cell>
          <cell r="O3733" t="str">
            <v>No</v>
          </cell>
          <cell r="Q3733" t="str">
            <v>Cancelled</v>
          </cell>
          <cell r="R3733">
            <v>44970.788252314807</v>
          </cell>
          <cell r="S3733" t="str">
            <v>Mina Adel</v>
          </cell>
          <cell r="T3733">
            <v>44985</v>
          </cell>
          <cell r="U3733" t="str">
            <v>Melonie Skeen</v>
          </cell>
          <cell r="Y3733">
            <v>44973</v>
          </cell>
        </row>
        <row r="3734">
          <cell r="I3734" t="str">
            <v>EDI</v>
          </cell>
          <cell r="L3734">
            <v>1931</v>
          </cell>
          <cell r="N3734" t="str">
            <v>Production</v>
          </cell>
          <cell r="O3734" t="str">
            <v>No</v>
          </cell>
          <cell r="Q3734" t="str">
            <v>Cancelled</v>
          </cell>
          <cell r="R3734">
            <v>44970.788240740738</v>
          </cell>
          <cell r="S3734" t="str">
            <v>Mahmoud Ahmed</v>
          </cell>
          <cell r="T3734">
            <v>44985</v>
          </cell>
          <cell r="U3734" t="str">
            <v>Robbie Schappell</v>
          </cell>
          <cell r="V3734">
            <v>45012</v>
          </cell>
          <cell r="W3734">
            <v>45021</v>
          </cell>
          <cell r="Y3734">
            <v>44979</v>
          </cell>
          <cell r="AC3734">
            <v>45020</v>
          </cell>
        </row>
        <row r="3735">
          <cell r="I3735" t="str">
            <v>EDI</v>
          </cell>
          <cell r="L3735">
            <v>1929</v>
          </cell>
          <cell r="N3735" t="str">
            <v>Production</v>
          </cell>
          <cell r="O3735" t="str">
            <v>No</v>
          </cell>
          <cell r="Q3735" t="str">
            <v>Cancelled</v>
          </cell>
          <cell r="R3735">
            <v>44970.788240740738</v>
          </cell>
          <cell r="S3735" t="str">
            <v>Tarek Medhat</v>
          </cell>
          <cell r="T3735">
            <v>44985</v>
          </cell>
          <cell r="U3735" t="str">
            <v>Robbie Schappell</v>
          </cell>
          <cell r="V3735">
            <v>44993</v>
          </cell>
          <cell r="W3735">
            <v>45119</v>
          </cell>
          <cell r="Y3735">
            <v>44971</v>
          </cell>
          <cell r="AC3735">
            <v>45111</v>
          </cell>
        </row>
        <row r="3736">
          <cell r="I3736" t="str">
            <v>EDI</v>
          </cell>
          <cell r="L3736">
            <v>2016</v>
          </cell>
          <cell r="N3736" t="str">
            <v>Production</v>
          </cell>
          <cell r="O3736" t="str">
            <v>No</v>
          </cell>
          <cell r="Q3736" t="str">
            <v>Live</v>
          </cell>
          <cell r="R3736">
            <v>44970.777766203697</v>
          </cell>
          <cell r="S3736" t="str">
            <v>Joseph Atef</v>
          </cell>
          <cell r="T3736">
            <v>45013</v>
          </cell>
          <cell r="U3736" t="str">
            <v>Hans De Grouw</v>
          </cell>
          <cell r="V3736">
            <v>45077</v>
          </cell>
          <cell r="W3736">
            <v>45176</v>
          </cell>
          <cell r="Y3736">
            <v>45013</v>
          </cell>
          <cell r="AC3736">
            <v>45176</v>
          </cell>
        </row>
        <row r="3737">
          <cell r="I3737" t="str">
            <v>EDI</v>
          </cell>
          <cell r="L3737">
            <v>1927</v>
          </cell>
          <cell r="N3737" t="str">
            <v>Production</v>
          </cell>
          <cell r="O3737" t="str">
            <v>No</v>
          </cell>
          <cell r="Q3737" t="str">
            <v>Live</v>
          </cell>
          <cell r="R3737">
            <v>44970.777754629627</v>
          </cell>
          <cell r="S3737" t="str">
            <v>Salma Yamani</v>
          </cell>
          <cell r="T3737">
            <v>44985</v>
          </cell>
          <cell r="U3737" t="str">
            <v>Hans De Grouw</v>
          </cell>
          <cell r="V3737">
            <v>45084</v>
          </cell>
          <cell r="W3737">
            <v>45210</v>
          </cell>
          <cell r="Y3737">
            <v>44984</v>
          </cell>
          <cell r="AC3737">
            <v>45208</v>
          </cell>
        </row>
        <row r="3738">
          <cell r="I3738" t="str">
            <v>EDI</v>
          </cell>
          <cell r="L3738">
            <v>1944</v>
          </cell>
          <cell r="N3738" t="str">
            <v>Production</v>
          </cell>
          <cell r="O3738" t="str">
            <v>No</v>
          </cell>
          <cell r="Q3738" t="str">
            <v>Live</v>
          </cell>
          <cell r="R3738">
            <v>44970.777754629627</v>
          </cell>
          <cell r="S3738" t="str">
            <v>Joseph Atef</v>
          </cell>
          <cell r="T3738">
            <v>44984</v>
          </cell>
          <cell r="U3738" t="str">
            <v>Vicky Wright</v>
          </cell>
          <cell r="V3738">
            <v>44998</v>
          </cell>
          <cell r="W3738">
            <v>45042</v>
          </cell>
          <cell r="Y3738">
            <v>44978</v>
          </cell>
          <cell r="AC3738">
            <v>45040</v>
          </cell>
        </row>
        <row r="3739">
          <cell r="I3739" t="str">
            <v>EDI</v>
          </cell>
          <cell r="L3739">
            <v>1955</v>
          </cell>
          <cell r="N3739" t="str">
            <v>Production</v>
          </cell>
          <cell r="O3739" t="str">
            <v>No</v>
          </cell>
          <cell r="Q3739" t="str">
            <v>Cancelled</v>
          </cell>
          <cell r="R3739">
            <v>44970.598217592589</v>
          </cell>
          <cell r="S3739" t="str">
            <v>Salma Yamani</v>
          </cell>
          <cell r="T3739">
            <v>44994</v>
          </cell>
          <cell r="U3739" t="str">
            <v>Robbie Schappell</v>
          </cell>
          <cell r="V3739">
            <v>45035</v>
          </cell>
          <cell r="W3739">
            <v>45146</v>
          </cell>
          <cell r="Y3739">
            <v>44993</v>
          </cell>
          <cell r="AC3739">
            <v>45144</v>
          </cell>
        </row>
        <row r="3740">
          <cell r="I3740" t="str">
            <v>EDI</v>
          </cell>
          <cell r="N3740" t="str">
            <v>Requirements Gathering</v>
          </cell>
          <cell r="O3740" t="str">
            <v>No</v>
          </cell>
          <cell r="Q3740" t="str">
            <v>Cancelled</v>
          </cell>
          <cell r="R3740">
            <v>44970.598217592589</v>
          </cell>
          <cell r="S3740" t="str">
            <v>Abdulrahman Tarek</v>
          </cell>
          <cell r="T3740">
            <v>44971</v>
          </cell>
        </row>
        <row r="3741">
          <cell r="I3741" t="str">
            <v>EDI</v>
          </cell>
          <cell r="L3741">
            <v>1959</v>
          </cell>
          <cell r="N3741" t="str">
            <v>Production</v>
          </cell>
          <cell r="O3741" t="str">
            <v>No</v>
          </cell>
          <cell r="Q3741" t="str">
            <v>Live</v>
          </cell>
          <cell r="R3741">
            <v>44965.817187499997</v>
          </cell>
          <cell r="S3741" t="str">
            <v>Alaa Yehia</v>
          </cell>
          <cell r="T3741">
            <v>44994</v>
          </cell>
          <cell r="U3741" t="str">
            <v>Hans De Grouw</v>
          </cell>
          <cell r="V3741">
            <v>44999</v>
          </cell>
          <cell r="W3741">
            <v>45274</v>
          </cell>
          <cell r="Y3741">
            <v>44993</v>
          </cell>
          <cell r="AC3741">
            <v>45267</v>
          </cell>
        </row>
        <row r="3742">
          <cell r="I3742" t="str">
            <v>EDI</v>
          </cell>
          <cell r="L3742">
            <v>1912</v>
          </cell>
          <cell r="N3742" t="str">
            <v>Production</v>
          </cell>
          <cell r="O3742" t="str">
            <v>No</v>
          </cell>
          <cell r="Q3742" t="str">
            <v>Live</v>
          </cell>
          <cell r="R3742">
            <v>44965.817175925928</v>
          </cell>
          <cell r="S3742" t="str">
            <v>Tarek Medhat</v>
          </cell>
          <cell r="T3742">
            <v>44980</v>
          </cell>
          <cell r="U3742" t="str">
            <v>Vicky Wright</v>
          </cell>
          <cell r="V3742">
            <v>44993</v>
          </cell>
          <cell r="W3742">
            <v>45127</v>
          </cell>
          <cell r="Y3742">
            <v>44969</v>
          </cell>
          <cell r="AC3742">
            <v>45123</v>
          </cell>
        </row>
        <row r="3743">
          <cell r="I3743" t="str">
            <v>EDI</v>
          </cell>
          <cell r="L3743">
            <v>1915</v>
          </cell>
          <cell r="N3743" t="str">
            <v>Production</v>
          </cell>
          <cell r="O3743" t="str">
            <v>No</v>
          </cell>
          <cell r="Q3743" t="str">
            <v>Cancelled</v>
          </cell>
          <cell r="R3743">
            <v>44965.797731481478</v>
          </cell>
          <cell r="S3743" t="str">
            <v>Mahmoud Ahmed</v>
          </cell>
          <cell r="T3743">
            <v>44980</v>
          </cell>
          <cell r="U3743" t="str">
            <v>Vicky Wright</v>
          </cell>
          <cell r="V3743">
            <v>44992</v>
          </cell>
          <cell r="W3743">
            <v>45197</v>
          </cell>
          <cell r="Y3743">
            <v>44969</v>
          </cell>
          <cell r="AC3743">
            <v>45194</v>
          </cell>
        </row>
        <row r="3744">
          <cell r="I3744" t="str">
            <v>EDI</v>
          </cell>
          <cell r="L3744">
            <v>1914</v>
          </cell>
          <cell r="N3744" t="str">
            <v>Production</v>
          </cell>
          <cell r="O3744" t="str">
            <v>No</v>
          </cell>
          <cell r="Q3744" t="str">
            <v>Live</v>
          </cell>
          <cell r="R3744">
            <v>44965.797719907408</v>
          </cell>
          <cell r="S3744" t="str">
            <v>Omnia Abdelaziz</v>
          </cell>
          <cell r="T3744">
            <v>44980</v>
          </cell>
          <cell r="U3744" t="str">
            <v>Vicky Wright</v>
          </cell>
          <cell r="V3744">
            <v>45183</v>
          </cell>
          <cell r="W3744">
            <v>25569</v>
          </cell>
          <cell r="Y3744">
            <v>44972</v>
          </cell>
          <cell r="AC3744">
            <v>45278</v>
          </cell>
        </row>
        <row r="3745">
          <cell r="I3745" t="str">
            <v>EDI</v>
          </cell>
          <cell r="L3745">
            <v>1919</v>
          </cell>
          <cell r="N3745" t="str">
            <v>Production</v>
          </cell>
          <cell r="O3745" t="str">
            <v>No</v>
          </cell>
          <cell r="Q3745" t="str">
            <v>Cancelled</v>
          </cell>
          <cell r="R3745">
            <v>44964.711967592593</v>
          </cell>
          <cell r="S3745" t="str">
            <v>Joseph Atef</v>
          </cell>
          <cell r="T3745">
            <v>44980</v>
          </cell>
          <cell r="U3745" t="str">
            <v>Melonie Skeen</v>
          </cell>
          <cell r="V3745">
            <v>45035</v>
          </cell>
          <cell r="W3745">
            <v>45182</v>
          </cell>
          <cell r="Y3745">
            <v>44970</v>
          </cell>
          <cell r="AC3745">
            <v>45181</v>
          </cell>
        </row>
        <row r="3746">
          <cell r="I3746" t="str">
            <v>EDI</v>
          </cell>
          <cell r="L3746">
            <v>1911</v>
          </cell>
          <cell r="N3746" t="str">
            <v>Production</v>
          </cell>
          <cell r="O3746" t="str">
            <v>No</v>
          </cell>
          <cell r="Q3746" t="str">
            <v>Cancelled</v>
          </cell>
          <cell r="R3746">
            <v>44964.704930555563</v>
          </cell>
          <cell r="S3746" t="str">
            <v>Aya Fathy</v>
          </cell>
          <cell r="T3746">
            <v>44980</v>
          </cell>
          <cell r="U3746" t="str">
            <v>Miranda Naeem</v>
          </cell>
          <cell r="V3746">
            <v>44990</v>
          </cell>
          <cell r="W3746">
            <v>45098</v>
          </cell>
          <cell r="Y3746">
            <v>44969</v>
          </cell>
          <cell r="AC3746">
            <v>45098</v>
          </cell>
        </row>
        <row r="3747">
          <cell r="I3747" t="str">
            <v>EDI</v>
          </cell>
          <cell r="L3747">
            <v>1921</v>
          </cell>
          <cell r="N3747" t="str">
            <v>Production</v>
          </cell>
          <cell r="O3747" t="str">
            <v>No</v>
          </cell>
          <cell r="Q3747" t="str">
            <v>Live</v>
          </cell>
          <cell r="R3747">
            <v>44963.592824074083</v>
          </cell>
          <cell r="S3747" t="str">
            <v>Mina Adel</v>
          </cell>
          <cell r="T3747">
            <v>44979</v>
          </cell>
          <cell r="U3747" t="str">
            <v>Vicky Wright</v>
          </cell>
          <cell r="V3747">
            <v>45049</v>
          </cell>
          <cell r="W3747">
            <v>45064</v>
          </cell>
          <cell r="Y3747">
            <v>44964</v>
          </cell>
          <cell r="AC3747">
            <v>45057</v>
          </cell>
        </row>
        <row r="3748">
          <cell r="I3748" t="str">
            <v>EDI</v>
          </cell>
          <cell r="L3748">
            <v>2009</v>
          </cell>
          <cell r="N3748" t="str">
            <v>Mapping</v>
          </cell>
          <cell r="O3748" t="str">
            <v>No</v>
          </cell>
          <cell r="Q3748" t="str">
            <v>Cancelled</v>
          </cell>
          <cell r="R3748">
            <v>44960.791585648149</v>
          </cell>
          <cell r="S3748" t="str">
            <v>Alaa Yehia</v>
          </cell>
          <cell r="T3748">
            <v>45014</v>
          </cell>
          <cell r="U3748" t="str">
            <v>Melonie Skeen</v>
          </cell>
          <cell r="Y3748">
            <v>45013</v>
          </cell>
        </row>
        <row r="3749">
          <cell r="I3749" t="str">
            <v>EDI</v>
          </cell>
          <cell r="L3749">
            <v>1909</v>
          </cell>
          <cell r="N3749" t="str">
            <v>Production</v>
          </cell>
          <cell r="O3749" t="str">
            <v>No</v>
          </cell>
          <cell r="Q3749" t="str">
            <v>Live</v>
          </cell>
          <cell r="R3749">
            <v>44960.745868055557</v>
          </cell>
          <cell r="S3749" t="str">
            <v>Fady Maged</v>
          </cell>
          <cell r="T3749">
            <v>44979</v>
          </cell>
          <cell r="U3749" t="str">
            <v>Melonie Skeen</v>
          </cell>
          <cell r="V3749">
            <v>44984</v>
          </cell>
          <cell r="W3749">
            <v>45021</v>
          </cell>
          <cell r="Y3749">
            <v>44965</v>
          </cell>
          <cell r="AC3749">
            <v>45020</v>
          </cell>
        </row>
        <row r="3750">
          <cell r="I3750" t="str">
            <v>EDI</v>
          </cell>
          <cell r="L3750">
            <v>1941</v>
          </cell>
          <cell r="N3750" t="str">
            <v>Production</v>
          </cell>
          <cell r="O3750" t="str">
            <v>No</v>
          </cell>
          <cell r="Q3750" t="str">
            <v>Cancelled</v>
          </cell>
          <cell r="R3750">
            <v>44960.688356481478</v>
          </cell>
          <cell r="S3750" t="str">
            <v>Omnia Abdelaziz</v>
          </cell>
          <cell r="T3750">
            <v>44984</v>
          </cell>
          <cell r="U3750" t="str">
            <v>Miranda Naeem</v>
          </cell>
          <cell r="V3750">
            <v>25569</v>
          </cell>
          <cell r="W3750">
            <v>45062</v>
          </cell>
          <cell r="Y3750">
            <v>44981</v>
          </cell>
          <cell r="AC3750">
            <v>45057</v>
          </cell>
        </row>
        <row r="3751">
          <cell r="I3751" t="str">
            <v>EDI</v>
          </cell>
          <cell r="L3751">
            <v>1906</v>
          </cell>
          <cell r="N3751" t="str">
            <v>Production</v>
          </cell>
          <cell r="O3751" t="str">
            <v>No</v>
          </cell>
          <cell r="Q3751" t="str">
            <v>Cancelled</v>
          </cell>
          <cell r="R3751">
            <v>44960.643009259264</v>
          </cell>
          <cell r="S3751" t="str">
            <v>Tarek Medhat</v>
          </cell>
          <cell r="T3751">
            <v>44978</v>
          </cell>
          <cell r="U3751" t="str">
            <v>Miranda Naeem</v>
          </cell>
          <cell r="V3751">
            <v>45015</v>
          </cell>
          <cell r="W3751">
            <v>45048</v>
          </cell>
          <cell r="Y3751">
            <v>44974</v>
          </cell>
          <cell r="AC3751">
            <v>45046</v>
          </cell>
        </row>
        <row r="3752">
          <cell r="I3752" t="str">
            <v>EDI</v>
          </cell>
          <cell r="L3752">
            <v>1905</v>
          </cell>
          <cell r="N3752" t="str">
            <v>Production</v>
          </cell>
          <cell r="O3752" t="str">
            <v>No</v>
          </cell>
          <cell r="Q3752" t="str">
            <v>Cancelled</v>
          </cell>
          <cell r="R3752">
            <v>44959.659085648149</v>
          </cell>
          <cell r="S3752" t="str">
            <v>Tarek Medhat</v>
          </cell>
          <cell r="T3752">
            <v>44978</v>
          </cell>
          <cell r="U3752" t="str">
            <v>Robbie Schappell</v>
          </cell>
          <cell r="V3752">
            <v>44994</v>
          </cell>
          <cell r="W3752">
            <v>25569</v>
          </cell>
          <cell r="Y3752">
            <v>44969</v>
          </cell>
          <cell r="AC3752">
            <v>45018</v>
          </cell>
        </row>
        <row r="3753">
          <cell r="I3753" t="str">
            <v>EDI</v>
          </cell>
          <cell r="L3753">
            <v>1903</v>
          </cell>
          <cell r="N3753" t="str">
            <v>Production</v>
          </cell>
          <cell r="O3753" t="str">
            <v>No</v>
          </cell>
          <cell r="Q3753" t="str">
            <v>Cancelled</v>
          </cell>
          <cell r="R3753">
            <v>44958.688645833332</v>
          </cell>
          <cell r="S3753" t="str">
            <v>Mahmoud Ahmed</v>
          </cell>
          <cell r="T3753">
            <v>44978</v>
          </cell>
          <cell r="U3753" t="str">
            <v>Vicky Wright</v>
          </cell>
          <cell r="V3753">
            <v>44991</v>
          </cell>
          <cell r="W3753">
            <v>45028</v>
          </cell>
          <cell r="Y3753">
            <v>44978</v>
          </cell>
          <cell r="AC3753">
            <v>45026</v>
          </cell>
        </row>
        <row r="3754">
          <cell r="I3754" t="str">
            <v>EDI</v>
          </cell>
          <cell r="L3754">
            <v>1901</v>
          </cell>
          <cell r="N3754" t="str">
            <v>Production</v>
          </cell>
          <cell r="O3754" t="str">
            <v>No</v>
          </cell>
          <cell r="Q3754" t="str">
            <v>Cancelled</v>
          </cell>
          <cell r="R3754">
            <v>44958.676354166673</v>
          </cell>
          <cell r="S3754" t="str">
            <v>Mahmoud Ahmed</v>
          </cell>
          <cell r="T3754">
            <v>44978</v>
          </cell>
          <cell r="U3754" t="str">
            <v>Miranda Naeem</v>
          </cell>
          <cell r="V3754">
            <v>45007</v>
          </cell>
          <cell r="W3754">
            <v>45076</v>
          </cell>
          <cell r="Y3754">
            <v>44972</v>
          </cell>
          <cell r="AC3754">
            <v>45074</v>
          </cell>
        </row>
        <row r="3755">
          <cell r="I3755" t="str">
            <v>EDI</v>
          </cell>
          <cell r="L3755">
            <v>2045</v>
          </cell>
          <cell r="N3755" t="str">
            <v>Testing</v>
          </cell>
          <cell r="O3755" t="str">
            <v>No</v>
          </cell>
          <cell r="Q3755" t="str">
            <v>Cancelled</v>
          </cell>
          <cell r="R3755">
            <v>44957.835902777777</v>
          </cell>
          <cell r="S3755" t="str">
            <v>Omnia Abdelaziz</v>
          </cell>
          <cell r="T3755">
            <v>45042</v>
          </cell>
          <cell r="U3755" t="str">
            <v>Jene Hamm</v>
          </cell>
          <cell r="V3755">
            <v>45126</v>
          </cell>
          <cell r="Y3755">
            <v>45041</v>
          </cell>
        </row>
        <row r="3756">
          <cell r="I3756" t="str">
            <v>EDI</v>
          </cell>
          <cell r="L3756">
            <v>1907</v>
          </cell>
          <cell r="N3756" t="str">
            <v>Production</v>
          </cell>
          <cell r="O3756" t="str">
            <v>No</v>
          </cell>
          <cell r="Q3756" t="str">
            <v>Live</v>
          </cell>
          <cell r="R3756">
            <v>44957.828449074077</v>
          </cell>
          <cell r="S3756" t="str">
            <v>Omnia Abdelaziz</v>
          </cell>
          <cell r="T3756">
            <v>44978</v>
          </cell>
          <cell r="U3756" t="str">
            <v>Vicky Wright</v>
          </cell>
          <cell r="V3756">
            <v>45070</v>
          </cell>
          <cell r="W3756">
            <v>45099</v>
          </cell>
          <cell r="Y3756">
            <v>44966</v>
          </cell>
          <cell r="AC3756">
            <v>45095</v>
          </cell>
        </row>
        <row r="3757">
          <cell r="I3757" t="str">
            <v>EDI</v>
          </cell>
          <cell r="L3757">
            <v>1910</v>
          </cell>
          <cell r="N3757" t="str">
            <v>Production</v>
          </cell>
          <cell r="O3757" t="str">
            <v>No</v>
          </cell>
          <cell r="Q3757" t="str">
            <v>Live</v>
          </cell>
          <cell r="R3757">
            <v>44957.828449074077</v>
          </cell>
          <cell r="S3757" t="str">
            <v>Alaa Yehia</v>
          </cell>
          <cell r="T3757">
            <v>44978</v>
          </cell>
          <cell r="U3757" t="str">
            <v>Vicky Wright</v>
          </cell>
          <cell r="V3757">
            <v>44993</v>
          </cell>
          <cell r="W3757">
            <v>45099</v>
          </cell>
          <cell r="Y3757">
            <v>44959</v>
          </cell>
          <cell r="AC3757">
            <v>45092</v>
          </cell>
        </row>
        <row r="3758">
          <cell r="I3758" t="str">
            <v>EDI</v>
          </cell>
          <cell r="L3758">
            <v>1900</v>
          </cell>
          <cell r="N3758" t="str">
            <v>Mapping</v>
          </cell>
          <cell r="O3758" t="str">
            <v>No</v>
          </cell>
          <cell r="Q3758" t="str">
            <v>Cancelled</v>
          </cell>
          <cell r="R3758">
            <v>44957.808900462973</v>
          </cell>
          <cell r="S3758" t="str">
            <v>Mina George</v>
          </cell>
          <cell r="T3758">
            <v>44978</v>
          </cell>
          <cell r="U3758" t="str">
            <v>Miranda Naeem</v>
          </cell>
          <cell r="Y3758">
            <v>44972</v>
          </cell>
        </row>
        <row r="3759">
          <cell r="I3759" t="str">
            <v>EDI</v>
          </cell>
          <cell r="L3759">
            <v>1898</v>
          </cell>
          <cell r="N3759" t="str">
            <v>Production</v>
          </cell>
          <cell r="O3759" t="str">
            <v>No</v>
          </cell>
          <cell r="Q3759" t="str">
            <v>Live</v>
          </cell>
          <cell r="R3759">
            <v>44957.808888888889</v>
          </cell>
          <cell r="S3759" t="str">
            <v>Fady Maged</v>
          </cell>
          <cell r="T3759">
            <v>44978</v>
          </cell>
          <cell r="U3759" t="str">
            <v>Miranda Naeem</v>
          </cell>
          <cell r="V3759">
            <v>44993</v>
          </cell>
          <cell r="W3759">
            <v>45104</v>
          </cell>
          <cell r="Y3759">
            <v>44972</v>
          </cell>
          <cell r="AC3759">
            <v>45103</v>
          </cell>
        </row>
        <row r="3760">
          <cell r="I3760" t="str">
            <v>EDI</v>
          </cell>
          <cell r="L3760">
            <v>1917</v>
          </cell>
          <cell r="N3760" t="str">
            <v>Production</v>
          </cell>
          <cell r="O3760" t="str">
            <v>No</v>
          </cell>
          <cell r="Q3760" t="str">
            <v>Cancelled</v>
          </cell>
          <cell r="R3760">
            <v>44957.608587962961</v>
          </cell>
          <cell r="S3760" t="str">
            <v>Mina George</v>
          </cell>
          <cell r="T3760">
            <v>44972</v>
          </cell>
          <cell r="U3760" t="str">
            <v>Vicky Wright</v>
          </cell>
          <cell r="V3760">
            <v>44993</v>
          </cell>
          <cell r="W3760">
            <v>45098</v>
          </cell>
          <cell r="Y3760">
            <v>44957</v>
          </cell>
          <cell r="AC3760">
            <v>45095</v>
          </cell>
        </row>
        <row r="3761">
          <cell r="I3761" t="str">
            <v>EDI</v>
          </cell>
          <cell r="L3761">
            <v>1920</v>
          </cell>
          <cell r="N3761" t="str">
            <v>Production</v>
          </cell>
          <cell r="O3761" t="str">
            <v>No</v>
          </cell>
          <cell r="Q3761" t="str">
            <v>Live</v>
          </cell>
          <cell r="R3761">
            <v>44953.932928240742</v>
          </cell>
          <cell r="S3761" t="str">
            <v>Andrew Ramy</v>
          </cell>
          <cell r="T3761">
            <v>44978</v>
          </cell>
          <cell r="U3761" t="str">
            <v>Melonie Skeen</v>
          </cell>
          <cell r="V3761">
            <v>45000</v>
          </cell>
          <cell r="W3761">
            <v>45021</v>
          </cell>
          <cell r="Y3761">
            <v>44972</v>
          </cell>
          <cell r="AC3761">
            <v>45021</v>
          </cell>
        </row>
        <row r="3762">
          <cell r="I3762" t="str">
            <v>EDI</v>
          </cell>
          <cell r="L3762">
            <v>1904</v>
          </cell>
          <cell r="N3762" t="str">
            <v>Production</v>
          </cell>
          <cell r="O3762" t="str">
            <v>No</v>
          </cell>
          <cell r="Q3762" t="str">
            <v>Live</v>
          </cell>
          <cell r="R3762">
            <v>44953.913935185177</v>
          </cell>
          <cell r="S3762" t="str">
            <v>Mirna Azmy</v>
          </cell>
          <cell r="T3762">
            <v>44977</v>
          </cell>
          <cell r="U3762" t="str">
            <v>Robbie Schappell</v>
          </cell>
          <cell r="V3762">
            <v>44994</v>
          </cell>
          <cell r="W3762">
            <v>45035</v>
          </cell>
          <cell r="Y3762">
            <v>44964</v>
          </cell>
          <cell r="AC3762">
            <v>45034</v>
          </cell>
        </row>
        <row r="3763">
          <cell r="I3763" t="str">
            <v>EDI</v>
          </cell>
          <cell r="L3763">
            <v>1899</v>
          </cell>
          <cell r="N3763" t="str">
            <v>Production</v>
          </cell>
          <cell r="O3763" t="str">
            <v>No</v>
          </cell>
          <cell r="Q3763" t="str">
            <v>Cancelled</v>
          </cell>
          <cell r="R3763">
            <v>44953.85728009259</v>
          </cell>
          <cell r="S3763" t="str">
            <v>Hazem Rostom</v>
          </cell>
          <cell r="T3763">
            <v>44977</v>
          </cell>
          <cell r="U3763" t="str">
            <v>Vicky Wright</v>
          </cell>
          <cell r="V3763">
            <v>45076</v>
          </cell>
          <cell r="W3763">
            <v>45078</v>
          </cell>
          <cell r="Y3763">
            <v>44966</v>
          </cell>
          <cell r="AC3763">
            <v>45078</v>
          </cell>
        </row>
        <row r="3764">
          <cell r="I3764" t="str">
            <v>EDI</v>
          </cell>
          <cell r="L3764">
            <v>1897</v>
          </cell>
          <cell r="N3764" t="str">
            <v>Testing</v>
          </cell>
          <cell r="O3764" t="str">
            <v>No</v>
          </cell>
          <cell r="Q3764" t="str">
            <v>Cancelled</v>
          </cell>
          <cell r="R3764">
            <v>44953.813333333332</v>
          </cell>
          <cell r="S3764" t="str">
            <v>Fady Maged</v>
          </cell>
          <cell r="T3764">
            <v>44976</v>
          </cell>
          <cell r="U3764" t="str">
            <v>Tammy Davies</v>
          </cell>
          <cell r="V3764">
            <v>45009</v>
          </cell>
          <cell r="Y3764">
            <v>44972</v>
          </cell>
        </row>
        <row r="3765">
          <cell r="I3765" t="str">
            <v>EDI</v>
          </cell>
          <cell r="L3765">
            <v>1891</v>
          </cell>
          <cell r="N3765" t="str">
            <v>Production</v>
          </cell>
          <cell r="O3765" t="str">
            <v>No</v>
          </cell>
          <cell r="Q3765" t="str">
            <v>Live</v>
          </cell>
          <cell r="R3765">
            <v>44953.700937499998</v>
          </cell>
          <cell r="S3765" t="str">
            <v>Omar Elmahalwy</v>
          </cell>
          <cell r="T3765">
            <v>44976</v>
          </cell>
          <cell r="U3765" t="str">
            <v>Melonie Skeen</v>
          </cell>
          <cell r="V3765">
            <v>44992</v>
          </cell>
          <cell r="W3765">
            <v>45083</v>
          </cell>
          <cell r="Y3765">
            <v>44955</v>
          </cell>
          <cell r="AC3765">
            <v>45083</v>
          </cell>
        </row>
        <row r="3766">
          <cell r="I3766" t="str">
            <v>EDI</v>
          </cell>
          <cell r="L3766">
            <v>1964</v>
          </cell>
          <cell r="N3766" t="str">
            <v>Production</v>
          </cell>
          <cell r="O3766" t="str">
            <v>No</v>
          </cell>
          <cell r="Q3766" t="str">
            <v>Cancelled</v>
          </cell>
          <cell r="R3766">
            <v>44952.918298611112</v>
          </cell>
          <cell r="S3766" t="str">
            <v>Joseph Atef</v>
          </cell>
          <cell r="T3766">
            <v>44993</v>
          </cell>
          <cell r="U3766" t="str">
            <v>Miranda Naeem</v>
          </cell>
          <cell r="V3766">
            <v>45002</v>
          </cell>
          <cell r="W3766">
            <v>45181</v>
          </cell>
          <cell r="Y3766">
            <v>44993</v>
          </cell>
          <cell r="AC3766">
            <v>45181</v>
          </cell>
        </row>
        <row r="3767">
          <cell r="I3767" t="str">
            <v>EDI</v>
          </cell>
          <cell r="L3767">
            <v>1893</v>
          </cell>
          <cell r="N3767" t="str">
            <v>Production</v>
          </cell>
          <cell r="O3767" t="str">
            <v>No</v>
          </cell>
          <cell r="Q3767" t="str">
            <v>Live</v>
          </cell>
          <cell r="R3767">
            <v>44952.691932870373</v>
          </cell>
          <cell r="S3767" t="str">
            <v>Hazem Rostom</v>
          </cell>
          <cell r="T3767">
            <v>44976</v>
          </cell>
          <cell r="U3767" t="str">
            <v>Miranda Naeem</v>
          </cell>
          <cell r="V3767">
            <v>45005</v>
          </cell>
          <cell r="W3767">
            <v>45034</v>
          </cell>
          <cell r="Y3767">
            <v>44962</v>
          </cell>
          <cell r="AC3767">
            <v>45029</v>
          </cell>
        </row>
        <row r="3768">
          <cell r="I3768" t="str">
            <v>EDI</v>
          </cell>
          <cell r="L3768">
            <v>1922</v>
          </cell>
          <cell r="N3768" t="str">
            <v>Production</v>
          </cell>
          <cell r="O3768" t="str">
            <v>No</v>
          </cell>
          <cell r="Q3768" t="str">
            <v>Live</v>
          </cell>
          <cell r="R3768">
            <v>44952.691932870373</v>
          </cell>
          <cell r="S3768" t="str">
            <v>Aya Fathy</v>
          </cell>
          <cell r="T3768">
            <v>44985</v>
          </cell>
          <cell r="U3768" t="str">
            <v>Vicky Wright</v>
          </cell>
          <cell r="V3768">
            <v>45021</v>
          </cell>
          <cell r="W3768">
            <v>45064</v>
          </cell>
          <cell r="Y3768">
            <v>44984</v>
          </cell>
          <cell r="AC3768">
            <v>45077</v>
          </cell>
        </row>
        <row r="3769">
          <cell r="I3769" t="str">
            <v>EDI</v>
          </cell>
          <cell r="L3769">
            <v>1886</v>
          </cell>
          <cell r="N3769" t="str">
            <v>Production</v>
          </cell>
          <cell r="O3769" t="str">
            <v>No</v>
          </cell>
          <cell r="Q3769" t="str">
            <v>Live</v>
          </cell>
          <cell r="R3769">
            <v>44952.691921296297</v>
          </cell>
          <cell r="S3769" t="str">
            <v>Omar Elmahalwy</v>
          </cell>
          <cell r="T3769">
            <v>44973</v>
          </cell>
          <cell r="U3769" t="str">
            <v>Vicky Wright</v>
          </cell>
          <cell r="V3769">
            <v>45009</v>
          </cell>
          <cell r="W3769">
            <v>45295</v>
          </cell>
          <cell r="Y3769">
            <v>44959</v>
          </cell>
          <cell r="AC3769">
            <v>45295</v>
          </cell>
        </row>
        <row r="3770">
          <cell r="I3770" t="str">
            <v>EDI</v>
          </cell>
          <cell r="L3770">
            <v>1887</v>
          </cell>
          <cell r="N3770" t="str">
            <v>Production</v>
          </cell>
          <cell r="O3770" t="str">
            <v>No</v>
          </cell>
          <cell r="Q3770" t="str">
            <v>Cancelled</v>
          </cell>
          <cell r="R3770">
            <v>44952.677523148152</v>
          </cell>
          <cell r="S3770" t="str">
            <v>Alaa Yehia</v>
          </cell>
          <cell r="T3770">
            <v>44972</v>
          </cell>
          <cell r="U3770" t="str">
            <v>Miranda Naeem</v>
          </cell>
          <cell r="V3770">
            <v>44985</v>
          </cell>
          <cell r="W3770">
            <v>44999</v>
          </cell>
          <cell r="Y3770">
            <v>44957</v>
          </cell>
          <cell r="AC3770">
            <v>44992</v>
          </cell>
        </row>
        <row r="3771">
          <cell r="I3771" t="str">
            <v>EDI</v>
          </cell>
          <cell r="L3771">
            <v>1913</v>
          </cell>
          <cell r="N3771" t="str">
            <v>Testing</v>
          </cell>
          <cell r="O3771" t="str">
            <v>No</v>
          </cell>
          <cell r="Q3771" t="str">
            <v>Cancelled</v>
          </cell>
          <cell r="R3771">
            <v>44951.866365740738</v>
          </cell>
          <cell r="S3771" t="str">
            <v>Andrew Ramy</v>
          </cell>
          <cell r="T3771">
            <v>44973</v>
          </cell>
          <cell r="U3771" t="str">
            <v>Miranda Naeem</v>
          </cell>
          <cell r="V3771">
            <v>45139</v>
          </cell>
          <cell r="Y3771">
            <v>44962</v>
          </cell>
        </row>
        <row r="3772">
          <cell r="I3772" t="str">
            <v>EDI</v>
          </cell>
          <cell r="L3772">
            <v>1894</v>
          </cell>
          <cell r="N3772" t="str">
            <v>Production</v>
          </cell>
          <cell r="O3772" t="str">
            <v>No</v>
          </cell>
          <cell r="Q3772" t="str">
            <v>Cancelled</v>
          </cell>
          <cell r="R3772">
            <v>44951.821666666663</v>
          </cell>
          <cell r="S3772" t="str">
            <v>Alaa Yehia</v>
          </cell>
          <cell r="T3772">
            <v>44976</v>
          </cell>
          <cell r="U3772" t="str">
            <v>Vicky Wright</v>
          </cell>
          <cell r="V3772">
            <v>44985</v>
          </cell>
          <cell r="W3772">
            <v>45008</v>
          </cell>
          <cell r="Y3772">
            <v>44976</v>
          </cell>
          <cell r="AC3772">
            <v>45007</v>
          </cell>
        </row>
        <row r="3773">
          <cell r="I3773" t="str">
            <v>EDI</v>
          </cell>
          <cell r="L3773">
            <v>2073</v>
          </cell>
          <cell r="N3773" t="str">
            <v>Production</v>
          </cell>
          <cell r="O3773" t="str">
            <v>No</v>
          </cell>
          <cell r="Q3773" t="str">
            <v>Cancelled</v>
          </cell>
          <cell r="R3773">
            <v>44951.821666666663</v>
          </cell>
          <cell r="S3773" t="str">
            <v>Salma Yamani</v>
          </cell>
          <cell r="T3773">
            <v>45049</v>
          </cell>
          <cell r="U3773" t="str">
            <v>Vicky Wright</v>
          </cell>
          <cell r="V3773">
            <v>45119</v>
          </cell>
          <cell r="W3773">
            <v>45161</v>
          </cell>
          <cell r="Y3773">
            <v>45048</v>
          </cell>
          <cell r="AC3773">
            <v>45155</v>
          </cell>
        </row>
        <row r="3774">
          <cell r="I3774" t="str">
            <v>EDI</v>
          </cell>
          <cell r="L3774">
            <v>1883</v>
          </cell>
          <cell r="N3774" t="str">
            <v>Production</v>
          </cell>
          <cell r="O3774" t="str">
            <v>No</v>
          </cell>
          <cell r="Q3774" t="str">
            <v>Cancelled</v>
          </cell>
          <cell r="R3774">
            <v>44951.821655092594</v>
          </cell>
          <cell r="S3774" t="str">
            <v>Aya Fathy</v>
          </cell>
          <cell r="T3774">
            <v>44972</v>
          </cell>
          <cell r="U3774" t="str">
            <v>Vicky Wright</v>
          </cell>
          <cell r="V3774">
            <v>44984</v>
          </cell>
          <cell r="W3774">
            <v>45021</v>
          </cell>
          <cell r="Y3774">
            <v>44959</v>
          </cell>
          <cell r="AC3774">
            <v>45018</v>
          </cell>
        </row>
        <row r="3775">
          <cell r="I3775" t="str">
            <v>EDI</v>
          </cell>
          <cell r="L3775">
            <v>1884</v>
          </cell>
          <cell r="N3775" t="str">
            <v>Production</v>
          </cell>
          <cell r="O3775" t="str">
            <v>No</v>
          </cell>
          <cell r="Q3775" t="str">
            <v>Cancelled</v>
          </cell>
          <cell r="R3775">
            <v>44951.821655092594</v>
          </cell>
          <cell r="S3775" t="str">
            <v>Hazem Rostom</v>
          </cell>
          <cell r="T3775">
            <v>44972</v>
          </cell>
          <cell r="U3775" t="str">
            <v>Vicky Wright</v>
          </cell>
          <cell r="V3775">
            <v>45005</v>
          </cell>
          <cell r="W3775">
            <v>45021</v>
          </cell>
          <cell r="Y3775">
            <v>44957</v>
          </cell>
          <cell r="AC3775">
            <v>45020</v>
          </cell>
        </row>
        <row r="3776">
          <cell r="I3776" t="str">
            <v>EDI</v>
          </cell>
          <cell r="L3776">
            <v>1888</v>
          </cell>
          <cell r="N3776" t="str">
            <v>Production</v>
          </cell>
          <cell r="O3776" t="str">
            <v>No</v>
          </cell>
          <cell r="Q3776" t="str">
            <v>Live</v>
          </cell>
          <cell r="R3776">
            <v>44950.867731481478</v>
          </cell>
          <cell r="S3776" t="str">
            <v>Salma Yamani</v>
          </cell>
          <cell r="T3776">
            <v>44971</v>
          </cell>
          <cell r="U3776" t="str">
            <v>Miranda Naeem</v>
          </cell>
          <cell r="V3776">
            <v>45151</v>
          </cell>
          <cell r="W3776">
            <v>45419</v>
          </cell>
          <cell r="Y3776">
            <v>44957</v>
          </cell>
          <cell r="AC3776">
            <v>45419</v>
          </cell>
        </row>
        <row r="3777">
          <cell r="I3777" t="str">
            <v>EDI</v>
          </cell>
          <cell r="L3777">
            <v>1832</v>
          </cell>
          <cell r="N3777" t="str">
            <v>Production</v>
          </cell>
          <cell r="O3777" t="str">
            <v>No</v>
          </cell>
          <cell r="Q3777" t="str">
            <v>Cancelled</v>
          </cell>
          <cell r="R3777">
            <v>44950.732395833344</v>
          </cell>
          <cell r="S3777" t="str">
            <v>Mina George</v>
          </cell>
          <cell r="T3777">
            <v>44951</v>
          </cell>
          <cell r="U3777" t="str">
            <v>Vicky Wright</v>
          </cell>
          <cell r="V3777">
            <v>44992</v>
          </cell>
          <cell r="W3777">
            <v>45120</v>
          </cell>
          <cell r="Y3777">
            <v>44951</v>
          </cell>
          <cell r="AC3777">
            <v>45011</v>
          </cell>
        </row>
        <row r="3778">
          <cell r="I3778" t="str">
            <v>EDI</v>
          </cell>
          <cell r="L3778">
            <v>1881</v>
          </cell>
          <cell r="N3778" t="str">
            <v>Production</v>
          </cell>
          <cell r="O3778" t="str">
            <v>No</v>
          </cell>
          <cell r="Q3778" t="str">
            <v>Cancelled</v>
          </cell>
          <cell r="R3778">
            <v>44949.878495370373</v>
          </cell>
          <cell r="S3778" t="str">
            <v>Omar Elmahalwy</v>
          </cell>
          <cell r="T3778">
            <v>44971</v>
          </cell>
          <cell r="U3778" t="str">
            <v>Vicky Wright</v>
          </cell>
          <cell r="V3778">
            <v>44977</v>
          </cell>
          <cell r="W3778">
            <v>44986</v>
          </cell>
          <cell r="Y3778">
            <v>44957</v>
          </cell>
          <cell r="AC3778">
            <v>44984</v>
          </cell>
        </row>
        <row r="3779">
          <cell r="I3779" t="str">
            <v>EDI</v>
          </cell>
          <cell r="N3779" t="str">
            <v>Requirements Gathering</v>
          </cell>
          <cell r="O3779" t="str">
            <v>No</v>
          </cell>
          <cell r="Q3779" t="str">
            <v>Cancelled</v>
          </cell>
          <cell r="R3779">
            <v>44949.870416666658</v>
          </cell>
          <cell r="S3779" t="str">
            <v>Abdulrahman Tarek</v>
          </cell>
          <cell r="T3779">
            <v>44950</v>
          </cell>
        </row>
        <row r="3780">
          <cell r="I3780" t="str">
            <v>EDI</v>
          </cell>
          <cell r="L3780">
            <v>1902</v>
          </cell>
          <cell r="N3780" t="str">
            <v>Production</v>
          </cell>
          <cell r="O3780" t="str">
            <v>No</v>
          </cell>
          <cell r="Q3780" t="str">
            <v>Cancelled</v>
          </cell>
          <cell r="R3780">
            <v>44949.867604166669</v>
          </cell>
          <cell r="S3780" t="str">
            <v>Joseph Atef</v>
          </cell>
          <cell r="T3780">
            <v>44971</v>
          </cell>
          <cell r="U3780" t="str">
            <v>Jene Hamm</v>
          </cell>
          <cell r="V3780">
            <v>44992</v>
          </cell>
          <cell r="W3780">
            <v>45110</v>
          </cell>
          <cell r="Y3780">
            <v>44970</v>
          </cell>
          <cell r="AC3780">
            <v>45110</v>
          </cell>
        </row>
        <row r="3781">
          <cell r="I3781" t="str">
            <v>EDI</v>
          </cell>
          <cell r="L3781">
            <v>1890</v>
          </cell>
          <cell r="N3781" t="str">
            <v>Production</v>
          </cell>
          <cell r="O3781" t="str">
            <v>No</v>
          </cell>
          <cell r="Q3781" t="str">
            <v>Cancelled</v>
          </cell>
          <cell r="R3781">
            <v>44949.799004629633</v>
          </cell>
          <cell r="S3781" t="str">
            <v>Mina Adel</v>
          </cell>
          <cell r="T3781">
            <v>44970</v>
          </cell>
          <cell r="U3781" t="str">
            <v>Vicky Wright</v>
          </cell>
          <cell r="V3781">
            <v>25569</v>
          </cell>
          <cell r="W3781">
            <v>25569</v>
          </cell>
          <cell r="Y3781">
            <v>44962</v>
          </cell>
          <cell r="AC3781">
            <v>45104</v>
          </cell>
        </row>
        <row r="3782">
          <cell r="I3782" t="str">
            <v>EDI</v>
          </cell>
          <cell r="L3782">
            <v>1892</v>
          </cell>
          <cell r="N3782" t="str">
            <v>Production</v>
          </cell>
          <cell r="O3782" t="str">
            <v>No</v>
          </cell>
          <cell r="Q3782" t="str">
            <v>Cancelled</v>
          </cell>
          <cell r="R3782">
            <v>44946.824016203696</v>
          </cell>
          <cell r="S3782" t="str">
            <v>Joseph Atef</v>
          </cell>
          <cell r="T3782">
            <v>44969</v>
          </cell>
          <cell r="U3782" t="str">
            <v>Vicky Wright</v>
          </cell>
          <cell r="V3782">
            <v>45002</v>
          </cell>
          <cell r="W3782">
            <v>45176</v>
          </cell>
          <cell r="Y3782">
            <v>44957</v>
          </cell>
          <cell r="AC3782">
            <v>45169</v>
          </cell>
        </row>
        <row r="3783">
          <cell r="I3783" t="str">
            <v>EDI</v>
          </cell>
          <cell r="L3783">
            <v>1862</v>
          </cell>
          <cell r="N3783" t="str">
            <v>Testing</v>
          </cell>
          <cell r="O3783" t="str">
            <v>No</v>
          </cell>
          <cell r="Q3783" t="str">
            <v>Cancelled</v>
          </cell>
          <cell r="R3783">
            <v>44946.824004629627</v>
          </cell>
          <cell r="S3783" t="str">
            <v>Mina Adel</v>
          </cell>
          <cell r="T3783">
            <v>44956</v>
          </cell>
          <cell r="U3783" t="str">
            <v>Vicky Wright</v>
          </cell>
          <cell r="V3783">
            <v>44971</v>
          </cell>
          <cell r="Y3783">
            <v>44950</v>
          </cell>
        </row>
        <row r="3784">
          <cell r="I3784" t="str">
            <v>EDI</v>
          </cell>
          <cell r="L3784">
            <v>1879</v>
          </cell>
          <cell r="N3784" t="str">
            <v>Production</v>
          </cell>
          <cell r="O3784" t="str">
            <v>No</v>
          </cell>
          <cell r="Q3784" t="str">
            <v>Cancelled</v>
          </cell>
          <cell r="R3784">
            <v>44946.824004629627</v>
          </cell>
          <cell r="S3784" t="str">
            <v>Alaa Yehia</v>
          </cell>
          <cell r="T3784">
            <v>45060</v>
          </cell>
          <cell r="U3784" t="str">
            <v>Vicky Wright</v>
          </cell>
          <cell r="V3784">
            <v>45078</v>
          </cell>
          <cell r="W3784">
            <v>45120</v>
          </cell>
          <cell r="Y3784">
            <v>44962</v>
          </cell>
          <cell r="AC3784">
            <v>45119</v>
          </cell>
        </row>
        <row r="3785">
          <cell r="I3785" t="str">
            <v>EDI</v>
          </cell>
          <cell r="L3785">
            <v>1860</v>
          </cell>
          <cell r="N3785" t="str">
            <v>Production</v>
          </cell>
          <cell r="O3785" t="str">
            <v>No</v>
          </cell>
          <cell r="Q3785" t="str">
            <v>Live</v>
          </cell>
          <cell r="R3785">
            <v>44945.859988425917</v>
          </cell>
          <cell r="S3785" t="str">
            <v>Omar Elmahalwy</v>
          </cell>
          <cell r="T3785">
            <v>44962</v>
          </cell>
          <cell r="U3785" t="str">
            <v>Denise Stubenvoll</v>
          </cell>
          <cell r="V3785">
            <v>44978</v>
          </cell>
          <cell r="W3785">
            <v>25569</v>
          </cell>
          <cell r="Y3785">
            <v>44955</v>
          </cell>
          <cell r="AC3785">
            <v>44985</v>
          </cell>
        </row>
        <row r="3786">
          <cell r="I3786" t="str">
            <v>EDI</v>
          </cell>
          <cell r="N3786" t="str">
            <v>Requirements Gathering</v>
          </cell>
          <cell r="O3786" t="str">
            <v>No</v>
          </cell>
          <cell r="Q3786" t="str">
            <v>Cancelled</v>
          </cell>
          <cell r="R3786">
            <v>44945.840798611112</v>
          </cell>
          <cell r="S3786" t="str">
            <v>Sandra Adel</v>
          </cell>
          <cell r="T3786">
            <v>44948</v>
          </cell>
          <cell r="U3786" t="str">
            <v>Miranda Naeem</v>
          </cell>
        </row>
        <row r="3787">
          <cell r="I3787" t="str">
            <v>EDI</v>
          </cell>
          <cell r="L3787">
            <v>1865</v>
          </cell>
          <cell r="N3787" t="str">
            <v>Production</v>
          </cell>
          <cell r="O3787" t="str">
            <v>No</v>
          </cell>
          <cell r="Q3787" t="str">
            <v>Live</v>
          </cell>
          <cell r="R3787">
            <v>44945.736458333333</v>
          </cell>
          <cell r="S3787" t="str">
            <v>Fady Maged</v>
          </cell>
          <cell r="T3787">
            <v>44962</v>
          </cell>
          <cell r="U3787" t="str">
            <v>Miranda Naeem</v>
          </cell>
          <cell r="V3787">
            <v>44976</v>
          </cell>
          <cell r="W3787">
            <v>45384</v>
          </cell>
          <cell r="Y3787">
            <v>44959</v>
          </cell>
          <cell r="AC3787">
            <v>45383</v>
          </cell>
        </row>
        <row r="3788">
          <cell r="I3788" t="str">
            <v>EDI</v>
          </cell>
          <cell r="L3788">
            <v>1858</v>
          </cell>
          <cell r="N3788" t="str">
            <v>Production</v>
          </cell>
          <cell r="O3788" t="str">
            <v>No</v>
          </cell>
          <cell r="Q3788" t="str">
            <v>Cancelled</v>
          </cell>
          <cell r="R3788">
            <v>44945.671238425923</v>
          </cell>
          <cell r="S3788" t="str">
            <v>Aya Fathy</v>
          </cell>
          <cell r="T3788">
            <v>44962</v>
          </cell>
          <cell r="U3788" t="str">
            <v>Miranda Naeem</v>
          </cell>
          <cell r="V3788">
            <v>25569</v>
          </cell>
          <cell r="W3788">
            <v>44999</v>
          </cell>
          <cell r="Y3788">
            <v>44950</v>
          </cell>
          <cell r="AC3788">
            <v>44992</v>
          </cell>
        </row>
        <row r="3789">
          <cell r="I3789" t="str">
            <v>EDI</v>
          </cell>
          <cell r="L3789">
            <v>1854</v>
          </cell>
          <cell r="N3789" t="str">
            <v>Production</v>
          </cell>
          <cell r="O3789" t="str">
            <v>No</v>
          </cell>
          <cell r="Q3789" t="str">
            <v>Cancelled</v>
          </cell>
          <cell r="R3789">
            <v>44944.891319444447</v>
          </cell>
          <cell r="S3789" t="str">
            <v>Aya Fathy</v>
          </cell>
          <cell r="T3789">
            <v>44959</v>
          </cell>
          <cell r="U3789" t="str">
            <v>Melonie Skeen</v>
          </cell>
          <cell r="V3789">
            <v>25569</v>
          </cell>
          <cell r="W3789">
            <v>45144</v>
          </cell>
          <cell r="Y3789">
            <v>44957</v>
          </cell>
          <cell r="AC3789">
            <v>45140</v>
          </cell>
        </row>
        <row r="3790">
          <cell r="I3790" t="str">
            <v>EDI</v>
          </cell>
          <cell r="N3790" t="str">
            <v>Requirements Gathering</v>
          </cell>
          <cell r="O3790" t="str">
            <v>No</v>
          </cell>
          <cell r="Q3790" t="str">
            <v>Cancelled</v>
          </cell>
          <cell r="R3790">
            <v>44944.879247685189</v>
          </cell>
          <cell r="S3790" t="str">
            <v>Lourina Edmon</v>
          </cell>
          <cell r="T3790">
            <v>44945</v>
          </cell>
        </row>
        <row r="3791">
          <cell r="I3791" t="str">
            <v>EDI</v>
          </cell>
          <cell r="L3791">
            <v>1872</v>
          </cell>
          <cell r="N3791" t="str">
            <v>Production</v>
          </cell>
          <cell r="O3791" t="str">
            <v>No</v>
          </cell>
          <cell r="Q3791" t="str">
            <v>Cancelled</v>
          </cell>
          <cell r="R3791">
            <v>44944.855011574073</v>
          </cell>
          <cell r="S3791" t="str">
            <v>Omar Elmahalwy</v>
          </cell>
          <cell r="T3791">
            <v>44966</v>
          </cell>
          <cell r="U3791" t="str">
            <v>Denise Stubenvoll</v>
          </cell>
          <cell r="V3791">
            <v>44977</v>
          </cell>
          <cell r="W3791">
            <v>45021</v>
          </cell>
          <cell r="Y3791">
            <v>44965</v>
          </cell>
          <cell r="AC3791">
            <v>45018</v>
          </cell>
        </row>
        <row r="3792">
          <cell r="I3792" t="str">
            <v>EDI</v>
          </cell>
          <cell r="L3792">
            <v>1809</v>
          </cell>
          <cell r="N3792" t="str">
            <v>Production</v>
          </cell>
          <cell r="O3792" t="str">
            <v>No</v>
          </cell>
          <cell r="Q3792" t="str">
            <v>Live</v>
          </cell>
          <cell r="R3792">
            <v>44943.699988425928</v>
          </cell>
          <cell r="S3792" t="str">
            <v>Mina George</v>
          </cell>
          <cell r="T3792">
            <v>44944</v>
          </cell>
          <cell r="V3792">
            <v>44944</v>
          </cell>
          <cell r="W3792">
            <v>44951</v>
          </cell>
          <cell r="AC3792">
            <v>44949</v>
          </cell>
        </row>
        <row r="3793">
          <cell r="I3793" t="str">
            <v>EDI</v>
          </cell>
          <cell r="L3793">
            <v>1933</v>
          </cell>
          <cell r="N3793" t="str">
            <v>Production</v>
          </cell>
          <cell r="O3793" t="str">
            <v>No</v>
          </cell>
          <cell r="Q3793" t="str">
            <v>Cancelled</v>
          </cell>
          <cell r="R3793">
            <v>44943.689930555563</v>
          </cell>
          <cell r="S3793" t="str">
            <v>Mina George</v>
          </cell>
          <cell r="T3793">
            <v>44984</v>
          </cell>
          <cell r="U3793" t="str">
            <v>Miranda Naeem</v>
          </cell>
          <cell r="V3793">
            <v>45015</v>
          </cell>
          <cell r="W3793">
            <v>45112</v>
          </cell>
          <cell r="Y3793">
            <v>44981</v>
          </cell>
          <cell r="AC3793">
            <v>45110</v>
          </cell>
        </row>
        <row r="3794">
          <cell r="I3794" t="str">
            <v>EDI</v>
          </cell>
          <cell r="N3794" t="str">
            <v>Requirements Gathering</v>
          </cell>
          <cell r="O3794" t="str">
            <v>No</v>
          </cell>
          <cell r="Q3794" t="str">
            <v>Cancelled</v>
          </cell>
          <cell r="R3794">
            <v>44943.663564814808</v>
          </cell>
          <cell r="S3794" t="str">
            <v>Sandra Adel</v>
          </cell>
          <cell r="T3794">
            <v>44944</v>
          </cell>
          <cell r="U3794" t="str">
            <v>Miranda Naeem</v>
          </cell>
        </row>
        <row r="3795">
          <cell r="I3795" t="str">
            <v>EDI</v>
          </cell>
          <cell r="L3795">
            <v>1856</v>
          </cell>
          <cell r="N3795" t="str">
            <v>Ready for Production</v>
          </cell>
          <cell r="O3795" t="str">
            <v>No</v>
          </cell>
          <cell r="Q3795" t="str">
            <v>Cancelled</v>
          </cell>
          <cell r="R3795">
            <v>44943.63449074074</v>
          </cell>
          <cell r="S3795" t="str">
            <v>Fady Maged</v>
          </cell>
          <cell r="T3795">
            <v>44962</v>
          </cell>
          <cell r="U3795" t="str">
            <v>Jene Hamm</v>
          </cell>
          <cell r="V3795">
            <v>44978</v>
          </cell>
          <cell r="Y3795">
            <v>44962</v>
          </cell>
        </row>
        <row r="3796">
          <cell r="I3796" t="str">
            <v>EDI</v>
          </cell>
          <cell r="L3796">
            <v>1889</v>
          </cell>
          <cell r="N3796" t="str">
            <v>Production</v>
          </cell>
          <cell r="O3796" t="str">
            <v>No</v>
          </cell>
          <cell r="Q3796" t="str">
            <v>Live</v>
          </cell>
          <cell r="R3796">
            <v>44943.631932870368</v>
          </cell>
          <cell r="S3796" t="str">
            <v>Omnia Abdelaziz</v>
          </cell>
          <cell r="T3796">
            <v>44966</v>
          </cell>
          <cell r="U3796" t="str">
            <v>Miranda Naeem</v>
          </cell>
          <cell r="V3796">
            <v>45001</v>
          </cell>
          <cell r="W3796">
            <v>25569</v>
          </cell>
          <cell r="Y3796">
            <v>44962</v>
          </cell>
          <cell r="AC3796">
            <v>45001</v>
          </cell>
        </row>
        <row r="3797">
          <cell r="I3797" t="str">
            <v>EDI</v>
          </cell>
          <cell r="L3797">
            <v>1928</v>
          </cell>
          <cell r="N3797" t="str">
            <v>Production</v>
          </cell>
          <cell r="O3797" t="str">
            <v>No</v>
          </cell>
          <cell r="Q3797" t="str">
            <v>Live</v>
          </cell>
          <cell r="R3797">
            <v>44943.62263888889</v>
          </cell>
          <cell r="S3797" t="str">
            <v>Hazem Rostom</v>
          </cell>
          <cell r="T3797">
            <v>44979</v>
          </cell>
          <cell r="U3797" t="str">
            <v>Miranda Naeem</v>
          </cell>
          <cell r="V3797">
            <v>45005</v>
          </cell>
          <cell r="W3797">
            <v>45015</v>
          </cell>
          <cell r="Y3797">
            <v>44978</v>
          </cell>
          <cell r="AC3797">
            <v>45014</v>
          </cell>
        </row>
        <row r="3798">
          <cell r="I3798" t="str">
            <v>EDI</v>
          </cell>
          <cell r="L3798">
            <v>1855</v>
          </cell>
          <cell r="N3798" t="str">
            <v>Production</v>
          </cell>
          <cell r="O3798" t="str">
            <v>No</v>
          </cell>
          <cell r="Q3798" t="str">
            <v>Cancelled</v>
          </cell>
          <cell r="R3798">
            <v>44942.793715277781</v>
          </cell>
          <cell r="S3798" t="str">
            <v>Salma Yamani</v>
          </cell>
          <cell r="T3798">
            <v>44959</v>
          </cell>
          <cell r="U3798" t="str">
            <v>Miranda Naeem</v>
          </cell>
          <cell r="V3798">
            <v>44986</v>
          </cell>
          <cell r="W3798">
            <v>45048</v>
          </cell>
          <cell r="Y3798">
            <v>44950</v>
          </cell>
          <cell r="AC3798">
            <v>45047</v>
          </cell>
        </row>
        <row r="3799">
          <cell r="I3799" t="str">
            <v>EDI</v>
          </cell>
          <cell r="L3799">
            <v>1859</v>
          </cell>
          <cell r="N3799" t="str">
            <v>Production</v>
          </cell>
          <cell r="O3799" t="str">
            <v>No</v>
          </cell>
          <cell r="Q3799" t="str">
            <v>Cancelled</v>
          </cell>
          <cell r="R3799">
            <v>44942.793715277781</v>
          </cell>
          <cell r="S3799" t="str">
            <v>Mina Kamil</v>
          </cell>
          <cell r="T3799">
            <v>45060</v>
          </cell>
          <cell r="U3799" t="str">
            <v>Miranda Naeem</v>
          </cell>
          <cell r="V3799">
            <v>44998</v>
          </cell>
          <cell r="W3799">
            <v>25569</v>
          </cell>
          <cell r="Y3799">
            <v>44948</v>
          </cell>
          <cell r="AC3799">
            <v>45075</v>
          </cell>
        </row>
        <row r="3800">
          <cell r="I3800" t="str">
            <v>EDI</v>
          </cell>
          <cell r="L3800">
            <v>1880</v>
          </cell>
          <cell r="N3800" t="str">
            <v>Production</v>
          </cell>
          <cell r="O3800" t="str">
            <v>No</v>
          </cell>
          <cell r="Q3800" t="str">
            <v>Cancelled</v>
          </cell>
          <cell r="R3800">
            <v>44942.677002314813</v>
          </cell>
          <cell r="S3800" t="str">
            <v>Salma Yamani</v>
          </cell>
          <cell r="T3800">
            <v>44964</v>
          </cell>
          <cell r="U3800" t="str">
            <v>Vicky Wright</v>
          </cell>
          <cell r="V3800">
            <v>44980</v>
          </cell>
          <cell r="W3800">
            <v>25569</v>
          </cell>
          <cell r="Y3800">
            <v>44963</v>
          </cell>
          <cell r="AC3800">
            <v>44990</v>
          </cell>
        </row>
        <row r="3801">
          <cell r="I3801" t="str">
            <v>EDI</v>
          </cell>
          <cell r="L3801">
            <v>1813</v>
          </cell>
          <cell r="N3801" t="str">
            <v>Production</v>
          </cell>
          <cell r="O3801" t="str">
            <v>No</v>
          </cell>
          <cell r="Q3801" t="str">
            <v>Cancelled</v>
          </cell>
          <cell r="R3801">
            <v>44942.570706018523</v>
          </cell>
          <cell r="S3801" t="str">
            <v>Mina Adel</v>
          </cell>
          <cell r="T3801">
            <v>44942</v>
          </cell>
          <cell r="U3801" t="str">
            <v>Elizabeth Kahle</v>
          </cell>
          <cell r="V3801">
            <v>45049</v>
          </cell>
          <cell r="W3801">
            <v>45113</v>
          </cell>
          <cell r="AC3801">
            <v>45111</v>
          </cell>
        </row>
        <row r="3802">
          <cell r="I3802" t="str">
            <v>Forms</v>
          </cell>
          <cell r="N3802" t="str">
            <v>Pending Start</v>
          </cell>
          <cell r="O3802" t="str">
            <v>No</v>
          </cell>
          <cell r="Q3802" t="str">
            <v>Blocked</v>
          </cell>
          <cell r="R3802">
            <v>44942.44327546296</v>
          </cell>
          <cell r="U3802" t="str">
            <v>Sherry Nazih Internal Isolved</v>
          </cell>
        </row>
        <row r="3803">
          <cell r="I3803" t="str">
            <v>Forms</v>
          </cell>
          <cell r="L3803" t="str">
            <v>[1802]</v>
          </cell>
          <cell r="N3803" t="str">
            <v>Pending Start</v>
          </cell>
          <cell r="O3803" t="str">
            <v>No</v>
          </cell>
          <cell r="Q3803" t="str">
            <v>Blocked</v>
          </cell>
          <cell r="R3803">
            <v>44942.44326388889</v>
          </cell>
          <cell r="U3803" t="str">
            <v>Sherry Nazih Admin Direct</v>
          </cell>
        </row>
        <row r="3804">
          <cell r="I3804" t="str">
            <v>EDI</v>
          </cell>
          <cell r="L3804">
            <v>1851</v>
          </cell>
          <cell r="N3804" t="str">
            <v>Production</v>
          </cell>
          <cell r="O3804" t="str">
            <v>No</v>
          </cell>
          <cell r="Q3804" t="str">
            <v>Cancelled</v>
          </cell>
          <cell r="R3804">
            <v>44939.663993055547</v>
          </cell>
          <cell r="S3804" t="str">
            <v>Hazem Rostom</v>
          </cell>
          <cell r="T3804">
            <v>45060</v>
          </cell>
          <cell r="U3804" t="str">
            <v>Miranda Naeem</v>
          </cell>
          <cell r="V3804">
            <v>44980</v>
          </cell>
          <cell r="W3804">
            <v>45225</v>
          </cell>
          <cell r="Y3804">
            <v>44945</v>
          </cell>
          <cell r="AC3804">
            <v>45223</v>
          </cell>
        </row>
        <row r="3805">
          <cell r="I3805" t="str">
            <v>EDI</v>
          </cell>
          <cell r="L3805">
            <v>1849</v>
          </cell>
          <cell r="N3805" t="str">
            <v>Production</v>
          </cell>
          <cell r="O3805" t="str">
            <v>No</v>
          </cell>
          <cell r="Q3805" t="str">
            <v>Cancelled</v>
          </cell>
          <cell r="R3805">
            <v>44938.903240740743</v>
          </cell>
          <cell r="S3805" t="str">
            <v>Salma Yamani</v>
          </cell>
          <cell r="T3805">
            <v>44958</v>
          </cell>
          <cell r="U3805" t="str">
            <v>Vicky Wright</v>
          </cell>
          <cell r="V3805">
            <v>44994</v>
          </cell>
          <cell r="W3805">
            <v>45028</v>
          </cell>
          <cell r="Y3805">
            <v>44945</v>
          </cell>
          <cell r="AC3805">
            <v>45026</v>
          </cell>
        </row>
        <row r="3806">
          <cell r="I3806" t="str">
            <v>EDI</v>
          </cell>
          <cell r="L3806">
            <v>1850</v>
          </cell>
          <cell r="N3806" t="str">
            <v>Production</v>
          </cell>
          <cell r="O3806" t="str">
            <v>No</v>
          </cell>
          <cell r="Q3806" t="str">
            <v>Live</v>
          </cell>
          <cell r="R3806">
            <v>44938.754548611112</v>
          </cell>
          <cell r="S3806" t="str">
            <v>Fady Maged</v>
          </cell>
          <cell r="T3806">
            <v>44958</v>
          </cell>
          <cell r="U3806" t="str">
            <v>Vicky Wright</v>
          </cell>
          <cell r="V3806">
            <v>25569</v>
          </cell>
          <cell r="W3806">
            <v>45050</v>
          </cell>
          <cell r="Y3806">
            <v>44956</v>
          </cell>
          <cell r="AC3806">
            <v>45043</v>
          </cell>
        </row>
        <row r="3807">
          <cell r="I3807" t="str">
            <v>EDI</v>
          </cell>
          <cell r="L3807">
            <v>1861</v>
          </cell>
          <cell r="N3807" t="str">
            <v>Mapping</v>
          </cell>
          <cell r="O3807" t="str">
            <v>No</v>
          </cell>
          <cell r="Q3807" t="str">
            <v>Cancelled</v>
          </cell>
          <cell r="R3807">
            <v>44938.735798611109</v>
          </cell>
          <cell r="S3807" t="str">
            <v>Mina George</v>
          </cell>
          <cell r="T3807">
            <v>44957</v>
          </cell>
          <cell r="Y3807">
            <v>44945</v>
          </cell>
        </row>
        <row r="3808">
          <cell r="I3808" t="str">
            <v>EDI</v>
          </cell>
          <cell r="L3808">
            <v>1843</v>
          </cell>
          <cell r="N3808" t="str">
            <v>Production</v>
          </cell>
          <cell r="O3808" t="str">
            <v>No</v>
          </cell>
          <cell r="Q3808" t="str">
            <v>Live</v>
          </cell>
          <cell r="R3808">
            <v>44938.732708333337</v>
          </cell>
          <cell r="S3808" t="str">
            <v>Aya Fathy</v>
          </cell>
          <cell r="T3808">
            <v>44957</v>
          </cell>
          <cell r="U3808" t="str">
            <v>Vicky Wright</v>
          </cell>
          <cell r="V3808">
            <v>25569</v>
          </cell>
          <cell r="W3808">
            <v>45021</v>
          </cell>
          <cell r="Y3808">
            <v>44945</v>
          </cell>
          <cell r="AC3808">
            <v>45018</v>
          </cell>
        </row>
        <row r="3809">
          <cell r="I3809" t="str">
            <v>EDI</v>
          </cell>
          <cell r="N3809" t="str">
            <v>Requirements Gathering</v>
          </cell>
          <cell r="O3809" t="str">
            <v>No</v>
          </cell>
          <cell r="Q3809" t="str">
            <v>Cancelled</v>
          </cell>
          <cell r="R3809">
            <v>44938.695324074077</v>
          </cell>
          <cell r="S3809" t="str">
            <v>Abdulrahman Tarek</v>
          </cell>
          <cell r="T3809">
            <v>44941</v>
          </cell>
        </row>
        <row r="3810">
          <cell r="I3810" t="str">
            <v>EDI</v>
          </cell>
          <cell r="L3810">
            <v>1848</v>
          </cell>
          <cell r="N3810" t="str">
            <v>Production</v>
          </cell>
          <cell r="O3810" t="str">
            <v>No</v>
          </cell>
          <cell r="Q3810" t="str">
            <v>Live</v>
          </cell>
          <cell r="R3810">
            <v>44938.689699074072</v>
          </cell>
          <cell r="S3810" t="str">
            <v>Aya Fathy</v>
          </cell>
          <cell r="T3810">
            <v>44958</v>
          </cell>
          <cell r="U3810" t="str">
            <v>Vicky Wright</v>
          </cell>
          <cell r="V3810">
            <v>44985</v>
          </cell>
          <cell r="W3810">
            <v>45021</v>
          </cell>
          <cell r="Y3810">
            <v>44945</v>
          </cell>
          <cell r="AC3810">
            <v>45018</v>
          </cell>
        </row>
        <row r="3811">
          <cell r="I3811" t="str">
            <v>EDI</v>
          </cell>
          <cell r="L3811">
            <v>1871</v>
          </cell>
          <cell r="N3811" t="str">
            <v>Production</v>
          </cell>
          <cell r="O3811" t="str">
            <v>No</v>
          </cell>
          <cell r="Q3811" t="str">
            <v>Live</v>
          </cell>
          <cell r="R3811">
            <v>44938.672939814824</v>
          </cell>
          <cell r="S3811" t="str">
            <v>Andrew Ramy</v>
          </cell>
          <cell r="T3811">
            <v>44957</v>
          </cell>
          <cell r="U3811" t="str">
            <v>Denise Stubenvoll</v>
          </cell>
          <cell r="V3811">
            <v>44980</v>
          </cell>
          <cell r="W3811">
            <v>45062</v>
          </cell>
          <cell r="Y3811">
            <v>44955</v>
          </cell>
          <cell r="AC3811">
            <v>45061</v>
          </cell>
        </row>
        <row r="3812">
          <cell r="I3812" t="str">
            <v>EDI</v>
          </cell>
          <cell r="L3812">
            <v>1926</v>
          </cell>
          <cell r="N3812" t="str">
            <v>Production</v>
          </cell>
          <cell r="O3812" t="str">
            <v>No</v>
          </cell>
          <cell r="Q3812" t="str">
            <v>Cancelled</v>
          </cell>
          <cell r="R3812">
            <v>44937.70584490741</v>
          </cell>
          <cell r="S3812" t="str">
            <v>Alaa Yehia</v>
          </cell>
          <cell r="T3812">
            <v>44983</v>
          </cell>
          <cell r="U3812" t="str">
            <v>Miranda Naeem</v>
          </cell>
          <cell r="W3812">
            <v>45154</v>
          </cell>
          <cell r="Y3812">
            <v>44980</v>
          </cell>
          <cell r="AC3812">
            <v>45154</v>
          </cell>
        </row>
        <row r="3813">
          <cell r="I3813" t="str">
            <v>EDI</v>
          </cell>
          <cell r="L3813">
            <v>1847</v>
          </cell>
          <cell r="N3813" t="str">
            <v>Production</v>
          </cell>
          <cell r="O3813" t="str">
            <v>No</v>
          </cell>
          <cell r="Q3813" t="str">
            <v>Live</v>
          </cell>
          <cell r="R3813">
            <v>44937.70584490741</v>
          </cell>
          <cell r="S3813" t="str">
            <v>Fady Maged</v>
          </cell>
          <cell r="T3813">
            <v>44957</v>
          </cell>
          <cell r="U3813" t="str">
            <v>Miranda Naeem</v>
          </cell>
          <cell r="W3813">
            <v>44985</v>
          </cell>
          <cell r="Y3813">
            <v>44945</v>
          </cell>
          <cell r="AC3813">
            <v>44980</v>
          </cell>
        </row>
        <row r="3814">
          <cell r="I3814" t="str">
            <v>EDI</v>
          </cell>
          <cell r="L3814">
            <v>2067</v>
          </cell>
          <cell r="N3814" t="str">
            <v>Production</v>
          </cell>
          <cell r="O3814" t="str">
            <v>No</v>
          </cell>
          <cell r="Q3814" t="str">
            <v>Live</v>
          </cell>
          <cell r="R3814">
            <v>44937.70584490741</v>
          </cell>
          <cell r="S3814" t="str">
            <v>Mina Kamil</v>
          </cell>
          <cell r="T3814">
            <v>45049</v>
          </cell>
          <cell r="U3814" t="str">
            <v>Miranda Naeem</v>
          </cell>
          <cell r="V3814">
            <v>45077</v>
          </cell>
          <cell r="W3814">
            <v>45261</v>
          </cell>
          <cell r="Y3814">
            <v>45048</v>
          </cell>
          <cell r="AC3814">
            <v>45258</v>
          </cell>
        </row>
        <row r="3815">
          <cell r="I3815" t="str">
            <v>EDI</v>
          </cell>
          <cell r="L3815">
            <v>1846</v>
          </cell>
          <cell r="N3815" t="str">
            <v>Production</v>
          </cell>
          <cell r="O3815" t="str">
            <v>No</v>
          </cell>
          <cell r="Q3815" t="str">
            <v>Cancelled</v>
          </cell>
          <cell r="R3815">
            <v>44937.649351851847</v>
          </cell>
          <cell r="S3815" t="str">
            <v>Mirna Azmy</v>
          </cell>
          <cell r="T3815">
            <v>44957</v>
          </cell>
          <cell r="U3815" t="str">
            <v>Miranda Naeem</v>
          </cell>
          <cell r="V3815">
            <v>44965</v>
          </cell>
          <cell r="W3815">
            <v>44987</v>
          </cell>
          <cell r="Y3815">
            <v>44948</v>
          </cell>
          <cell r="AC3815">
            <v>44987</v>
          </cell>
        </row>
        <row r="3816">
          <cell r="I3816" t="str">
            <v>EDI</v>
          </cell>
          <cell r="L3816">
            <v>1821</v>
          </cell>
          <cell r="N3816" t="str">
            <v>Production</v>
          </cell>
          <cell r="O3816" t="str">
            <v>No</v>
          </cell>
          <cell r="Q3816" t="str">
            <v>Live</v>
          </cell>
          <cell r="R3816">
            <v>44936.884074074071</v>
          </cell>
          <cell r="S3816" t="str">
            <v>Mina Adel</v>
          </cell>
          <cell r="T3816">
            <v>44943</v>
          </cell>
          <cell r="U3816" t="str">
            <v>Kristin Zambrano</v>
          </cell>
          <cell r="V3816">
            <v>44974</v>
          </cell>
          <cell r="W3816">
            <v>45019</v>
          </cell>
          <cell r="Y3816">
            <v>44938</v>
          </cell>
          <cell r="AC3816">
            <v>45013</v>
          </cell>
        </row>
        <row r="3817">
          <cell r="I3817" t="str">
            <v>EDI</v>
          </cell>
          <cell r="L3817">
            <v>1844</v>
          </cell>
          <cell r="N3817" t="str">
            <v>Production</v>
          </cell>
          <cell r="O3817" t="str">
            <v>No</v>
          </cell>
          <cell r="Q3817" t="str">
            <v>Live</v>
          </cell>
          <cell r="R3817">
            <v>44936.82372685185</v>
          </cell>
          <cell r="S3817" t="str">
            <v>Salma Yamani</v>
          </cell>
          <cell r="T3817">
            <v>44957</v>
          </cell>
          <cell r="U3817" t="str">
            <v>Vicky Wright</v>
          </cell>
          <cell r="V3817">
            <v>45042</v>
          </cell>
          <cell r="W3817">
            <v>45134</v>
          </cell>
          <cell r="Y3817">
            <v>44950</v>
          </cell>
          <cell r="AC3817">
            <v>45126</v>
          </cell>
        </row>
        <row r="3818">
          <cell r="I3818" t="str">
            <v>EDI</v>
          </cell>
          <cell r="L3818">
            <v>1827</v>
          </cell>
          <cell r="N3818" t="str">
            <v>Production</v>
          </cell>
          <cell r="O3818" t="str">
            <v>No</v>
          </cell>
          <cell r="Q3818" t="str">
            <v>Cancelled</v>
          </cell>
          <cell r="R3818">
            <v>44936.82371527778</v>
          </cell>
          <cell r="S3818" t="str">
            <v>Omnia Abdelaziz</v>
          </cell>
          <cell r="T3818">
            <v>44950</v>
          </cell>
          <cell r="U3818" t="str">
            <v>Vicky Wright</v>
          </cell>
          <cell r="V3818">
            <v>44990</v>
          </cell>
          <cell r="W3818">
            <v>45071</v>
          </cell>
          <cell r="Y3818">
            <v>44941</v>
          </cell>
          <cell r="AC3818">
            <v>45068</v>
          </cell>
        </row>
        <row r="3819">
          <cell r="I3819" t="str">
            <v>EDI</v>
          </cell>
          <cell r="L3819">
            <v>1874</v>
          </cell>
          <cell r="N3819" t="str">
            <v>Production</v>
          </cell>
          <cell r="O3819" t="str">
            <v>No</v>
          </cell>
          <cell r="Q3819" t="str">
            <v>Cancelled</v>
          </cell>
          <cell r="R3819">
            <v>44936.82371527778</v>
          </cell>
          <cell r="S3819" t="str">
            <v>Ahmed Sami</v>
          </cell>
          <cell r="T3819">
            <v>44962</v>
          </cell>
          <cell r="U3819" t="str">
            <v>Miranda Naeem</v>
          </cell>
          <cell r="V3819">
            <v>45041</v>
          </cell>
          <cell r="W3819">
            <v>45062</v>
          </cell>
          <cell r="Y3819">
            <v>44962</v>
          </cell>
          <cell r="AC3819">
            <v>45052</v>
          </cell>
        </row>
        <row r="3820">
          <cell r="I3820" t="str">
            <v>EDI</v>
          </cell>
          <cell r="L3820">
            <v>1908</v>
          </cell>
          <cell r="N3820" t="str">
            <v>Production</v>
          </cell>
          <cell r="O3820" t="str">
            <v>No</v>
          </cell>
          <cell r="Q3820" t="str">
            <v>Live</v>
          </cell>
          <cell r="R3820">
            <v>44936.708425925928</v>
          </cell>
          <cell r="S3820" t="str">
            <v>Omnia Abdelaziz</v>
          </cell>
          <cell r="T3820">
            <v>44976</v>
          </cell>
          <cell r="U3820" t="str">
            <v>Miranda Naeem</v>
          </cell>
          <cell r="V3820">
            <v>45026</v>
          </cell>
          <cell r="W3820">
            <v>45048</v>
          </cell>
          <cell r="Y3820">
            <v>44974</v>
          </cell>
          <cell r="AC3820">
            <v>45042</v>
          </cell>
        </row>
        <row r="3821">
          <cell r="I3821" t="str">
            <v>EDI</v>
          </cell>
          <cell r="L3821">
            <v>1857</v>
          </cell>
          <cell r="N3821" t="str">
            <v>Production</v>
          </cell>
          <cell r="O3821" t="str">
            <v>No</v>
          </cell>
          <cell r="Q3821" t="str">
            <v>Live</v>
          </cell>
          <cell r="R3821">
            <v>44936.708414351851</v>
          </cell>
          <cell r="S3821" t="str">
            <v>Andrew Ramy</v>
          </cell>
          <cell r="T3821">
            <v>44956</v>
          </cell>
          <cell r="U3821" t="str">
            <v>Miranda Naeem</v>
          </cell>
          <cell r="V3821">
            <v>44986</v>
          </cell>
          <cell r="W3821">
            <v>45008</v>
          </cell>
          <cell r="Y3821">
            <v>44950</v>
          </cell>
          <cell r="AC3821">
            <v>45005</v>
          </cell>
        </row>
        <row r="3822">
          <cell r="I3822" t="str">
            <v>EDI</v>
          </cell>
          <cell r="L3822">
            <v>1834</v>
          </cell>
          <cell r="N3822" t="str">
            <v>Production</v>
          </cell>
          <cell r="O3822" t="str">
            <v>No</v>
          </cell>
          <cell r="Q3822" t="str">
            <v>Live</v>
          </cell>
          <cell r="R3822">
            <v>44935.743761574071</v>
          </cell>
          <cell r="S3822" t="str">
            <v>Mina George</v>
          </cell>
          <cell r="T3822">
            <v>44950</v>
          </cell>
          <cell r="U3822" t="str">
            <v>Robbie Schappell</v>
          </cell>
          <cell r="V3822">
            <v>45035</v>
          </cell>
          <cell r="W3822">
            <v>45049</v>
          </cell>
          <cell r="Y3822">
            <v>44941</v>
          </cell>
          <cell r="AC3822">
            <v>45048</v>
          </cell>
        </row>
        <row r="3823">
          <cell r="I3823" t="str">
            <v>EDI</v>
          </cell>
          <cell r="L3823">
            <v>1814</v>
          </cell>
          <cell r="N3823" t="str">
            <v>Production</v>
          </cell>
          <cell r="O3823" t="str">
            <v>No</v>
          </cell>
          <cell r="Q3823" t="str">
            <v>Live</v>
          </cell>
          <cell r="R3823">
            <v>44935.706342592603</v>
          </cell>
          <cell r="S3823" t="str">
            <v>Mina George</v>
          </cell>
          <cell r="T3823">
            <v>44943</v>
          </cell>
          <cell r="U3823" t="str">
            <v>Vicky Wright</v>
          </cell>
          <cell r="V3823">
            <v>45127</v>
          </cell>
          <cell r="W3823">
            <v>45225</v>
          </cell>
          <cell r="Y3823">
            <v>44936</v>
          </cell>
          <cell r="AC3823">
            <v>45223</v>
          </cell>
        </row>
        <row r="3824">
          <cell r="I3824" t="str">
            <v>EDI</v>
          </cell>
          <cell r="L3824">
            <v>1831</v>
          </cell>
          <cell r="N3824" t="str">
            <v>Production</v>
          </cell>
          <cell r="O3824" t="str">
            <v>No</v>
          </cell>
          <cell r="Q3824" t="str">
            <v>Cancelled</v>
          </cell>
          <cell r="R3824">
            <v>44935.706342592603</v>
          </cell>
          <cell r="S3824" t="str">
            <v>Mina Adel</v>
          </cell>
          <cell r="T3824">
            <v>44951</v>
          </cell>
          <cell r="U3824" t="str">
            <v>Vicky Wright</v>
          </cell>
          <cell r="V3824">
            <v>45063</v>
          </cell>
          <cell r="W3824">
            <v>45274</v>
          </cell>
          <cell r="Y3824">
            <v>44951</v>
          </cell>
          <cell r="AC3824">
            <v>45271</v>
          </cell>
        </row>
        <row r="3825">
          <cell r="I3825" t="str">
            <v>EDI</v>
          </cell>
          <cell r="L3825">
            <v>1818</v>
          </cell>
          <cell r="N3825" t="str">
            <v>Testing</v>
          </cell>
          <cell r="O3825" t="str">
            <v>No</v>
          </cell>
          <cell r="Q3825" t="str">
            <v>Cancelled</v>
          </cell>
          <cell r="R3825">
            <v>44935.706331018519</v>
          </cell>
          <cell r="S3825" t="str">
            <v>Andrew Ramy</v>
          </cell>
          <cell r="T3825">
            <v>44943</v>
          </cell>
          <cell r="U3825" t="str">
            <v>Vicky Wright</v>
          </cell>
          <cell r="V3825">
            <v>45221</v>
          </cell>
          <cell r="Y3825">
            <v>44937</v>
          </cell>
        </row>
        <row r="3826">
          <cell r="I3826" t="str">
            <v>EDI</v>
          </cell>
          <cell r="L3826">
            <v>1916</v>
          </cell>
          <cell r="N3826" t="str">
            <v>Production</v>
          </cell>
          <cell r="O3826" t="str">
            <v>No</v>
          </cell>
          <cell r="Q3826" t="str">
            <v>Live</v>
          </cell>
          <cell r="R3826">
            <v>44935.706331018519</v>
          </cell>
          <cell r="S3826" t="str">
            <v>Fady Maged</v>
          </cell>
          <cell r="T3826">
            <v>44980</v>
          </cell>
          <cell r="U3826" t="str">
            <v>Vicky Wright</v>
          </cell>
          <cell r="V3826">
            <v>45001</v>
          </cell>
          <cell r="W3826">
            <v>25569</v>
          </cell>
          <cell r="Y3826">
            <v>44980</v>
          </cell>
          <cell r="AC3826">
            <v>45134</v>
          </cell>
        </row>
        <row r="3827">
          <cell r="I3827" t="str">
            <v>EDI</v>
          </cell>
          <cell r="L3827">
            <v>1807</v>
          </cell>
          <cell r="N3827" t="str">
            <v>Production</v>
          </cell>
          <cell r="O3827" t="str">
            <v>No</v>
          </cell>
          <cell r="Q3827" t="str">
            <v>Live</v>
          </cell>
          <cell r="R3827">
            <v>44935.706331018519</v>
          </cell>
          <cell r="S3827" t="str">
            <v>Aya Fathy</v>
          </cell>
          <cell r="T3827">
            <v>44943</v>
          </cell>
          <cell r="U3827" t="str">
            <v>Vicky Wright</v>
          </cell>
          <cell r="V3827">
            <v>44950</v>
          </cell>
          <cell r="W3827">
            <v>45134</v>
          </cell>
          <cell r="Y3827">
            <v>44937</v>
          </cell>
          <cell r="AC3827">
            <v>45131</v>
          </cell>
        </row>
        <row r="3828">
          <cell r="I3828" t="str">
            <v>EDI</v>
          </cell>
          <cell r="L3828">
            <v>1822</v>
          </cell>
          <cell r="N3828" t="str">
            <v>Production</v>
          </cell>
          <cell r="O3828" t="str">
            <v>No</v>
          </cell>
          <cell r="Q3828" t="str">
            <v>Live</v>
          </cell>
          <cell r="R3828">
            <v>44935.706331018519</v>
          </cell>
          <cell r="S3828" t="str">
            <v>Joseph Atef</v>
          </cell>
          <cell r="T3828">
            <v>44943</v>
          </cell>
          <cell r="U3828" t="str">
            <v>Vicky Wright</v>
          </cell>
          <cell r="V3828">
            <v>44955</v>
          </cell>
          <cell r="W3828">
            <v>44979</v>
          </cell>
          <cell r="Y3828">
            <v>44937</v>
          </cell>
          <cell r="AC3828">
            <v>44978</v>
          </cell>
        </row>
        <row r="3829">
          <cell r="I3829" t="str">
            <v>EDI</v>
          </cell>
          <cell r="L3829">
            <v>1842</v>
          </cell>
          <cell r="N3829" t="str">
            <v>Production</v>
          </cell>
          <cell r="O3829" t="str">
            <v>No</v>
          </cell>
          <cell r="Q3829" t="str">
            <v>Live</v>
          </cell>
          <cell r="R3829">
            <v>44935.706319444442</v>
          </cell>
          <cell r="S3829" t="str">
            <v>Omnia Abdelaziz</v>
          </cell>
          <cell r="T3829">
            <v>44955</v>
          </cell>
          <cell r="U3829" t="str">
            <v>Vicky Wright</v>
          </cell>
          <cell r="V3829">
            <v>45141</v>
          </cell>
          <cell r="W3829">
            <v>45593</v>
          </cell>
          <cell r="Y3829">
            <v>44950</v>
          </cell>
          <cell r="AC3829">
            <v>45590</v>
          </cell>
        </row>
        <row r="3830">
          <cell r="I3830" t="str">
            <v>EDI</v>
          </cell>
          <cell r="L3830">
            <v>1845</v>
          </cell>
          <cell r="N3830" t="str">
            <v>Production</v>
          </cell>
          <cell r="O3830" t="str">
            <v>No</v>
          </cell>
          <cell r="Q3830" t="str">
            <v>Cancelled</v>
          </cell>
          <cell r="R3830">
            <v>44935.651759259257</v>
          </cell>
          <cell r="S3830" t="str">
            <v>Joseph Atef</v>
          </cell>
          <cell r="T3830">
            <v>44950</v>
          </cell>
          <cell r="U3830" t="str">
            <v>Elizabeth Kahle</v>
          </cell>
          <cell r="V3830">
            <v>45007</v>
          </cell>
          <cell r="W3830">
            <v>45020</v>
          </cell>
          <cell r="Y3830">
            <v>44936</v>
          </cell>
          <cell r="AC3830">
            <v>45020</v>
          </cell>
        </row>
        <row r="3831">
          <cell r="I3831" t="str">
            <v>EDI</v>
          </cell>
          <cell r="L3831">
            <v>1837</v>
          </cell>
          <cell r="N3831" t="str">
            <v>Production</v>
          </cell>
          <cell r="O3831" t="str">
            <v>No</v>
          </cell>
          <cell r="Q3831" t="str">
            <v>Cancelled</v>
          </cell>
          <cell r="R3831">
            <v>44935.634421296287</v>
          </cell>
          <cell r="S3831" t="str">
            <v>Andrew Ramy</v>
          </cell>
          <cell r="T3831">
            <v>44950</v>
          </cell>
          <cell r="U3831" t="str">
            <v>Robbie Schappell</v>
          </cell>
          <cell r="V3831">
            <v>44988</v>
          </cell>
          <cell r="W3831">
            <v>45225</v>
          </cell>
          <cell r="Y3831">
            <v>44936</v>
          </cell>
          <cell r="AC3831">
            <v>45225</v>
          </cell>
        </row>
        <row r="3832">
          <cell r="I3832" t="str">
            <v>EDI</v>
          </cell>
          <cell r="N3832" t="str">
            <v>Pending Start</v>
          </cell>
          <cell r="O3832" t="str">
            <v>No</v>
          </cell>
          <cell r="Q3832" t="str">
            <v>Cancelled</v>
          </cell>
          <cell r="R3832">
            <v>44932.90488425926</v>
          </cell>
        </row>
        <row r="3833">
          <cell r="I3833" t="str">
            <v>EDI</v>
          </cell>
          <cell r="N3833" t="str">
            <v>Pending Start</v>
          </cell>
          <cell r="O3833" t="str">
            <v>No</v>
          </cell>
          <cell r="Q3833" t="str">
            <v>Cancelled</v>
          </cell>
          <cell r="R3833">
            <v>44932.90488425926</v>
          </cell>
        </row>
        <row r="3834">
          <cell r="I3834" t="str">
            <v>EDI</v>
          </cell>
          <cell r="N3834" t="str">
            <v>Pending Start</v>
          </cell>
          <cell r="O3834" t="str">
            <v>No</v>
          </cell>
          <cell r="Q3834" t="str">
            <v>Cancelled</v>
          </cell>
          <cell r="R3834">
            <v>44932.904872685183</v>
          </cell>
        </row>
        <row r="3835">
          <cell r="I3835" t="str">
            <v>EDI</v>
          </cell>
          <cell r="L3835">
            <v>1808</v>
          </cell>
          <cell r="N3835" t="str">
            <v>Production</v>
          </cell>
          <cell r="O3835" t="str">
            <v>No</v>
          </cell>
          <cell r="Q3835" t="str">
            <v>Cancelled</v>
          </cell>
          <cell r="R3835">
            <v>44932.790150462963</v>
          </cell>
          <cell r="S3835" t="str">
            <v>Fady Maged</v>
          </cell>
          <cell r="T3835">
            <v>44943</v>
          </cell>
          <cell r="U3835" t="str">
            <v>Melonie Skeen</v>
          </cell>
          <cell r="W3835">
            <v>45078</v>
          </cell>
          <cell r="Y3835">
            <v>44941</v>
          </cell>
          <cell r="AC3835">
            <v>45078</v>
          </cell>
        </row>
        <row r="3836">
          <cell r="I3836" t="str">
            <v>EDI</v>
          </cell>
          <cell r="L3836">
            <v>1812</v>
          </cell>
          <cell r="N3836" t="str">
            <v>Production</v>
          </cell>
          <cell r="O3836" t="str">
            <v>No</v>
          </cell>
          <cell r="Q3836" t="str">
            <v>Live</v>
          </cell>
          <cell r="R3836">
            <v>44932.78665509259</v>
          </cell>
          <cell r="S3836" t="str">
            <v>Fady Maged</v>
          </cell>
          <cell r="T3836">
            <v>44944</v>
          </cell>
          <cell r="U3836" t="str">
            <v>Miranda Naeem</v>
          </cell>
          <cell r="V3836">
            <v>44951</v>
          </cell>
          <cell r="W3836">
            <v>45167</v>
          </cell>
          <cell r="Y3836">
            <v>44941</v>
          </cell>
          <cell r="AC3836">
            <v>45165</v>
          </cell>
        </row>
        <row r="3837">
          <cell r="I3837" t="str">
            <v>EDI</v>
          </cell>
          <cell r="L3837">
            <v>1823</v>
          </cell>
          <cell r="N3837" t="str">
            <v>Production</v>
          </cell>
          <cell r="O3837" t="str">
            <v>No</v>
          </cell>
          <cell r="Q3837" t="str">
            <v>Cancelled</v>
          </cell>
          <cell r="R3837">
            <v>44931.72457175926</v>
          </cell>
          <cell r="S3837" t="str">
            <v>Fady Maged</v>
          </cell>
          <cell r="T3837">
            <v>44948</v>
          </cell>
          <cell r="U3837" t="str">
            <v>Miranda Naeem</v>
          </cell>
          <cell r="V3837">
            <v>44955</v>
          </cell>
          <cell r="W3837">
            <v>44964</v>
          </cell>
          <cell r="Y3837">
            <v>44948</v>
          </cell>
          <cell r="AC3837">
            <v>44962</v>
          </cell>
        </row>
        <row r="3838">
          <cell r="I3838" t="str">
            <v>EDI</v>
          </cell>
          <cell r="L3838">
            <v>1804</v>
          </cell>
          <cell r="N3838" t="str">
            <v>Production</v>
          </cell>
          <cell r="O3838" t="str">
            <v>No</v>
          </cell>
          <cell r="Q3838" t="str">
            <v>Cancelled</v>
          </cell>
          <cell r="R3838">
            <v>44931.72457175926</v>
          </cell>
          <cell r="S3838" t="str">
            <v>Omnia Abdelaziz</v>
          </cell>
          <cell r="T3838">
            <v>44941</v>
          </cell>
          <cell r="U3838" t="str">
            <v>Miranda Naeem</v>
          </cell>
          <cell r="V3838">
            <v>44998</v>
          </cell>
          <cell r="W3838">
            <v>45041</v>
          </cell>
          <cell r="Y3838">
            <v>44937</v>
          </cell>
          <cell r="AC3838">
            <v>45034</v>
          </cell>
        </row>
        <row r="3839">
          <cell r="I3839" t="str">
            <v>EDI</v>
          </cell>
          <cell r="L3839">
            <v>2194</v>
          </cell>
          <cell r="N3839" t="str">
            <v>Testing</v>
          </cell>
          <cell r="O3839" t="str">
            <v>No</v>
          </cell>
          <cell r="Q3839" t="str">
            <v>Cancelled</v>
          </cell>
          <cell r="R3839">
            <v>44931.72457175926</v>
          </cell>
          <cell r="S3839" t="str">
            <v>Andrew Ramy</v>
          </cell>
          <cell r="T3839">
            <v>45111</v>
          </cell>
          <cell r="U3839" t="str">
            <v>Miranda Naeem</v>
          </cell>
          <cell r="V3839">
            <v>45142</v>
          </cell>
          <cell r="Y3839">
            <v>45110</v>
          </cell>
        </row>
        <row r="3840">
          <cell r="I3840" t="str">
            <v>EDI</v>
          </cell>
          <cell r="L3840">
            <v>1876</v>
          </cell>
          <cell r="N3840" t="str">
            <v>Production</v>
          </cell>
          <cell r="O3840" t="str">
            <v>No</v>
          </cell>
          <cell r="Q3840" t="str">
            <v>Live</v>
          </cell>
          <cell r="R3840">
            <v>44931.614131944443</v>
          </cell>
          <cell r="S3840" t="str">
            <v>Joseph Atef</v>
          </cell>
          <cell r="T3840">
            <v>44964</v>
          </cell>
          <cell r="U3840" t="str">
            <v>Miranda Naeem</v>
          </cell>
          <cell r="V3840">
            <v>44992</v>
          </cell>
          <cell r="W3840">
            <v>45014</v>
          </cell>
          <cell r="Y3840">
            <v>44962</v>
          </cell>
          <cell r="AC3840">
            <v>45013</v>
          </cell>
        </row>
        <row r="3841">
          <cell r="I3841" t="str">
            <v>EDI</v>
          </cell>
          <cell r="L3841">
            <v>1810</v>
          </cell>
          <cell r="N3841" t="str">
            <v>Production</v>
          </cell>
          <cell r="O3841" t="str">
            <v>No</v>
          </cell>
          <cell r="Q3841" t="str">
            <v>Cancelled</v>
          </cell>
          <cell r="R3841">
            <v>44930.915798611109</v>
          </cell>
          <cell r="S3841" t="str">
            <v>Fady Maged</v>
          </cell>
          <cell r="T3841">
            <v>44944</v>
          </cell>
          <cell r="U3841" t="str">
            <v>Denise Stubenvoll</v>
          </cell>
          <cell r="V3841">
            <v>44993</v>
          </cell>
          <cell r="W3841">
            <v>45028</v>
          </cell>
          <cell r="Y3841">
            <v>44943</v>
          </cell>
          <cell r="AC3841">
            <v>45025</v>
          </cell>
        </row>
        <row r="3842">
          <cell r="I3842" t="str">
            <v>EDI</v>
          </cell>
          <cell r="L3842">
            <v>1841</v>
          </cell>
          <cell r="N3842" t="str">
            <v>Production</v>
          </cell>
          <cell r="O3842" t="str">
            <v>No</v>
          </cell>
          <cell r="Q3842" t="str">
            <v>Cancelled</v>
          </cell>
          <cell r="R3842">
            <v>44930.915798611109</v>
          </cell>
          <cell r="S3842" t="str">
            <v>Aya Fathy</v>
          </cell>
          <cell r="T3842">
            <v>44956</v>
          </cell>
          <cell r="U3842" t="str">
            <v>Denise Stubenvoll</v>
          </cell>
          <cell r="V3842">
            <v>44979</v>
          </cell>
          <cell r="W3842">
            <v>25569</v>
          </cell>
          <cell r="Y3842">
            <v>44955</v>
          </cell>
          <cell r="AC3842">
            <v>45042</v>
          </cell>
        </row>
        <row r="3843">
          <cell r="I3843" t="str">
            <v>EDI</v>
          </cell>
          <cell r="L3843">
            <v>1870</v>
          </cell>
          <cell r="N3843" t="str">
            <v>Production</v>
          </cell>
          <cell r="O3843" t="str">
            <v>No</v>
          </cell>
          <cell r="Q3843" t="str">
            <v>Cancelled</v>
          </cell>
          <cell r="R3843">
            <v>44930.873784722222</v>
          </cell>
          <cell r="S3843" t="str">
            <v>Joseph Atef</v>
          </cell>
          <cell r="T3843">
            <v>44957</v>
          </cell>
          <cell r="U3843" t="str">
            <v>Tammy Davies</v>
          </cell>
          <cell r="V3843">
            <v>45083</v>
          </cell>
          <cell r="W3843">
            <v>45134</v>
          </cell>
          <cell r="Y3843">
            <v>44956</v>
          </cell>
          <cell r="AC3843">
            <v>45132</v>
          </cell>
        </row>
        <row r="3844">
          <cell r="I3844" t="str">
            <v>EDI</v>
          </cell>
          <cell r="L3844">
            <v>1781</v>
          </cell>
          <cell r="N3844" t="str">
            <v>Production</v>
          </cell>
          <cell r="O3844" t="str">
            <v>No</v>
          </cell>
          <cell r="Q3844" t="str">
            <v>Cancelled</v>
          </cell>
          <cell r="R3844">
            <v>44930.655810185177</v>
          </cell>
          <cell r="S3844" t="str">
            <v>Mohamed Abdelhamed</v>
          </cell>
          <cell r="T3844">
            <v>44935</v>
          </cell>
          <cell r="U3844" t="str">
            <v>Shanika Robinson</v>
          </cell>
          <cell r="W3844">
            <v>45090</v>
          </cell>
          <cell r="AC3844">
            <v>45089</v>
          </cell>
        </row>
        <row r="3845">
          <cell r="I3845" t="str">
            <v>EDI</v>
          </cell>
          <cell r="L3845">
            <v>1777</v>
          </cell>
          <cell r="N3845" t="str">
            <v>Production</v>
          </cell>
          <cell r="O3845" t="str">
            <v>No</v>
          </cell>
          <cell r="Q3845" t="str">
            <v>Cancelled</v>
          </cell>
          <cell r="R3845">
            <v>44930.536041666674</v>
          </cell>
          <cell r="S3845" t="str">
            <v>Salma Yamani</v>
          </cell>
          <cell r="T3845">
            <v>44930</v>
          </cell>
          <cell r="U3845" t="str">
            <v>Melodie Coles</v>
          </cell>
          <cell r="V3845">
            <v>44936</v>
          </cell>
          <cell r="W3845">
            <v>44947</v>
          </cell>
          <cell r="AC3845">
            <v>44942</v>
          </cell>
        </row>
        <row r="3846">
          <cell r="I3846" t="str">
            <v>EDI</v>
          </cell>
          <cell r="L3846">
            <v>1825</v>
          </cell>
          <cell r="N3846" t="str">
            <v>Production</v>
          </cell>
          <cell r="O3846" t="str">
            <v>No</v>
          </cell>
          <cell r="Q3846" t="str">
            <v>Live</v>
          </cell>
          <cell r="R3846">
            <v>44929.891655092593</v>
          </cell>
          <cell r="S3846" t="str">
            <v>Ahmed Sami</v>
          </cell>
          <cell r="T3846">
            <v>45060</v>
          </cell>
          <cell r="U3846" t="str">
            <v>Miranda Naeem</v>
          </cell>
          <cell r="V3846">
            <v>44966</v>
          </cell>
          <cell r="W3846">
            <v>45167</v>
          </cell>
          <cell r="Y3846">
            <v>44948</v>
          </cell>
          <cell r="AC3846">
            <v>45161</v>
          </cell>
        </row>
        <row r="3847">
          <cell r="I3847" t="str">
            <v>EDI</v>
          </cell>
          <cell r="L3847">
            <v>2287</v>
          </cell>
          <cell r="N3847" t="str">
            <v>Production</v>
          </cell>
          <cell r="O3847" t="str">
            <v>No</v>
          </cell>
          <cell r="Q3847" t="str">
            <v>Live</v>
          </cell>
          <cell r="R3847">
            <v>44929.891643518517</v>
          </cell>
          <cell r="S3847" t="str">
            <v>Andrew Ramy</v>
          </cell>
          <cell r="T3847">
            <v>45138</v>
          </cell>
          <cell r="U3847" t="str">
            <v>Miranda Naeem</v>
          </cell>
          <cell r="V3847">
            <v>45154</v>
          </cell>
          <cell r="W3847">
            <v>45266</v>
          </cell>
          <cell r="Y3847">
            <v>45134</v>
          </cell>
          <cell r="AC3847">
            <v>45266</v>
          </cell>
        </row>
        <row r="3848">
          <cell r="I3848" t="str">
            <v>EDI</v>
          </cell>
          <cell r="L3848">
            <v>1938</v>
          </cell>
          <cell r="N3848" t="str">
            <v>Production</v>
          </cell>
          <cell r="O3848" t="str">
            <v>No</v>
          </cell>
          <cell r="Q3848" t="str">
            <v>Live</v>
          </cell>
          <cell r="R3848">
            <v>44929.891643518517</v>
          </cell>
          <cell r="S3848" t="str">
            <v>Alaa Yehia</v>
          </cell>
          <cell r="T3848">
            <v>44987</v>
          </cell>
          <cell r="U3848" t="str">
            <v>Miranda Naeem</v>
          </cell>
          <cell r="V3848">
            <v>45015</v>
          </cell>
          <cell r="W3848">
            <v>45135</v>
          </cell>
          <cell r="Y3848">
            <v>44986</v>
          </cell>
          <cell r="AC3848">
            <v>45134</v>
          </cell>
        </row>
        <row r="3849">
          <cell r="I3849" t="str">
            <v>EDI</v>
          </cell>
          <cell r="L3849">
            <v>1803</v>
          </cell>
          <cell r="N3849" t="str">
            <v>Production</v>
          </cell>
          <cell r="O3849" t="str">
            <v>No</v>
          </cell>
          <cell r="Q3849" t="str">
            <v>Cancelled</v>
          </cell>
          <cell r="R3849">
            <v>44929.866828703707</v>
          </cell>
          <cell r="S3849" t="str">
            <v>Andrew Ramy</v>
          </cell>
          <cell r="T3849">
            <v>44941</v>
          </cell>
          <cell r="U3849" t="str">
            <v>Miranda Naeem</v>
          </cell>
          <cell r="V3849">
            <v>44955</v>
          </cell>
          <cell r="W3849">
            <v>25569</v>
          </cell>
          <cell r="Y3849">
            <v>44935</v>
          </cell>
          <cell r="AC3849">
            <v>44966</v>
          </cell>
        </row>
        <row r="3850">
          <cell r="I3850" t="str">
            <v>EDI</v>
          </cell>
          <cell r="L3850">
            <v>1840</v>
          </cell>
          <cell r="N3850" t="str">
            <v>Production</v>
          </cell>
          <cell r="O3850" t="str">
            <v>No</v>
          </cell>
          <cell r="Q3850" t="str">
            <v>Live</v>
          </cell>
          <cell r="R3850">
            <v>44929.849826388891</v>
          </cell>
          <cell r="S3850" t="str">
            <v>Omnia Abdelaziz</v>
          </cell>
          <cell r="T3850">
            <v>45060</v>
          </cell>
          <cell r="U3850" t="str">
            <v>Miranda Naeem</v>
          </cell>
          <cell r="V3850">
            <v>45022</v>
          </cell>
          <cell r="W3850">
            <v>45240</v>
          </cell>
          <cell r="Y3850">
            <v>44951</v>
          </cell>
          <cell r="AC3850">
            <v>45218</v>
          </cell>
        </row>
        <row r="3851">
          <cell r="I3851" t="str">
            <v>EDI</v>
          </cell>
          <cell r="L3851">
            <v>1816</v>
          </cell>
          <cell r="N3851" t="str">
            <v>Production</v>
          </cell>
          <cell r="O3851" t="str">
            <v>No</v>
          </cell>
          <cell r="Q3851" t="str">
            <v>Cancelled</v>
          </cell>
          <cell r="R3851">
            <v>44929.680775462963</v>
          </cell>
          <cell r="S3851" t="str">
            <v>Omnia Abdelaziz</v>
          </cell>
          <cell r="T3851">
            <v>44943</v>
          </cell>
          <cell r="U3851" t="str">
            <v>Miranda Naeem</v>
          </cell>
          <cell r="V3851">
            <v>44984</v>
          </cell>
          <cell r="W3851">
            <v>45006</v>
          </cell>
          <cell r="Y3851">
            <v>44941</v>
          </cell>
          <cell r="AC3851">
            <v>45001</v>
          </cell>
        </row>
        <row r="3852">
          <cell r="I3852" t="str">
            <v>EDI</v>
          </cell>
          <cell r="L3852">
            <v>1826</v>
          </cell>
          <cell r="N3852" t="str">
            <v>Production</v>
          </cell>
          <cell r="O3852" t="str">
            <v>No</v>
          </cell>
          <cell r="Q3852" t="str">
            <v>Cancelled</v>
          </cell>
          <cell r="R3852">
            <v>44929.680775462963</v>
          </cell>
          <cell r="S3852" t="str">
            <v>Aya Fathy</v>
          </cell>
          <cell r="T3852">
            <v>45060</v>
          </cell>
          <cell r="U3852" t="str">
            <v>Miranda Naeem</v>
          </cell>
          <cell r="V3852">
            <v>25569</v>
          </cell>
          <cell r="W3852">
            <v>45223</v>
          </cell>
          <cell r="Y3852">
            <v>44948</v>
          </cell>
          <cell r="AC3852">
            <v>45218</v>
          </cell>
        </row>
        <row r="3853">
          <cell r="I3853" t="str">
            <v>EDI</v>
          </cell>
          <cell r="L3853">
            <v>1768</v>
          </cell>
          <cell r="N3853" t="str">
            <v>Production</v>
          </cell>
          <cell r="O3853" t="str">
            <v>No</v>
          </cell>
          <cell r="Q3853" t="str">
            <v>Live</v>
          </cell>
          <cell r="R3853">
            <v>44924.90283564815</v>
          </cell>
          <cell r="S3853" t="str">
            <v>Mina George</v>
          </cell>
          <cell r="T3853">
            <v>44924</v>
          </cell>
          <cell r="U3853" t="str">
            <v>Vicky Wright</v>
          </cell>
          <cell r="V3853">
            <v>44937</v>
          </cell>
          <cell r="W3853">
            <v>45055</v>
          </cell>
          <cell r="AC3853">
            <v>45049</v>
          </cell>
        </row>
        <row r="3854">
          <cell r="I3854" t="str">
            <v>EDI</v>
          </cell>
          <cell r="L3854">
            <v>1774</v>
          </cell>
          <cell r="N3854" t="str">
            <v>Production</v>
          </cell>
          <cell r="O3854" t="str">
            <v>No</v>
          </cell>
          <cell r="Q3854" t="str">
            <v>Cancelled</v>
          </cell>
          <cell r="R3854">
            <v>44923.837592592587</v>
          </cell>
          <cell r="S3854" t="str">
            <v>Salma Yamani</v>
          </cell>
          <cell r="T3854">
            <v>44929</v>
          </cell>
          <cell r="U3854" t="str">
            <v>Melodie Coles</v>
          </cell>
          <cell r="V3854">
            <v>44936</v>
          </cell>
          <cell r="W3854">
            <v>44947</v>
          </cell>
          <cell r="Y3854">
            <v>44924</v>
          </cell>
          <cell r="AC3854">
            <v>44942</v>
          </cell>
        </row>
        <row r="3855">
          <cell r="I3855" t="str">
            <v>EDI</v>
          </cell>
          <cell r="L3855">
            <v>1805</v>
          </cell>
          <cell r="N3855" t="str">
            <v>Production</v>
          </cell>
          <cell r="O3855" t="str">
            <v>No</v>
          </cell>
          <cell r="Q3855" t="str">
            <v>Cancelled</v>
          </cell>
          <cell r="R3855">
            <v>44923.812685185178</v>
          </cell>
          <cell r="S3855" t="str">
            <v>Ahmed Sami</v>
          </cell>
          <cell r="T3855">
            <v>44941</v>
          </cell>
          <cell r="U3855" t="str">
            <v>Hans De Grouw</v>
          </cell>
          <cell r="V3855">
            <v>44983</v>
          </cell>
          <cell r="W3855">
            <v>45191</v>
          </cell>
          <cell r="Y3855">
            <v>44924</v>
          </cell>
          <cell r="AC3855">
            <v>45188</v>
          </cell>
        </row>
        <row r="3856">
          <cell r="I3856" t="str">
            <v>EDI</v>
          </cell>
          <cell r="L3856">
            <v>1829</v>
          </cell>
          <cell r="N3856" t="str">
            <v>Production</v>
          </cell>
          <cell r="O3856" t="str">
            <v>No</v>
          </cell>
          <cell r="Q3856" t="str">
            <v>Cancelled</v>
          </cell>
          <cell r="R3856">
            <v>44923.718530092592</v>
          </cell>
          <cell r="S3856" t="str">
            <v>Salma Yamani</v>
          </cell>
          <cell r="T3856">
            <v>44950</v>
          </cell>
          <cell r="U3856" t="str">
            <v>Miranda Naeem</v>
          </cell>
          <cell r="V3856">
            <v>44986</v>
          </cell>
          <cell r="W3856">
            <v>44999</v>
          </cell>
          <cell r="Y3856">
            <v>44948</v>
          </cell>
          <cell r="AC3856">
            <v>44994</v>
          </cell>
        </row>
        <row r="3857">
          <cell r="I3857" t="str">
            <v>EDI</v>
          </cell>
          <cell r="L3857">
            <v>1799</v>
          </cell>
          <cell r="N3857" t="str">
            <v>Production</v>
          </cell>
          <cell r="O3857" t="str">
            <v>No</v>
          </cell>
          <cell r="Q3857" t="str">
            <v>Cancelled</v>
          </cell>
          <cell r="R3857">
            <v>44923.707187499997</v>
          </cell>
          <cell r="S3857" t="str">
            <v>Omnia Abdelaziz</v>
          </cell>
          <cell r="T3857">
            <v>44938</v>
          </cell>
          <cell r="U3857" t="str">
            <v>Miranda Naeem</v>
          </cell>
          <cell r="V3857">
            <v>45088</v>
          </cell>
          <cell r="W3857">
            <v>45167</v>
          </cell>
          <cell r="Y3857">
            <v>44930</v>
          </cell>
          <cell r="AC3857">
            <v>45160</v>
          </cell>
        </row>
        <row r="3858">
          <cell r="I3858" t="str">
            <v>EDI</v>
          </cell>
          <cell r="L3858">
            <v>1795</v>
          </cell>
          <cell r="N3858" t="str">
            <v>Production</v>
          </cell>
          <cell r="O3858" t="str">
            <v>No</v>
          </cell>
          <cell r="Q3858" t="str">
            <v>Live</v>
          </cell>
          <cell r="R3858">
            <v>44923.662812499999</v>
          </cell>
          <cell r="S3858" t="str">
            <v>Aya Fathy</v>
          </cell>
          <cell r="T3858">
            <v>44938</v>
          </cell>
          <cell r="U3858" t="str">
            <v>Miranda Naeem</v>
          </cell>
          <cell r="V3858">
            <v>44942</v>
          </cell>
          <cell r="W3858">
            <v>25569</v>
          </cell>
          <cell r="Y3858">
            <v>44928</v>
          </cell>
          <cell r="AC3858">
            <v>44957</v>
          </cell>
        </row>
        <row r="3859">
          <cell r="I3859" t="str">
            <v>EDI</v>
          </cell>
          <cell r="L3859">
            <v>1885</v>
          </cell>
          <cell r="N3859" t="str">
            <v>Production</v>
          </cell>
          <cell r="O3859" t="str">
            <v>No</v>
          </cell>
          <cell r="Q3859" t="str">
            <v>Cancelled</v>
          </cell>
          <cell r="R3859">
            <v>44923.635879629634</v>
          </cell>
          <cell r="S3859" t="str">
            <v>Andrew Ramy</v>
          </cell>
          <cell r="T3859">
            <v>44971</v>
          </cell>
          <cell r="U3859" t="str">
            <v>Miranda Naeem</v>
          </cell>
          <cell r="V3859">
            <v>44992</v>
          </cell>
          <cell r="W3859">
            <v>45123</v>
          </cell>
          <cell r="Y3859">
            <v>44971</v>
          </cell>
          <cell r="AC3859">
            <v>45123</v>
          </cell>
        </row>
        <row r="3860">
          <cell r="I3860" t="str">
            <v>EDI</v>
          </cell>
          <cell r="L3860">
            <v>1794</v>
          </cell>
          <cell r="N3860" t="str">
            <v>Production</v>
          </cell>
          <cell r="O3860" t="str">
            <v>No</v>
          </cell>
          <cell r="Q3860" t="str">
            <v>Cancelled</v>
          </cell>
          <cell r="R3860">
            <v>44923.619328703702</v>
          </cell>
          <cell r="S3860" t="str">
            <v>Mina Adel</v>
          </cell>
          <cell r="T3860">
            <v>44938</v>
          </cell>
          <cell r="U3860" t="str">
            <v>Miranda Naeem</v>
          </cell>
          <cell r="V3860">
            <v>44949</v>
          </cell>
          <cell r="W3860">
            <v>44971</v>
          </cell>
          <cell r="Y3860">
            <v>44924</v>
          </cell>
          <cell r="AC3860">
            <v>44970</v>
          </cell>
        </row>
        <row r="3861">
          <cell r="I3861" t="str">
            <v>EDI</v>
          </cell>
          <cell r="L3861">
            <v>1787</v>
          </cell>
          <cell r="N3861" t="str">
            <v>Production</v>
          </cell>
          <cell r="O3861" t="str">
            <v>No</v>
          </cell>
          <cell r="Q3861" t="str">
            <v>Cancelled</v>
          </cell>
          <cell r="R3861">
            <v>44922.888009259259</v>
          </cell>
          <cell r="S3861" t="str">
            <v>Omar Elmahalwy</v>
          </cell>
          <cell r="T3861">
            <v>44936</v>
          </cell>
          <cell r="U3861" t="str">
            <v>Vicky Wright</v>
          </cell>
          <cell r="V3861">
            <v>44963</v>
          </cell>
          <cell r="W3861">
            <v>25569</v>
          </cell>
          <cell r="Y3861">
            <v>44923</v>
          </cell>
          <cell r="AC3861">
            <v>45007</v>
          </cell>
        </row>
        <row r="3862">
          <cell r="I3862" t="str">
            <v>EDI</v>
          </cell>
          <cell r="L3862">
            <v>1790</v>
          </cell>
          <cell r="N3862" t="str">
            <v>Production</v>
          </cell>
          <cell r="O3862" t="str">
            <v>No</v>
          </cell>
          <cell r="Q3862" t="str">
            <v>Cancelled</v>
          </cell>
          <cell r="R3862">
            <v>44922.865057870367</v>
          </cell>
          <cell r="S3862" t="str">
            <v>Omnia Abdelaziz</v>
          </cell>
          <cell r="T3862">
            <v>44930</v>
          </cell>
          <cell r="U3862" t="str">
            <v>Denise Stubenvoll</v>
          </cell>
          <cell r="V3862">
            <v>44977</v>
          </cell>
          <cell r="W3862">
            <v>45113</v>
          </cell>
          <cell r="Y3862">
            <v>44928</v>
          </cell>
          <cell r="AC3862">
            <v>45111</v>
          </cell>
        </row>
        <row r="3863">
          <cell r="I3863" t="str">
            <v>EDI</v>
          </cell>
          <cell r="L3863">
            <v>1797</v>
          </cell>
          <cell r="N3863" t="str">
            <v>Production</v>
          </cell>
          <cell r="O3863" t="str">
            <v>No</v>
          </cell>
          <cell r="Q3863" t="str">
            <v>Live</v>
          </cell>
          <cell r="R3863">
            <v>44922.865057870367</v>
          </cell>
          <cell r="S3863" t="str">
            <v>Mina George</v>
          </cell>
          <cell r="T3863">
            <v>44936</v>
          </cell>
          <cell r="U3863" t="str">
            <v>Denise Stubenvoll</v>
          </cell>
          <cell r="V3863">
            <v>44945</v>
          </cell>
          <cell r="W3863">
            <v>45064</v>
          </cell>
          <cell r="Y3863">
            <v>44923</v>
          </cell>
          <cell r="AC3863">
            <v>45060</v>
          </cell>
        </row>
        <row r="3864">
          <cell r="I3864" t="str">
            <v>EDI</v>
          </cell>
          <cell r="L3864">
            <v>1788</v>
          </cell>
          <cell r="N3864" t="str">
            <v>Production</v>
          </cell>
          <cell r="O3864" t="str">
            <v>No</v>
          </cell>
          <cell r="Q3864" t="str">
            <v>Cancelled</v>
          </cell>
          <cell r="R3864">
            <v>44922.865057870367</v>
          </cell>
          <cell r="S3864" t="str">
            <v>Mina Adel</v>
          </cell>
          <cell r="T3864">
            <v>44936</v>
          </cell>
          <cell r="U3864" t="str">
            <v>Denise Stubenvoll</v>
          </cell>
          <cell r="V3864">
            <v>44939</v>
          </cell>
          <cell r="W3864">
            <v>44951</v>
          </cell>
          <cell r="Y3864">
            <v>44931</v>
          </cell>
          <cell r="AC3864">
            <v>44944</v>
          </cell>
        </row>
        <row r="3865">
          <cell r="I3865" t="str">
            <v>EDI</v>
          </cell>
          <cell r="L3865">
            <v>1800</v>
          </cell>
          <cell r="N3865" t="str">
            <v>Production</v>
          </cell>
          <cell r="O3865" t="str">
            <v>No</v>
          </cell>
          <cell r="Q3865" t="str">
            <v>Live</v>
          </cell>
          <cell r="R3865">
            <v>44922.791539351849</v>
          </cell>
          <cell r="S3865" t="str">
            <v>Joseph Atef</v>
          </cell>
          <cell r="T3865">
            <v>44936</v>
          </cell>
          <cell r="U3865" t="str">
            <v>Tammy Davies</v>
          </cell>
          <cell r="V3865">
            <v>45053</v>
          </cell>
          <cell r="W3865">
            <v>45194</v>
          </cell>
          <cell r="Y3865">
            <v>44935</v>
          </cell>
          <cell r="AC3865">
            <v>45191</v>
          </cell>
        </row>
        <row r="3866">
          <cell r="I3866" t="str">
            <v>EDI</v>
          </cell>
          <cell r="L3866">
            <v>1878</v>
          </cell>
          <cell r="N3866" t="str">
            <v>Production</v>
          </cell>
          <cell r="O3866" t="str">
            <v>No</v>
          </cell>
          <cell r="Q3866" t="str">
            <v>Cancelled</v>
          </cell>
          <cell r="R3866">
            <v>44922.791527777779</v>
          </cell>
          <cell r="S3866" t="str">
            <v>Omar Elmahalwy</v>
          </cell>
          <cell r="T3866">
            <v>44970</v>
          </cell>
          <cell r="U3866" t="str">
            <v>Tammy Davies</v>
          </cell>
          <cell r="V3866">
            <v>44992</v>
          </cell>
          <cell r="W3866">
            <v>45155</v>
          </cell>
          <cell r="Y3866">
            <v>44969</v>
          </cell>
          <cell r="AC3866">
            <v>45152</v>
          </cell>
        </row>
        <row r="3867">
          <cell r="I3867" t="str">
            <v>EDI</v>
          </cell>
          <cell r="L3867">
            <v>1936</v>
          </cell>
          <cell r="N3867" t="str">
            <v>Production</v>
          </cell>
          <cell r="O3867" t="str">
            <v>No</v>
          </cell>
          <cell r="Q3867" t="str">
            <v>Cancelled</v>
          </cell>
          <cell r="R3867">
            <v>44922.767962962957</v>
          </cell>
          <cell r="S3867" t="str">
            <v>Andrew Ramy</v>
          </cell>
          <cell r="T3867">
            <v>44985</v>
          </cell>
          <cell r="U3867" t="str">
            <v>Jene Hamm</v>
          </cell>
          <cell r="V3867">
            <v>44992</v>
          </cell>
          <cell r="W3867">
            <v>45078</v>
          </cell>
          <cell r="Y3867">
            <v>44985</v>
          </cell>
          <cell r="AC3867">
            <v>45076</v>
          </cell>
        </row>
        <row r="3868">
          <cell r="I3868" t="str">
            <v>EDI</v>
          </cell>
          <cell r="L3868">
            <v>1791</v>
          </cell>
          <cell r="N3868" t="str">
            <v>Production</v>
          </cell>
          <cell r="O3868" t="str">
            <v>No</v>
          </cell>
          <cell r="Q3868" t="str">
            <v>Cancelled</v>
          </cell>
          <cell r="R3868">
            <v>44918.879629629628</v>
          </cell>
          <cell r="S3868" t="str">
            <v>Omnia Abdelaziz</v>
          </cell>
          <cell r="T3868">
            <v>44935</v>
          </cell>
          <cell r="W3868">
            <v>44944</v>
          </cell>
          <cell r="Y3868">
            <v>44928</v>
          </cell>
          <cell r="AC3868">
            <v>44942</v>
          </cell>
        </row>
        <row r="3869">
          <cell r="I3869" t="str">
            <v>EDI</v>
          </cell>
          <cell r="L3869">
            <v>1796</v>
          </cell>
          <cell r="N3869" t="str">
            <v>Production</v>
          </cell>
          <cell r="O3869" t="str">
            <v>No</v>
          </cell>
          <cell r="Q3869" t="str">
            <v>Cancelled</v>
          </cell>
          <cell r="R3869">
            <v>44917.908472222232</v>
          </cell>
          <cell r="S3869" t="str">
            <v>Mina George</v>
          </cell>
          <cell r="T3869">
            <v>44930</v>
          </cell>
          <cell r="U3869" t="str">
            <v>Denise Stubenvoll</v>
          </cell>
          <cell r="V3869">
            <v>44959</v>
          </cell>
          <cell r="W3869">
            <v>44972</v>
          </cell>
          <cell r="Y3869">
            <v>44923</v>
          </cell>
          <cell r="AC3869">
            <v>44967</v>
          </cell>
        </row>
        <row r="3870">
          <cell r="I3870" t="str">
            <v>EDI</v>
          </cell>
          <cell r="L3870">
            <v>1806</v>
          </cell>
          <cell r="N3870" t="str">
            <v>Production</v>
          </cell>
          <cell r="O3870" t="str">
            <v>No</v>
          </cell>
          <cell r="Q3870" t="str">
            <v>Cancelled</v>
          </cell>
          <cell r="R3870">
            <v>44917.861643518518</v>
          </cell>
          <cell r="S3870" t="str">
            <v>Omar Elmahalwy</v>
          </cell>
          <cell r="T3870">
            <v>44943</v>
          </cell>
          <cell r="U3870" t="str">
            <v>Vicky Wright</v>
          </cell>
          <cell r="V3870">
            <v>44993</v>
          </cell>
          <cell r="W3870">
            <v>45050</v>
          </cell>
          <cell r="Y3870">
            <v>44942</v>
          </cell>
          <cell r="AC3870">
            <v>45048</v>
          </cell>
        </row>
        <row r="3871">
          <cell r="I3871" t="str">
            <v>EDI</v>
          </cell>
          <cell r="L3871">
            <v>1776</v>
          </cell>
          <cell r="N3871" t="str">
            <v>Production</v>
          </cell>
          <cell r="O3871" t="str">
            <v>No</v>
          </cell>
          <cell r="Q3871" t="str">
            <v>Cancelled</v>
          </cell>
          <cell r="R3871">
            <v>44917.843842592592</v>
          </cell>
          <cell r="S3871" t="str">
            <v>Mina Adel</v>
          </cell>
          <cell r="T3871">
            <v>44930</v>
          </cell>
          <cell r="U3871" t="str">
            <v>Miranda Naeem</v>
          </cell>
          <cell r="V3871">
            <v>44985</v>
          </cell>
          <cell r="W3871">
            <v>45013</v>
          </cell>
          <cell r="Y3871">
            <v>44928</v>
          </cell>
          <cell r="AC3871">
            <v>45128</v>
          </cell>
        </row>
        <row r="3872">
          <cell r="I3872" t="str">
            <v>EDI</v>
          </cell>
          <cell r="L3872">
            <v>1839</v>
          </cell>
          <cell r="N3872" t="str">
            <v>Production</v>
          </cell>
          <cell r="O3872" t="str">
            <v>No</v>
          </cell>
          <cell r="Q3872" t="str">
            <v>Cancelled</v>
          </cell>
          <cell r="R3872">
            <v>44917.834768518522</v>
          </cell>
          <cell r="S3872" t="str">
            <v>Salma Yamani</v>
          </cell>
          <cell r="T3872">
            <v>44955</v>
          </cell>
          <cell r="U3872" t="str">
            <v>Vicky Wright</v>
          </cell>
          <cell r="V3872">
            <v>45062</v>
          </cell>
          <cell r="W3872">
            <v>45211</v>
          </cell>
          <cell r="Y3872">
            <v>44952</v>
          </cell>
          <cell r="AC3872">
            <v>45210</v>
          </cell>
        </row>
        <row r="3873">
          <cell r="I3873" t="str">
            <v>EDI</v>
          </cell>
          <cell r="L3873">
            <v>1789</v>
          </cell>
          <cell r="N3873" t="str">
            <v>Production</v>
          </cell>
          <cell r="O3873" t="str">
            <v>No</v>
          </cell>
          <cell r="Q3873" t="str">
            <v>Cancelled</v>
          </cell>
          <cell r="R3873">
            <v>44917.791817129633</v>
          </cell>
          <cell r="S3873" t="str">
            <v>Joseph Atef</v>
          </cell>
          <cell r="T3873">
            <v>44930</v>
          </cell>
          <cell r="U3873" t="str">
            <v>Miranda Naeem</v>
          </cell>
          <cell r="V3873">
            <v>44963</v>
          </cell>
          <cell r="W3873">
            <v>44971</v>
          </cell>
          <cell r="Y3873">
            <v>44923</v>
          </cell>
          <cell r="AC3873">
            <v>44965</v>
          </cell>
        </row>
        <row r="3874">
          <cell r="I3874" t="str">
            <v>EDI</v>
          </cell>
          <cell r="L3874">
            <v>1875</v>
          </cell>
          <cell r="N3874" t="str">
            <v>Production</v>
          </cell>
          <cell r="O3874" t="str">
            <v>No</v>
          </cell>
          <cell r="Q3874" t="str">
            <v>Cancelled</v>
          </cell>
          <cell r="R3874">
            <v>44917.725752314807</v>
          </cell>
          <cell r="S3874" t="str">
            <v>Mina Adel</v>
          </cell>
          <cell r="T3874">
            <v>44964</v>
          </cell>
          <cell r="U3874" t="str">
            <v>Jenna  Whaley</v>
          </cell>
          <cell r="V3874">
            <v>45007</v>
          </cell>
          <cell r="W3874">
            <v>45072</v>
          </cell>
          <cell r="Y3874">
            <v>44962</v>
          </cell>
          <cell r="AC3874">
            <v>45064</v>
          </cell>
        </row>
        <row r="3875">
          <cell r="I3875" t="str">
            <v>EDI</v>
          </cell>
          <cell r="L3875">
            <v>1793</v>
          </cell>
          <cell r="N3875" t="str">
            <v>Production</v>
          </cell>
          <cell r="O3875" t="str">
            <v>No</v>
          </cell>
          <cell r="Q3875" t="str">
            <v>Cancelled</v>
          </cell>
          <cell r="R3875">
            <v>44917.725752314807</v>
          </cell>
          <cell r="S3875" t="str">
            <v>Omnia Abdelaziz</v>
          </cell>
          <cell r="T3875">
            <v>44937</v>
          </cell>
          <cell r="U3875" t="str">
            <v>Melonie Skeen</v>
          </cell>
          <cell r="V3875">
            <v>44984</v>
          </cell>
          <cell r="W3875">
            <v>45079</v>
          </cell>
          <cell r="Y3875">
            <v>44936</v>
          </cell>
          <cell r="AC3875">
            <v>45075</v>
          </cell>
        </row>
        <row r="3876">
          <cell r="I3876" t="str">
            <v>EDI</v>
          </cell>
          <cell r="N3876" t="str">
            <v>Requirements Gathering</v>
          </cell>
          <cell r="O3876" t="str">
            <v>No</v>
          </cell>
          <cell r="Q3876" t="str">
            <v>Cancelled</v>
          </cell>
          <cell r="R3876">
            <v>44917.617789351847</v>
          </cell>
          <cell r="S3876" t="str">
            <v>Lourina Edmon</v>
          </cell>
          <cell r="T3876">
            <v>44920</v>
          </cell>
        </row>
        <row r="3877">
          <cell r="I3877" t="str">
            <v>EDI</v>
          </cell>
          <cell r="L3877">
            <v>1835</v>
          </cell>
          <cell r="N3877" t="str">
            <v>Production</v>
          </cell>
          <cell r="O3877" t="str">
            <v>No</v>
          </cell>
          <cell r="Q3877" t="str">
            <v>Live</v>
          </cell>
          <cell r="R3877">
            <v>44917.617777777778</v>
          </cell>
          <cell r="S3877" t="str">
            <v>Aya Fathy</v>
          </cell>
          <cell r="T3877">
            <v>44955</v>
          </cell>
          <cell r="U3877" t="str">
            <v>Melonie Skeen</v>
          </cell>
          <cell r="V3877">
            <v>44983</v>
          </cell>
          <cell r="W3877">
            <v>25569</v>
          </cell>
          <cell r="Y3877">
            <v>44951</v>
          </cell>
          <cell r="AC3877">
            <v>45018</v>
          </cell>
        </row>
        <row r="3878">
          <cell r="I3878" t="str">
            <v>EDI</v>
          </cell>
          <cell r="L3878">
            <v>1785</v>
          </cell>
          <cell r="N3878" t="str">
            <v>Production</v>
          </cell>
          <cell r="O3878" t="str">
            <v>No</v>
          </cell>
          <cell r="Q3878" t="str">
            <v>Cancelled</v>
          </cell>
          <cell r="R3878">
            <v>44917.617777777778</v>
          </cell>
          <cell r="S3878" t="str">
            <v>Mina Adel</v>
          </cell>
          <cell r="T3878">
            <v>44935</v>
          </cell>
          <cell r="U3878" t="str">
            <v>Melonie Skeen</v>
          </cell>
          <cell r="V3878">
            <v>44952</v>
          </cell>
          <cell r="W3878">
            <v>44986</v>
          </cell>
          <cell r="Y3878">
            <v>44930</v>
          </cell>
          <cell r="AC3878">
            <v>44983</v>
          </cell>
        </row>
        <row r="3879">
          <cell r="I3879" t="str">
            <v>EDI</v>
          </cell>
          <cell r="N3879" t="str">
            <v>Requirements Gathering</v>
          </cell>
          <cell r="O3879" t="str">
            <v>No</v>
          </cell>
          <cell r="Q3879" t="str">
            <v>Cancelled</v>
          </cell>
          <cell r="R3879">
            <v>44916.851712962962</v>
          </cell>
          <cell r="S3879" t="str">
            <v>Lourina Edmon</v>
          </cell>
          <cell r="T3879">
            <v>44917</v>
          </cell>
        </row>
        <row r="3880">
          <cell r="I3880" t="str">
            <v>EDI</v>
          </cell>
          <cell r="N3880" t="str">
            <v>Requirements Gathering</v>
          </cell>
          <cell r="O3880" t="str">
            <v>No</v>
          </cell>
          <cell r="Q3880" t="str">
            <v>Cancelled</v>
          </cell>
          <cell r="R3880">
            <v>44916.742222222223</v>
          </cell>
          <cell r="S3880" t="str">
            <v>Sandra Adel</v>
          </cell>
          <cell r="T3880">
            <v>44916</v>
          </cell>
        </row>
        <row r="3881">
          <cell r="I3881" t="str">
            <v>EDI</v>
          </cell>
          <cell r="L3881">
            <v>1792</v>
          </cell>
          <cell r="N3881" t="str">
            <v>Production</v>
          </cell>
          <cell r="O3881" t="str">
            <v>No</v>
          </cell>
          <cell r="Q3881" t="str">
            <v>Live</v>
          </cell>
          <cell r="R3881">
            <v>44916.740034722221</v>
          </cell>
          <cell r="S3881" t="str">
            <v>Mina Adel</v>
          </cell>
          <cell r="T3881">
            <v>44937</v>
          </cell>
          <cell r="U3881" t="str">
            <v>Miranda Naeem</v>
          </cell>
          <cell r="V3881">
            <v>44963</v>
          </cell>
          <cell r="W3881">
            <v>45041</v>
          </cell>
          <cell r="Y3881">
            <v>44936</v>
          </cell>
          <cell r="AC3881">
            <v>45033</v>
          </cell>
        </row>
        <row r="3882">
          <cell r="I3882" t="str">
            <v>EDI</v>
          </cell>
          <cell r="L3882">
            <v>1778</v>
          </cell>
          <cell r="N3882" t="str">
            <v>Production</v>
          </cell>
          <cell r="O3882" t="str">
            <v>No</v>
          </cell>
          <cell r="Q3882" t="str">
            <v>Cancelled</v>
          </cell>
          <cell r="R3882">
            <v>44916.674317129633</v>
          </cell>
          <cell r="S3882" t="str">
            <v>Aya Fathy</v>
          </cell>
          <cell r="T3882">
            <v>44930</v>
          </cell>
          <cell r="U3882" t="str">
            <v>Miranda Naeem</v>
          </cell>
          <cell r="V3882">
            <v>44938</v>
          </cell>
          <cell r="W3882">
            <v>44985</v>
          </cell>
          <cell r="Y3882">
            <v>44923</v>
          </cell>
          <cell r="AC3882">
            <v>44979</v>
          </cell>
        </row>
        <row r="3883">
          <cell r="I3883" t="str">
            <v>EDI</v>
          </cell>
          <cell r="L3883">
            <v>1798</v>
          </cell>
          <cell r="N3883" t="str">
            <v>Production</v>
          </cell>
          <cell r="O3883" t="str">
            <v>No</v>
          </cell>
          <cell r="Q3883" t="str">
            <v>Cancelled</v>
          </cell>
          <cell r="R3883">
            <v>44916.653819444437</v>
          </cell>
          <cell r="S3883" t="str">
            <v>Ahmed Sami</v>
          </cell>
          <cell r="T3883">
            <v>44930</v>
          </cell>
          <cell r="U3883" t="str">
            <v>Vicky Wright</v>
          </cell>
          <cell r="V3883">
            <v>44979</v>
          </cell>
          <cell r="W3883">
            <v>45007</v>
          </cell>
          <cell r="Y3883">
            <v>44923</v>
          </cell>
          <cell r="AC3883">
            <v>45005</v>
          </cell>
        </row>
        <row r="3884">
          <cell r="I3884" t="str">
            <v>EDI</v>
          </cell>
          <cell r="L3884">
            <v>1866</v>
          </cell>
          <cell r="N3884" t="str">
            <v>Production</v>
          </cell>
          <cell r="O3884" t="str">
            <v>No</v>
          </cell>
          <cell r="Q3884" t="str">
            <v>Live</v>
          </cell>
          <cell r="R3884">
            <v>44914.766608796293</v>
          </cell>
          <cell r="S3884" t="str">
            <v>Mirna Azmy</v>
          </cell>
          <cell r="T3884">
            <v>44963</v>
          </cell>
          <cell r="U3884" t="str">
            <v>Elizabeth Kahle</v>
          </cell>
          <cell r="V3884">
            <v>44980</v>
          </cell>
          <cell r="W3884">
            <v>45023</v>
          </cell>
          <cell r="Y3884">
            <v>44962</v>
          </cell>
          <cell r="AC3884">
            <v>45020</v>
          </cell>
        </row>
        <row r="3885">
          <cell r="I3885" t="str">
            <v>EDI</v>
          </cell>
          <cell r="L3885">
            <v>1817</v>
          </cell>
          <cell r="N3885" t="str">
            <v>Production</v>
          </cell>
          <cell r="O3885" t="str">
            <v>No</v>
          </cell>
          <cell r="Q3885" t="str">
            <v>Cancelled</v>
          </cell>
          <cell r="R3885">
            <v>44914.602696759262</v>
          </cell>
          <cell r="S3885" t="str">
            <v>Omar Elmahalwy</v>
          </cell>
          <cell r="T3885">
            <v>44949</v>
          </cell>
          <cell r="U3885" t="str">
            <v>Melonie Skeen</v>
          </cell>
          <cell r="V3885">
            <v>25569</v>
          </cell>
          <cell r="W3885">
            <v>45015</v>
          </cell>
          <cell r="Y3885">
            <v>44948</v>
          </cell>
          <cell r="AC3885">
            <v>45014</v>
          </cell>
        </row>
        <row r="3886">
          <cell r="I3886" t="str">
            <v>EDI</v>
          </cell>
          <cell r="L3886">
            <v>1769</v>
          </cell>
          <cell r="N3886" t="str">
            <v>Production</v>
          </cell>
          <cell r="O3886" t="str">
            <v>No</v>
          </cell>
          <cell r="Q3886" t="str">
            <v>Live</v>
          </cell>
          <cell r="R3886">
            <v>44911.68372685185</v>
          </cell>
          <cell r="S3886" t="str">
            <v>Aya Fathy</v>
          </cell>
          <cell r="T3886">
            <v>44928</v>
          </cell>
          <cell r="U3886" t="str">
            <v>Denise Stubenvoll</v>
          </cell>
          <cell r="V3886">
            <v>44932</v>
          </cell>
          <cell r="W3886">
            <v>44958</v>
          </cell>
          <cell r="Y3886">
            <v>44915</v>
          </cell>
          <cell r="AC3886">
            <v>44952</v>
          </cell>
        </row>
        <row r="3887">
          <cell r="I3887" t="str">
            <v>EDI</v>
          </cell>
          <cell r="L3887">
            <v>1801</v>
          </cell>
          <cell r="N3887" t="str">
            <v>Production</v>
          </cell>
          <cell r="O3887" t="str">
            <v>No</v>
          </cell>
          <cell r="Q3887" t="str">
            <v>Live</v>
          </cell>
          <cell r="R3887">
            <v>44910.677048611113</v>
          </cell>
          <cell r="S3887" t="str">
            <v>Andrew Ramy</v>
          </cell>
          <cell r="T3887">
            <v>44936</v>
          </cell>
          <cell r="U3887" t="str">
            <v>Miranda Naeem</v>
          </cell>
          <cell r="V3887">
            <v>44958</v>
          </cell>
          <cell r="W3887">
            <v>44992</v>
          </cell>
          <cell r="Y3887">
            <v>44935</v>
          </cell>
          <cell r="AC3887">
            <v>44991</v>
          </cell>
        </row>
        <row r="3888">
          <cell r="I3888" t="str">
            <v>EDI</v>
          </cell>
          <cell r="L3888">
            <v>1751</v>
          </cell>
          <cell r="N3888" t="str">
            <v>Production</v>
          </cell>
          <cell r="O3888" t="str">
            <v>No</v>
          </cell>
          <cell r="Q3888" t="str">
            <v>Live</v>
          </cell>
          <cell r="R3888">
            <v>44910.551817129628</v>
          </cell>
          <cell r="S3888" t="str">
            <v>Mina George</v>
          </cell>
          <cell r="T3888">
            <v>44910</v>
          </cell>
          <cell r="V3888">
            <v>44916</v>
          </cell>
          <cell r="W3888">
            <v>44923</v>
          </cell>
          <cell r="AC3888">
            <v>44918</v>
          </cell>
        </row>
        <row r="3889">
          <cell r="I3889" t="str">
            <v>EDI</v>
          </cell>
          <cell r="L3889">
            <v>1784</v>
          </cell>
          <cell r="N3889" t="str">
            <v>Production</v>
          </cell>
          <cell r="O3889" t="str">
            <v>No</v>
          </cell>
          <cell r="Q3889" t="str">
            <v>Live</v>
          </cell>
          <cell r="R3889">
            <v>44909.623298611114</v>
          </cell>
          <cell r="S3889" t="str">
            <v>Andrew Ramy</v>
          </cell>
          <cell r="T3889">
            <v>44928</v>
          </cell>
          <cell r="U3889" t="str">
            <v>Vicky Wright</v>
          </cell>
          <cell r="V3889">
            <v>45007</v>
          </cell>
          <cell r="W3889">
            <v>45313</v>
          </cell>
          <cell r="Y3889">
            <v>44915</v>
          </cell>
          <cell r="AC3889">
            <v>45309</v>
          </cell>
        </row>
        <row r="3890">
          <cell r="I3890" t="str">
            <v>EDI</v>
          </cell>
          <cell r="L3890">
            <v>1830</v>
          </cell>
          <cell r="N3890" t="str">
            <v>Production</v>
          </cell>
          <cell r="O3890" t="str">
            <v>No</v>
          </cell>
          <cell r="Q3890" t="str">
            <v>Live</v>
          </cell>
          <cell r="R3890">
            <v>44908.909039351849</v>
          </cell>
          <cell r="S3890" t="str">
            <v>Salma Yamani</v>
          </cell>
          <cell r="T3890">
            <v>44950</v>
          </cell>
          <cell r="U3890" t="str">
            <v>Melonie Skeen</v>
          </cell>
          <cell r="W3890">
            <v>44994</v>
          </cell>
          <cell r="Y3890">
            <v>44948</v>
          </cell>
          <cell r="AC3890">
            <v>44993</v>
          </cell>
        </row>
        <row r="3891">
          <cell r="I3891" t="str">
            <v>EDI</v>
          </cell>
          <cell r="L3891">
            <v>1873</v>
          </cell>
          <cell r="N3891" t="str">
            <v>Production</v>
          </cell>
          <cell r="O3891" t="str">
            <v>No</v>
          </cell>
          <cell r="Q3891" t="str">
            <v>Cancelled</v>
          </cell>
          <cell r="R3891">
            <v>44908.904074074067</v>
          </cell>
          <cell r="S3891" t="str">
            <v>Joseph Atef</v>
          </cell>
          <cell r="T3891">
            <v>45060</v>
          </cell>
          <cell r="U3891" t="str">
            <v>Melonie Skeen</v>
          </cell>
          <cell r="V3891">
            <v>45028</v>
          </cell>
          <cell r="W3891">
            <v>45063</v>
          </cell>
          <cell r="Y3891">
            <v>44964</v>
          </cell>
          <cell r="AC3891">
            <v>45062</v>
          </cell>
        </row>
        <row r="3892">
          <cell r="I3892" t="str">
            <v>EDI</v>
          </cell>
          <cell r="L3892">
            <v>1766</v>
          </cell>
          <cell r="N3892" t="str">
            <v>Production</v>
          </cell>
          <cell r="O3892" t="str">
            <v>No</v>
          </cell>
          <cell r="Q3892" t="str">
            <v>Live</v>
          </cell>
          <cell r="R3892">
            <v>44908.653090277781</v>
          </cell>
          <cell r="S3892" t="str">
            <v>Aya Fathy</v>
          </cell>
          <cell r="T3892">
            <v>44924</v>
          </cell>
          <cell r="U3892" t="str">
            <v>Denise Stubenvoll</v>
          </cell>
          <cell r="V3892">
            <v>44935</v>
          </cell>
          <cell r="W3892">
            <v>44958</v>
          </cell>
          <cell r="Y3892">
            <v>44910</v>
          </cell>
          <cell r="AC3892">
            <v>44952</v>
          </cell>
        </row>
        <row r="3893">
          <cell r="I3893" t="str">
            <v>EDI</v>
          </cell>
          <cell r="L3893">
            <v>1759</v>
          </cell>
          <cell r="N3893" t="str">
            <v>Production</v>
          </cell>
          <cell r="O3893" t="str">
            <v>No</v>
          </cell>
          <cell r="Q3893" t="str">
            <v>Cancelled</v>
          </cell>
          <cell r="R3893">
            <v>44908.645138888889</v>
          </cell>
          <cell r="S3893" t="str">
            <v>Andrew Ramy</v>
          </cell>
          <cell r="T3893">
            <v>44915</v>
          </cell>
          <cell r="U3893" t="str">
            <v>Vicky Wright</v>
          </cell>
          <cell r="V3893">
            <v>44944</v>
          </cell>
          <cell r="W3893">
            <v>25569</v>
          </cell>
          <cell r="Y3893">
            <v>44910</v>
          </cell>
          <cell r="AC3893">
            <v>45042</v>
          </cell>
        </row>
        <row r="3894">
          <cell r="I3894" t="str">
            <v>EDI</v>
          </cell>
          <cell r="L3894">
            <v>1758</v>
          </cell>
          <cell r="N3894" t="str">
            <v>Production</v>
          </cell>
          <cell r="O3894" t="str">
            <v>No</v>
          </cell>
          <cell r="Q3894" t="str">
            <v>Cancelled</v>
          </cell>
          <cell r="R3894">
            <v>44907.669965277782</v>
          </cell>
          <cell r="S3894" t="str">
            <v>Omar Elmahalwy</v>
          </cell>
          <cell r="T3894">
            <v>44915</v>
          </cell>
          <cell r="U3894" t="str">
            <v>Miranda Naeem</v>
          </cell>
          <cell r="V3894">
            <v>44949</v>
          </cell>
          <cell r="W3894">
            <v>45006</v>
          </cell>
          <cell r="Y3894">
            <v>44908</v>
          </cell>
          <cell r="AC3894">
            <v>45005</v>
          </cell>
        </row>
        <row r="3895">
          <cell r="I3895" t="str">
            <v>Forms</v>
          </cell>
          <cell r="L3895" t="str">
            <v>[1745]</v>
          </cell>
          <cell r="N3895" t="str">
            <v>Pending Start</v>
          </cell>
          <cell r="O3895" t="str">
            <v>No</v>
          </cell>
          <cell r="Q3895" t="str">
            <v>Blocked</v>
          </cell>
          <cell r="R3895">
            <v>44907.499583333331</v>
          </cell>
          <cell r="S3895" t="str">
            <v>Testing User</v>
          </cell>
          <cell r="T3895">
            <v>45495</v>
          </cell>
        </row>
        <row r="3896">
          <cell r="I3896" t="str">
            <v>EDI</v>
          </cell>
          <cell r="L3896">
            <v>1755</v>
          </cell>
          <cell r="N3896" t="str">
            <v>Production</v>
          </cell>
          <cell r="O3896" t="str">
            <v>No</v>
          </cell>
          <cell r="Q3896" t="str">
            <v>Live</v>
          </cell>
          <cell r="R3896">
            <v>44906.450740740736</v>
          </cell>
          <cell r="S3896" t="str">
            <v>Omnia Abdelaziz</v>
          </cell>
          <cell r="T3896">
            <v>44913</v>
          </cell>
          <cell r="U3896" t="str">
            <v>Melonie Skeen</v>
          </cell>
          <cell r="V3896">
            <v>44931</v>
          </cell>
          <cell r="W3896">
            <v>44936</v>
          </cell>
          <cell r="Y3896">
            <v>44907</v>
          </cell>
          <cell r="AC3896">
            <v>44936</v>
          </cell>
        </row>
        <row r="3897">
          <cell r="I3897" t="str">
            <v>EDI</v>
          </cell>
          <cell r="L3897">
            <v>1772</v>
          </cell>
          <cell r="N3897" t="str">
            <v>Production</v>
          </cell>
          <cell r="O3897" t="str">
            <v>No</v>
          </cell>
          <cell r="Q3897" t="str">
            <v>Live</v>
          </cell>
          <cell r="R3897">
            <v>44904.752326388887</v>
          </cell>
          <cell r="S3897" t="str">
            <v>Omnia Abdelaziz</v>
          </cell>
          <cell r="T3897">
            <v>44923</v>
          </cell>
          <cell r="U3897" t="str">
            <v>Robbie Schappell</v>
          </cell>
          <cell r="V3897">
            <v>45034</v>
          </cell>
          <cell r="W3897">
            <v>25569</v>
          </cell>
          <cell r="Y3897">
            <v>44915</v>
          </cell>
          <cell r="AC3897">
            <v>45047</v>
          </cell>
        </row>
        <row r="3898">
          <cell r="I3898" t="str">
            <v>EDI</v>
          </cell>
          <cell r="L3898">
            <v>1771</v>
          </cell>
          <cell r="N3898" t="str">
            <v>Production</v>
          </cell>
          <cell r="O3898" t="str">
            <v>No</v>
          </cell>
          <cell r="Q3898" t="str">
            <v>Live</v>
          </cell>
          <cell r="R3898">
            <v>44904.748414351852</v>
          </cell>
          <cell r="S3898" t="str">
            <v>Joseph Atef</v>
          </cell>
          <cell r="T3898">
            <v>44923</v>
          </cell>
          <cell r="V3898">
            <v>44948</v>
          </cell>
          <cell r="W3898">
            <v>25569</v>
          </cell>
          <cell r="Y3898">
            <v>44915</v>
          </cell>
          <cell r="AC3898">
            <v>44966</v>
          </cell>
        </row>
        <row r="3899">
          <cell r="I3899" t="str">
            <v>EDI</v>
          </cell>
          <cell r="L3899">
            <v>1863</v>
          </cell>
          <cell r="N3899" t="str">
            <v>Production</v>
          </cell>
          <cell r="O3899" t="str">
            <v>No</v>
          </cell>
          <cell r="Q3899" t="str">
            <v>Live</v>
          </cell>
          <cell r="R3899">
            <v>44903.911631944437</v>
          </cell>
          <cell r="S3899" t="str">
            <v>Salma Yamani</v>
          </cell>
          <cell r="T3899">
            <v>44963</v>
          </cell>
          <cell r="U3899" t="str">
            <v>Denise Stubenvoll</v>
          </cell>
          <cell r="V3899">
            <v>44986</v>
          </cell>
          <cell r="W3899">
            <v>25569</v>
          </cell>
          <cell r="Y3899">
            <v>44963</v>
          </cell>
          <cell r="AC3899">
            <v>44998</v>
          </cell>
        </row>
        <row r="3900">
          <cell r="I3900" t="str">
            <v>EDI</v>
          </cell>
          <cell r="L3900">
            <v>1838</v>
          </cell>
          <cell r="N3900" t="str">
            <v>Production</v>
          </cell>
          <cell r="O3900" t="str">
            <v>No</v>
          </cell>
          <cell r="Q3900" t="str">
            <v>Cancelled</v>
          </cell>
          <cell r="R3900">
            <v>44903.88559027778</v>
          </cell>
          <cell r="S3900" t="str">
            <v>Andrew Ramy</v>
          </cell>
          <cell r="T3900">
            <v>44955</v>
          </cell>
          <cell r="U3900" t="str">
            <v>Heather Bawsel</v>
          </cell>
          <cell r="V3900">
            <v>45019</v>
          </cell>
          <cell r="W3900">
            <v>25569</v>
          </cell>
          <cell r="Y3900">
            <v>44952</v>
          </cell>
          <cell r="AC3900">
            <v>45225</v>
          </cell>
        </row>
        <row r="3901">
          <cell r="I3901" t="str">
            <v>EDI</v>
          </cell>
          <cell r="L3901">
            <v>1852</v>
          </cell>
          <cell r="N3901" t="str">
            <v>Production</v>
          </cell>
          <cell r="O3901" t="str">
            <v>No</v>
          </cell>
          <cell r="Q3901" t="str">
            <v>Live</v>
          </cell>
          <cell r="R3901">
            <v>44903.766979166663</v>
          </cell>
          <cell r="S3901" t="str">
            <v>Aya Fathy</v>
          </cell>
          <cell r="T3901">
            <v>45231</v>
          </cell>
          <cell r="U3901" t="str">
            <v>Vicky Wright</v>
          </cell>
          <cell r="V3901">
            <v>45020</v>
          </cell>
          <cell r="W3901">
            <v>45281</v>
          </cell>
          <cell r="Y3901">
            <v>44951</v>
          </cell>
          <cell r="AC3901">
            <v>45263</v>
          </cell>
        </row>
        <row r="3902">
          <cell r="I3902" t="str">
            <v>EDI</v>
          </cell>
          <cell r="L3902">
            <v>1828</v>
          </cell>
          <cell r="N3902" t="str">
            <v>Production</v>
          </cell>
          <cell r="O3902" t="str">
            <v>No</v>
          </cell>
          <cell r="Q3902" t="str">
            <v>Cancelled</v>
          </cell>
          <cell r="R3902">
            <v>44903.764363425929</v>
          </cell>
          <cell r="S3902" t="str">
            <v>Omnia Abdelaziz</v>
          </cell>
          <cell r="T3902">
            <v>44951</v>
          </cell>
          <cell r="U3902" t="str">
            <v>Vicky Wright</v>
          </cell>
          <cell r="V3902">
            <v>45001</v>
          </cell>
          <cell r="W3902">
            <v>45355</v>
          </cell>
          <cell r="Y3902">
            <v>44950</v>
          </cell>
          <cell r="AC3902">
            <v>45347</v>
          </cell>
        </row>
        <row r="3903">
          <cell r="I3903" t="str">
            <v>EDI</v>
          </cell>
          <cell r="L3903">
            <v>1932</v>
          </cell>
          <cell r="N3903" t="str">
            <v>Production</v>
          </cell>
          <cell r="O3903" t="str">
            <v>No</v>
          </cell>
          <cell r="Q3903" t="str">
            <v>Live</v>
          </cell>
          <cell r="R3903">
            <v>44903.76221064815</v>
          </cell>
          <cell r="S3903" t="str">
            <v>Fady Maged</v>
          </cell>
          <cell r="T3903">
            <v>44993</v>
          </cell>
          <cell r="U3903" t="str">
            <v>Vicky Wright</v>
          </cell>
          <cell r="V3903">
            <v>44999</v>
          </cell>
          <cell r="W3903">
            <v>25569</v>
          </cell>
          <cell r="Y3903">
            <v>44981</v>
          </cell>
          <cell r="AC3903">
            <v>45111</v>
          </cell>
        </row>
        <row r="3904">
          <cell r="I3904" t="str">
            <v>EDI</v>
          </cell>
          <cell r="L3904">
            <v>1765</v>
          </cell>
          <cell r="N3904" t="str">
            <v>Production</v>
          </cell>
          <cell r="O3904" t="str">
            <v>No</v>
          </cell>
          <cell r="Q3904" t="str">
            <v>Cancelled</v>
          </cell>
          <cell r="R3904">
            <v>44903.740671296298</v>
          </cell>
          <cell r="S3904" t="str">
            <v>Aya Fathy</v>
          </cell>
          <cell r="T3904">
            <v>44923</v>
          </cell>
          <cell r="V3904">
            <v>44955</v>
          </cell>
          <cell r="W3904">
            <v>44965</v>
          </cell>
          <cell r="Y3904">
            <v>44920</v>
          </cell>
          <cell r="AC3904">
            <v>44964</v>
          </cell>
        </row>
        <row r="3905">
          <cell r="I3905" t="str">
            <v>EDI</v>
          </cell>
          <cell r="L3905">
            <v>1754</v>
          </cell>
          <cell r="N3905" t="str">
            <v>Production</v>
          </cell>
          <cell r="O3905" t="str">
            <v>No</v>
          </cell>
          <cell r="Q3905" t="str">
            <v>Live</v>
          </cell>
          <cell r="R3905">
            <v>44902.904953703714</v>
          </cell>
          <cell r="S3905" t="str">
            <v>Omar Elmahalwy</v>
          </cell>
          <cell r="T3905">
            <v>44913</v>
          </cell>
          <cell r="V3905">
            <v>44956</v>
          </cell>
          <cell r="W3905">
            <v>25569</v>
          </cell>
          <cell r="Y3905">
            <v>44903</v>
          </cell>
          <cell r="AC3905">
            <v>44970</v>
          </cell>
        </row>
        <row r="3906">
          <cell r="I3906" t="str">
            <v>EDI</v>
          </cell>
          <cell r="L3906">
            <v>1868</v>
          </cell>
          <cell r="N3906" t="str">
            <v>Testing</v>
          </cell>
          <cell r="O3906" t="str">
            <v>No</v>
          </cell>
          <cell r="Q3906" t="str">
            <v>Cancelled</v>
          </cell>
          <cell r="R3906">
            <v>44902.829201388893</v>
          </cell>
          <cell r="S3906" t="str">
            <v>Omnia Abdelaziz</v>
          </cell>
          <cell r="T3906">
            <v>44963</v>
          </cell>
          <cell r="U3906" t="str">
            <v>Miranda Naeem</v>
          </cell>
          <cell r="V3906">
            <v>45131</v>
          </cell>
          <cell r="Y3906">
            <v>44962</v>
          </cell>
        </row>
        <row r="3907">
          <cell r="I3907" t="str">
            <v>EDI</v>
          </cell>
          <cell r="L3907">
            <v>1877</v>
          </cell>
          <cell r="N3907" t="str">
            <v>Production</v>
          </cell>
          <cell r="O3907" t="str">
            <v>No</v>
          </cell>
          <cell r="Q3907" t="str">
            <v>Cancelled</v>
          </cell>
          <cell r="R3907">
            <v>44902.829201388893</v>
          </cell>
          <cell r="S3907" t="str">
            <v>Aya Fathy</v>
          </cell>
          <cell r="T3907">
            <v>44966</v>
          </cell>
          <cell r="U3907" t="str">
            <v>Miranda Naeem</v>
          </cell>
          <cell r="V3907">
            <v>44998</v>
          </cell>
          <cell r="W3907">
            <v>45027</v>
          </cell>
          <cell r="Y3907">
            <v>44965</v>
          </cell>
          <cell r="AC3907">
            <v>45022</v>
          </cell>
        </row>
        <row r="3908">
          <cell r="I3908" t="str">
            <v>EDI</v>
          </cell>
          <cell r="L3908">
            <v>1896</v>
          </cell>
          <cell r="N3908" t="str">
            <v>Production</v>
          </cell>
          <cell r="O3908" t="str">
            <v>No</v>
          </cell>
          <cell r="Q3908" t="str">
            <v>Live</v>
          </cell>
          <cell r="R3908">
            <v>44902.712418981479</v>
          </cell>
          <cell r="S3908" t="str">
            <v>Ahmed Sami</v>
          </cell>
          <cell r="T3908">
            <v>44972</v>
          </cell>
          <cell r="U3908" t="str">
            <v>Melonie Skeen</v>
          </cell>
          <cell r="V3908">
            <v>45047</v>
          </cell>
          <cell r="W3908">
            <v>45134</v>
          </cell>
          <cell r="Y3908">
            <v>44971</v>
          </cell>
          <cell r="AC3908">
            <v>45132</v>
          </cell>
        </row>
        <row r="3909">
          <cell r="I3909" t="str">
            <v>EDI</v>
          </cell>
          <cell r="L3909">
            <v>1753</v>
          </cell>
          <cell r="N3909" t="str">
            <v>Production</v>
          </cell>
          <cell r="O3909" t="str">
            <v>No</v>
          </cell>
          <cell r="Q3909" t="str">
            <v>Live</v>
          </cell>
          <cell r="R3909">
            <v>44902.712407407409</v>
          </cell>
          <cell r="S3909" t="str">
            <v>Mina Adel</v>
          </cell>
          <cell r="T3909">
            <v>44909</v>
          </cell>
          <cell r="V3909">
            <v>44928</v>
          </cell>
          <cell r="W3909">
            <v>44937</v>
          </cell>
          <cell r="Y3909">
            <v>44906</v>
          </cell>
          <cell r="AC3909">
            <v>44935</v>
          </cell>
        </row>
        <row r="3910">
          <cell r="I3910" t="str">
            <v>EDI</v>
          </cell>
          <cell r="L3910">
            <v>1773</v>
          </cell>
          <cell r="N3910" t="str">
            <v>Production</v>
          </cell>
          <cell r="O3910" t="str">
            <v>No</v>
          </cell>
          <cell r="Q3910" t="str">
            <v>Live</v>
          </cell>
          <cell r="R3910">
            <v>44901.770590277767</v>
          </cell>
          <cell r="S3910" t="str">
            <v>Mina Adel</v>
          </cell>
          <cell r="T3910">
            <v>44921</v>
          </cell>
          <cell r="U3910" t="str">
            <v>Miranda Naeem</v>
          </cell>
          <cell r="V3910">
            <v>44973</v>
          </cell>
          <cell r="W3910">
            <v>44985</v>
          </cell>
          <cell r="Y3910">
            <v>44916</v>
          </cell>
          <cell r="AC3910">
            <v>44978</v>
          </cell>
        </row>
        <row r="3911">
          <cell r="I3911" t="str">
            <v>EDI</v>
          </cell>
          <cell r="L3911">
            <v>1764</v>
          </cell>
          <cell r="N3911" t="str">
            <v>Production</v>
          </cell>
          <cell r="O3911" t="str">
            <v>No</v>
          </cell>
          <cell r="Q3911" t="str">
            <v>Cancelled</v>
          </cell>
          <cell r="R3911">
            <v>44901.660046296303</v>
          </cell>
          <cell r="S3911" t="str">
            <v>Omnia Abdelaziz</v>
          </cell>
          <cell r="T3911">
            <v>44915</v>
          </cell>
          <cell r="U3911" t="str">
            <v>Miranda Naeem</v>
          </cell>
          <cell r="V3911">
            <v>44994</v>
          </cell>
          <cell r="W3911">
            <v>45160</v>
          </cell>
          <cell r="Y3911">
            <v>44913</v>
          </cell>
          <cell r="AC3911">
            <v>45159</v>
          </cell>
        </row>
        <row r="3912">
          <cell r="I3912" t="str">
            <v>EDI</v>
          </cell>
          <cell r="L3912">
            <v>1750</v>
          </cell>
          <cell r="N3912" t="str">
            <v>Production</v>
          </cell>
          <cell r="O3912" t="str">
            <v>No</v>
          </cell>
          <cell r="Q3912" t="str">
            <v>Live</v>
          </cell>
          <cell r="R3912">
            <v>44900.686712962961</v>
          </cell>
          <cell r="S3912" t="str">
            <v>Omnia Abdelaziz</v>
          </cell>
          <cell r="T3912">
            <v>44910</v>
          </cell>
          <cell r="U3912" t="str">
            <v>Miranda Naeem</v>
          </cell>
          <cell r="V3912">
            <v>44976</v>
          </cell>
          <cell r="W3912">
            <v>44985</v>
          </cell>
          <cell r="Y3912">
            <v>44909</v>
          </cell>
          <cell r="AC3912">
            <v>44976</v>
          </cell>
        </row>
        <row r="3913">
          <cell r="I3913" t="str">
            <v>EDI</v>
          </cell>
          <cell r="L3913">
            <v>1760</v>
          </cell>
          <cell r="N3913" t="str">
            <v>Production</v>
          </cell>
          <cell r="O3913" t="str">
            <v>No</v>
          </cell>
          <cell r="Q3913" t="str">
            <v>Live</v>
          </cell>
          <cell r="R3913">
            <v>44897.926192129627</v>
          </cell>
          <cell r="S3913" t="str">
            <v>Mina George</v>
          </cell>
          <cell r="T3913">
            <v>44909</v>
          </cell>
          <cell r="U3913" t="str">
            <v>Miranda Naeem</v>
          </cell>
          <cell r="V3913">
            <v>44945</v>
          </cell>
          <cell r="W3913">
            <v>44957</v>
          </cell>
          <cell r="Y3913">
            <v>44901</v>
          </cell>
          <cell r="AC3913">
            <v>44950</v>
          </cell>
        </row>
        <row r="3914">
          <cell r="I3914" t="str">
            <v>EDI</v>
          </cell>
          <cell r="L3914">
            <v>1747</v>
          </cell>
          <cell r="N3914" t="str">
            <v>Production</v>
          </cell>
          <cell r="O3914" t="str">
            <v>No</v>
          </cell>
          <cell r="Q3914" t="str">
            <v>Cancelled</v>
          </cell>
          <cell r="R3914">
            <v>44897.7503125</v>
          </cell>
          <cell r="S3914" t="str">
            <v>Omar Elmahalwy</v>
          </cell>
          <cell r="T3914">
            <v>44909</v>
          </cell>
          <cell r="U3914" t="str">
            <v>Denise Stubenvoll</v>
          </cell>
          <cell r="V3914">
            <v>44970</v>
          </cell>
          <cell r="W3914">
            <v>44993</v>
          </cell>
          <cell r="Y3914">
            <v>44901</v>
          </cell>
          <cell r="AC3914">
            <v>44992</v>
          </cell>
        </row>
        <row r="3915">
          <cell r="I3915" t="str">
            <v>EDI</v>
          </cell>
          <cell r="L3915">
            <v>1744</v>
          </cell>
          <cell r="N3915" t="str">
            <v>Production</v>
          </cell>
          <cell r="O3915" t="str">
            <v>No</v>
          </cell>
          <cell r="Q3915" t="str">
            <v>Cancelled</v>
          </cell>
          <cell r="R3915">
            <v>44897.698761574073</v>
          </cell>
          <cell r="S3915" t="str">
            <v>Aya Fathy</v>
          </cell>
          <cell r="T3915">
            <v>44907</v>
          </cell>
          <cell r="U3915" t="str">
            <v>Denise Stubenvoll</v>
          </cell>
          <cell r="V3915">
            <v>25569</v>
          </cell>
          <cell r="W3915">
            <v>45000</v>
          </cell>
          <cell r="Y3915">
            <v>44902</v>
          </cell>
          <cell r="AC3915">
            <v>44994</v>
          </cell>
        </row>
        <row r="3916">
          <cell r="I3916" t="str">
            <v>EDI</v>
          </cell>
          <cell r="L3916">
            <v>1746</v>
          </cell>
          <cell r="N3916" t="str">
            <v>Production</v>
          </cell>
          <cell r="O3916" t="str">
            <v>No</v>
          </cell>
          <cell r="Q3916" t="str">
            <v>Live</v>
          </cell>
          <cell r="R3916">
            <v>44897.680196759262</v>
          </cell>
          <cell r="S3916" t="str">
            <v>Andrew Ramy</v>
          </cell>
          <cell r="T3916">
            <v>44907</v>
          </cell>
          <cell r="U3916" t="str">
            <v>Hans De Grouw</v>
          </cell>
          <cell r="V3916">
            <v>44958</v>
          </cell>
          <cell r="W3916">
            <v>45139</v>
          </cell>
          <cell r="Y3916">
            <v>44902</v>
          </cell>
          <cell r="AC3916">
            <v>45137</v>
          </cell>
        </row>
        <row r="3917">
          <cell r="I3917" t="str">
            <v>EDI</v>
          </cell>
          <cell r="L3917">
            <v>1748</v>
          </cell>
          <cell r="N3917" t="str">
            <v>Testing</v>
          </cell>
          <cell r="O3917" t="str">
            <v>No</v>
          </cell>
          <cell r="Q3917" t="str">
            <v>Cancelled</v>
          </cell>
          <cell r="R3917">
            <v>44897.619652777779</v>
          </cell>
          <cell r="S3917" t="str">
            <v>Omnia Abdelaziz</v>
          </cell>
          <cell r="T3917">
            <v>44906</v>
          </cell>
          <cell r="U3917" t="str">
            <v>Miranda Naeem</v>
          </cell>
          <cell r="V3917">
            <v>44984</v>
          </cell>
          <cell r="Y3917">
            <v>44897</v>
          </cell>
          <cell r="AC3917">
            <v>44984</v>
          </cell>
        </row>
        <row r="3918">
          <cell r="I3918" t="str">
            <v>EDI</v>
          </cell>
          <cell r="L3918">
            <v>1770</v>
          </cell>
          <cell r="N3918" t="str">
            <v>Testing</v>
          </cell>
          <cell r="O3918" t="str">
            <v>No</v>
          </cell>
          <cell r="Q3918" t="str">
            <v>Cancelled</v>
          </cell>
          <cell r="R3918">
            <v>44896.631921296299</v>
          </cell>
          <cell r="S3918" t="str">
            <v>Ahmed Sami</v>
          </cell>
          <cell r="T3918">
            <v>44928</v>
          </cell>
          <cell r="U3918" t="str">
            <v>Miranda Naeem</v>
          </cell>
          <cell r="V3918">
            <v>44981</v>
          </cell>
          <cell r="Y3918">
            <v>44924</v>
          </cell>
        </row>
        <row r="3919">
          <cell r="I3919" t="str">
            <v>EDI</v>
          </cell>
          <cell r="L3919">
            <v>1757</v>
          </cell>
          <cell r="N3919" t="str">
            <v>Testing</v>
          </cell>
          <cell r="O3919" t="str">
            <v>No</v>
          </cell>
          <cell r="Q3919" t="str">
            <v>Cancelled</v>
          </cell>
          <cell r="R3919">
            <v>44896.631921296299</v>
          </cell>
          <cell r="S3919" t="str">
            <v>Ahmed Sami</v>
          </cell>
          <cell r="T3919">
            <v>44907</v>
          </cell>
          <cell r="U3919" t="str">
            <v>Miranda Naeem</v>
          </cell>
          <cell r="V3919">
            <v>44974</v>
          </cell>
          <cell r="Y3919">
            <v>44906</v>
          </cell>
        </row>
        <row r="3920">
          <cell r="I3920" t="str">
            <v>EDI</v>
          </cell>
          <cell r="L3920">
            <v>1738</v>
          </cell>
          <cell r="N3920" t="str">
            <v>Production</v>
          </cell>
          <cell r="O3920" t="str">
            <v>No</v>
          </cell>
          <cell r="Q3920" t="str">
            <v>Cancelled</v>
          </cell>
          <cell r="R3920">
            <v>44896.631909722222</v>
          </cell>
          <cell r="S3920" t="str">
            <v>Omnia Abdelaziz</v>
          </cell>
          <cell r="T3920">
            <v>44903</v>
          </cell>
          <cell r="U3920" t="str">
            <v>Miranda Naeem</v>
          </cell>
          <cell r="V3920">
            <v>44959</v>
          </cell>
          <cell r="W3920">
            <v>44964</v>
          </cell>
          <cell r="Y3920">
            <v>44902</v>
          </cell>
          <cell r="AC3920">
            <v>44959</v>
          </cell>
        </row>
        <row r="3921">
          <cell r="I3921" t="str">
            <v>EDI</v>
          </cell>
          <cell r="L3921">
            <v>1775</v>
          </cell>
          <cell r="N3921" t="str">
            <v>Production</v>
          </cell>
          <cell r="O3921" t="str">
            <v>No</v>
          </cell>
          <cell r="Q3921" t="str">
            <v>Live</v>
          </cell>
          <cell r="R3921">
            <v>44895.870682870373</v>
          </cell>
          <cell r="S3921" t="str">
            <v>Mina George</v>
          </cell>
          <cell r="T3921">
            <v>44921</v>
          </cell>
          <cell r="U3921" t="str">
            <v>Robbie Schappell</v>
          </cell>
          <cell r="V3921">
            <v>44986</v>
          </cell>
          <cell r="W3921">
            <v>45321</v>
          </cell>
          <cell r="Y3921">
            <v>44921</v>
          </cell>
          <cell r="AC3921">
            <v>45320</v>
          </cell>
        </row>
        <row r="3922">
          <cell r="I3922" t="str">
            <v>EDI</v>
          </cell>
          <cell r="L3922">
            <v>1786</v>
          </cell>
          <cell r="N3922" t="str">
            <v>Production</v>
          </cell>
          <cell r="O3922" t="str">
            <v>No</v>
          </cell>
          <cell r="Q3922" t="str">
            <v>Live</v>
          </cell>
          <cell r="R3922">
            <v>44895.849988425929</v>
          </cell>
          <cell r="S3922" t="str">
            <v>Joseph Atef</v>
          </cell>
          <cell r="T3922">
            <v>45231</v>
          </cell>
          <cell r="U3922" t="str">
            <v>Vicky Wright</v>
          </cell>
          <cell r="V3922">
            <v>44956</v>
          </cell>
          <cell r="W3922">
            <v>45274</v>
          </cell>
          <cell r="Y3922">
            <v>44935</v>
          </cell>
          <cell r="AC3922">
            <v>45268</v>
          </cell>
        </row>
        <row r="3923">
          <cell r="I3923" t="str">
            <v>EDI</v>
          </cell>
          <cell r="L3923">
            <v>1819</v>
          </cell>
          <cell r="N3923" t="str">
            <v>Production</v>
          </cell>
          <cell r="O3923" t="str">
            <v>No</v>
          </cell>
          <cell r="Q3923" t="str">
            <v>Live</v>
          </cell>
          <cell r="R3923">
            <v>44895.847893518519</v>
          </cell>
          <cell r="S3923" t="str">
            <v>Fady Maged</v>
          </cell>
          <cell r="T3923">
            <v>44949</v>
          </cell>
          <cell r="U3923" t="str">
            <v>Vicky Wright</v>
          </cell>
          <cell r="V3923">
            <v>44986</v>
          </cell>
          <cell r="W3923">
            <v>45043</v>
          </cell>
          <cell r="Y3923">
            <v>44948</v>
          </cell>
          <cell r="AC3923">
            <v>45036</v>
          </cell>
        </row>
        <row r="3924">
          <cell r="I3924" t="str">
            <v>EDI</v>
          </cell>
          <cell r="L3924">
            <v>1737</v>
          </cell>
          <cell r="N3924" t="str">
            <v>Production</v>
          </cell>
          <cell r="O3924" t="str">
            <v>No</v>
          </cell>
          <cell r="Q3924" t="str">
            <v>Live</v>
          </cell>
          <cell r="R3924">
            <v>44895.846875000003</v>
          </cell>
          <cell r="S3924" t="str">
            <v>Omar Elmahalwy</v>
          </cell>
          <cell r="T3924">
            <v>44903</v>
          </cell>
          <cell r="U3924" t="str">
            <v>Vicky Wright</v>
          </cell>
          <cell r="V3924">
            <v>44970</v>
          </cell>
          <cell r="W3924">
            <v>45113</v>
          </cell>
          <cell r="Y3924">
            <v>44899</v>
          </cell>
          <cell r="AC3924">
            <v>45107</v>
          </cell>
        </row>
        <row r="3925">
          <cell r="I3925" t="str">
            <v>EDI</v>
          </cell>
          <cell r="L3925">
            <v>1782</v>
          </cell>
          <cell r="N3925" t="str">
            <v>Production</v>
          </cell>
          <cell r="O3925" t="str">
            <v>No</v>
          </cell>
          <cell r="Q3925" t="str">
            <v>Live</v>
          </cell>
          <cell r="R3925">
            <v>44895.845543981479</v>
          </cell>
          <cell r="S3925" t="str">
            <v>Aya Fathy</v>
          </cell>
          <cell r="T3925">
            <v>44935</v>
          </cell>
          <cell r="U3925" t="str">
            <v>Denise Stubenvoll</v>
          </cell>
          <cell r="V3925">
            <v>45013</v>
          </cell>
          <cell r="W3925">
            <v>45057</v>
          </cell>
          <cell r="Y3925">
            <v>44931</v>
          </cell>
          <cell r="AC3925">
            <v>45056</v>
          </cell>
        </row>
        <row r="3926">
          <cell r="I3926" t="str">
            <v>EDI</v>
          </cell>
          <cell r="L3926">
            <v>1864</v>
          </cell>
          <cell r="N3926" t="str">
            <v>Production</v>
          </cell>
          <cell r="O3926" t="str">
            <v>No</v>
          </cell>
          <cell r="Q3926" t="str">
            <v>Cancelled</v>
          </cell>
          <cell r="R3926">
            <v>44895.774965277778</v>
          </cell>
          <cell r="S3926" t="str">
            <v>Aya Fathy</v>
          </cell>
          <cell r="T3926">
            <v>44963</v>
          </cell>
          <cell r="U3926" t="str">
            <v>Vicky Wright</v>
          </cell>
          <cell r="V3926">
            <v>44990</v>
          </cell>
          <cell r="W3926">
            <v>45078</v>
          </cell>
          <cell r="Y3926">
            <v>44962</v>
          </cell>
          <cell r="AC3926">
            <v>45076</v>
          </cell>
        </row>
        <row r="3927">
          <cell r="I3927" t="str">
            <v>EDI</v>
          </cell>
          <cell r="L3927">
            <v>1734</v>
          </cell>
          <cell r="N3927" t="str">
            <v>Production</v>
          </cell>
          <cell r="O3927" t="str">
            <v>No</v>
          </cell>
          <cell r="Q3927" t="str">
            <v>Live</v>
          </cell>
          <cell r="R3927">
            <v>44895.752824074072</v>
          </cell>
          <cell r="S3927" t="str">
            <v>Omar Elmahalwy</v>
          </cell>
          <cell r="T3927">
            <v>44902</v>
          </cell>
          <cell r="U3927" t="str">
            <v>Miranda Naeem</v>
          </cell>
          <cell r="V3927">
            <v>44963</v>
          </cell>
          <cell r="W3927">
            <v>45062</v>
          </cell>
          <cell r="Y3927">
            <v>44900</v>
          </cell>
          <cell r="AC3927">
            <v>45057</v>
          </cell>
        </row>
        <row r="3928">
          <cell r="I3928" t="str">
            <v>EDI</v>
          </cell>
          <cell r="L3928">
            <v>1761</v>
          </cell>
          <cell r="N3928" t="str">
            <v>Production</v>
          </cell>
          <cell r="O3928" t="str">
            <v>No</v>
          </cell>
          <cell r="Q3928" t="str">
            <v>Live</v>
          </cell>
          <cell r="R3928">
            <v>44895.752824074072</v>
          </cell>
          <cell r="S3928" t="str">
            <v>Mina George</v>
          </cell>
          <cell r="T3928">
            <v>44920</v>
          </cell>
          <cell r="U3928" t="str">
            <v>Miranda Naeem</v>
          </cell>
          <cell r="V3928">
            <v>44946</v>
          </cell>
          <cell r="W3928">
            <v>44971</v>
          </cell>
          <cell r="Y3928">
            <v>44915</v>
          </cell>
          <cell r="AC3928">
            <v>44967</v>
          </cell>
        </row>
        <row r="3929">
          <cell r="I3929" t="str">
            <v>EDI</v>
          </cell>
          <cell r="L3929">
            <v>1742</v>
          </cell>
          <cell r="N3929" t="str">
            <v>Production</v>
          </cell>
          <cell r="O3929" t="str">
            <v>No</v>
          </cell>
          <cell r="Q3929" t="str">
            <v>Live</v>
          </cell>
          <cell r="R3929">
            <v>44895.752824074072</v>
          </cell>
          <cell r="S3929" t="str">
            <v>Joseph Atef</v>
          </cell>
          <cell r="T3929">
            <v>44900</v>
          </cell>
          <cell r="U3929" t="str">
            <v>Miranda Naeem</v>
          </cell>
          <cell r="V3929">
            <v>44923</v>
          </cell>
          <cell r="W3929">
            <v>44936</v>
          </cell>
          <cell r="Y3929">
            <v>44900</v>
          </cell>
          <cell r="AC3929">
            <v>44935</v>
          </cell>
        </row>
        <row r="3930">
          <cell r="I3930" t="str">
            <v>EDI</v>
          </cell>
          <cell r="L3930">
            <v>1728</v>
          </cell>
          <cell r="N3930" t="str">
            <v>Production</v>
          </cell>
          <cell r="O3930" t="str">
            <v>Everything Benefits</v>
          </cell>
          <cell r="P3930" t="str">
            <v>Production</v>
          </cell>
          <cell r="Q3930" t="str">
            <v>Cancelled</v>
          </cell>
          <cell r="R3930">
            <v>44895.658263888887</v>
          </cell>
          <cell r="S3930" t="str">
            <v>Hazem Rostom</v>
          </cell>
          <cell r="T3930">
            <v>44896</v>
          </cell>
          <cell r="U3930" t="str">
            <v>Jene Hamm</v>
          </cell>
          <cell r="V3930">
            <v>45130</v>
          </cell>
          <cell r="W3930">
            <v>45180</v>
          </cell>
          <cell r="AC3930">
            <v>45179</v>
          </cell>
        </row>
        <row r="3931">
          <cell r="I3931" t="str">
            <v>EDI</v>
          </cell>
          <cell r="L3931">
            <v>1724</v>
          </cell>
          <cell r="N3931" t="str">
            <v>Production</v>
          </cell>
          <cell r="O3931" t="str">
            <v>Everything Benefits</v>
          </cell>
          <cell r="P3931" t="str">
            <v>Production</v>
          </cell>
          <cell r="Q3931" t="str">
            <v>Cancelled</v>
          </cell>
          <cell r="R3931">
            <v>44894.904074074067</v>
          </cell>
          <cell r="S3931" t="str">
            <v>Salma Yamani</v>
          </cell>
          <cell r="T3931">
            <v>44895</v>
          </cell>
          <cell r="U3931" t="str">
            <v>Jene Hamm</v>
          </cell>
          <cell r="V3931">
            <v>45103</v>
          </cell>
          <cell r="W3931">
            <v>45124</v>
          </cell>
          <cell r="Y3931">
            <v>44895</v>
          </cell>
          <cell r="AC3931">
            <v>45123</v>
          </cell>
        </row>
        <row r="3932">
          <cell r="I3932" t="str">
            <v>EDI</v>
          </cell>
          <cell r="L3932">
            <v>1731</v>
          </cell>
          <cell r="N3932" t="str">
            <v>Production</v>
          </cell>
          <cell r="O3932" t="str">
            <v>Everything Benefits</v>
          </cell>
          <cell r="P3932" t="str">
            <v>Production</v>
          </cell>
          <cell r="Q3932" t="str">
            <v>Live</v>
          </cell>
          <cell r="R3932">
            <v>44894.873715277783</v>
          </cell>
          <cell r="S3932" t="str">
            <v>Zeyad Khaled</v>
          </cell>
          <cell r="T3932">
            <v>44896</v>
          </cell>
          <cell r="U3932" t="str">
            <v>Trish Kalinczok</v>
          </cell>
          <cell r="V3932">
            <v>25569</v>
          </cell>
          <cell r="W3932">
            <v>45196</v>
          </cell>
          <cell r="AC3932">
            <v>45180</v>
          </cell>
        </row>
        <row r="3933">
          <cell r="I3933" t="str">
            <v>EDI</v>
          </cell>
          <cell r="L3933">
            <v>1763</v>
          </cell>
          <cell r="N3933" t="str">
            <v>Dataset Validation</v>
          </cell>
          <cell r="O3933" t="str">
            <v>Everything Benefits</v>
          </cell>
          <cell r="P3933" t="str">
            <v>Phase 1 - Map Built</v>
          </cell>
          <cell r="Q3933" t="str">
            <v>Cancelled</v>
          </cell>
          <cell r="R3933">
            <v>44894.862800925926</v>
          </cell>
          <cell r="S3933" t="str">
            <v>Tarek Medhat</v>
          </cell>
          <cell r="T3933">
            <v>44915</v>
          </cell>
          <cell r="U3933" t="str">
            <v>Melonie Skeen</v>
          </cell>
        </row>
        <row r="3934">
          <cell r="I3934" t="str">
            <v>EDI</v>
          </cell>
          <cell r="L3934">
            <v>1762</v>
          </cell>
          <cell r="N3934" t="str">
            <v>Dataset Validation</v>
          </cell>
          <cell r="O3934" t="str">
            <v>Everything Benefits</v>
          </cell>
          <cell r="P3934" t="str">
            <v>Phase 1 - Map Built</v>
          </cell>
          <cell r="Q3934" t="str">
            <v>Cancelled</v>
          </cell>
          <cell r="R3934">
            <v>44894.862800925926</v>
          </cell>
          <cell r="S3934" t="str">
            <v>Tarek Medhat</v>
          </cell>
          <cell r="T3934">
            <v>44915</v>
          </cell>
          <cell r="U3934" t="str">
            <v>Melonie Skeen</v>
          </cell>
        </row>
        <row r="3935">
          <cell r="I3935" t="str">
            <v>EDI</v>
          </cell>
          <cell r="L3935">
            <v>1722</v>
          </cell>
          <cell r="N3935" t="str">
            <v>Testing</v>
          </cell>
          <cell r="O3935" t="str">
            <v>Everything Benefits</v>
          </cell>
          <cell r="P3935" t="str">
            <v>Phase 3</v>
          </cell>
          <cell r="Q3935" t="str">
            <v>Cancelled</v>
          </cell>
          <cell r="R3935">
            <v>44894.697777777779</v>
          </cell>
          <cell r="S3935" t="str">
            <v>Mohamed Abdelhamed</v>
          </cell>
          <cell r="T3935">
            <v>44896</v>
          </cell>
          <cell r="U3935" t="str">
            <v>Melonie Skeen</v>
          </cell>
        </row>
        <row r="3936">
          <cell r="I3936" t="str">
            <v>EDI</v>
          </cell>
          <cell r="L3936">
            <v>1726</v>
          </cell>
          <cell r="N3936" t="str">
            <v>Production</v>
          </cell>
          <cell r="O3936" t="str">
            <v>Everything Benefits</v>
          </cell>
          <cell r="P3936" t="str">
            <v>Production</v>
          </cell>
          <cell r="Q3936" t="str">
            <v>Cancelled</v>
          </cell>
          <cell r="R3936">
            <v>44894.581944444442</v>
          </cell>
          <cell r="S3936" t="str">
            <v>Mahmoud Ahmed</v>
          </cell>
          <cell r="T3936">
            <v>44896</v>
          </cell>
          <cell r="U3936" t="str">
            <v>Melonie Skeen</v>
          </cell>
          <cell r="V3936">
            <v>25569</v>
          </cell>
          <cell r="W3936">
            <v>25569</v>
          </cell>
          <cell r="AC3936">
            <v>44969</v>
          </cell>
        </row>
        <row r="3937">
          <cell r="I3937" t="str">
            <v>EDI</v>
          </cell>
          <cell r="L3937">
            <v>1725</v>
          </cell>
          <cell r="N3937" t="str">
            <v>Production</v>
          </cell>
          <cell r="O3937" t="str">
            <v>Everything Benefits</v>
          </cell>
          <cell r="P3937" t="str">
            <v>Production</v>
          </cell>
          <cell r="Q3937" t="str">
            <v>Cancelled</v>
          </cell>
          <cell r="R3937">
            <v>44894.56695601852</v>
          </cell>
          <cell r="S3937" t="str">
            <v>Karen Ramy</v>
          </cell>
          <cell r="T3937">
            <v>44896</v>
          </cell>
          <cell r="U3937" t="str">
            <v>Trish Kalinczok</v>
          </cell>
          <cell r="V3937">
            <v>44898</v>
          </cell>
          <cell r="W3937">
            <v>45172</v>
          </cell>
          <cell r="AC3937">
            <v>45172</v>
          </cell>
        </row>
        <row r="3938">
          <cell r="I3938" t="str">
            <v>EDI</v>
          </cell>
          <cell r="L3938">
            <v>1723</v>
          </cell>
          <cell r="N3938" t="str">
            <v>Production</v>
          </cell>
          <cell r="O3938" t="str">
            <v>No</v>
          </cell>
          <cell r="Q3938" t="str">
            <v>Live</v>
          </cell>
          <cell r="R3938">
            <v>44893.63548611111</v>
          </cell>
          <cell r="S3938" t="str">
            <v>Omar Elmahalwy</v>
          </cell>
          <cell r="T3938">
            <v>44896</v>
          </cell>
          <cell r="U3938" t="str">
            <v>Denise Stubenvoll</v>
          </cell>
          <cell r="V3938">
            <v>45201</v>
          </cell>
          <cell r="W3938">
            <v>44965</v>
          </cell>
          <cell r="Y3938">
            <v>44893</v>
          </cell>
          <cell r="AC3938">
            <v>44965</v>
          </cell>
        </row>
        <row r="3939">
          <cell r="I3939" t="str">
            <v>EDI</v>
          </cell>
          <cell r="L3939">
            <v>1718</v>
          </cell>
          <cell r="N3939" t="str">
            <v>Production</v>
          </cell>
          <cell r="O3939" t="str">
            <v>Everything Benefits</v>
          </cell>
          <cell r="P3939" t="str">
            <v>Production</v>
          </cell>
          <cell r="Q3939" t="str">
            <v>Live</v>
          </cell>
          <cell r="R3939">
            <v>44893.460960648154</v>
          </cell>
          <cell r="S3939" t="str">
            <v>Alaa Yehia</v>
          </cell>
          <cell r="T3939">
            <v>44893</v>
          </cell>
          <cell r="U3939" t="str">
            <v>Melonie Skeen</v>
          </cell>
          <cell r="V3939">
            <v>44903</v>
          </cell>
          <cell r="W3939">
            <v>45026</v>
          </cell>
          <cell r="AC3939">
            <v>45025</v>
          </cell>
        </row>
        <row r="3940">
          <cell r="I3940" t="str">
            <v>EDI</v>
          </cell>
          <cell r="L3940">
            <v>1717</v>
          </cell>
          <cell r="N3940" t="str">
            <v>Production</v>
          </cell>
          <cell r="O3940" t="str">
            <v>Everything Benefits</v>
          </cell>
          <cell r="P3940" t="str">
            <v>Production</v>
          </cell>
          <cell r="Q3940" t="str">
            <v>Cancelled</v>
          </cell>
          <cell r="R3940">
            <v>44893.459872685176</v>
          </cell>
          <cell r="S3940" t="str">
            <v>Alaa Yehia</v>
          </cell>
          <cell r="T3940">
            <v>44893</v>
          </cell>
          <cell r="U3940" t="str">
            <v>Melonie Skeen</v>
          </cell>
          <cell r="V3940">
            <v>44909</v>
          </cell>
          <cell r="W3940">
            <v>45026</v>
          </cell>
          <cell r="AC3940">
            <v>45025</v>
          </cell>
        </row>
        <row r="3941">
          <cell r="I3941" t="str">
            <v>EDI</v>
          </cell>
          <cell r="L3941">
            <v>1709</v>
          </cell>
          <cell r="N3941" t="str">
            <v>Production</v>
          </cell>
          <cell r="O3941" t="str">
            <v>Everything Benefits</v>
          </cell>
          <cell r="P3941" t="str">
            <v>Production</v>
          </cell>
          <cell r="Q3941" t="str">
            <v>Cancelled</v>
          </cell>
          <cell r="R3941">
            <v>44888.877893518518</v>
          </cell>
          <cell r="S3941" t="str">
            <v>Alaa Yehia</v>
          </cell>
          <cell r="T3941">
            <v>44956</v>
          </cell>
          <cell r="U3941" t="str">
            <v>Jene Hamm</v>
          </cell>
          <cell r="V3941">
            <v>25569</v>
          </cell>
          <cell r="W3941">
            <v>45138</v>
          </cell>
          <cell r="AC3941">
            <v>45137</v>
          </cell>
        </row>
        <row r="3942">
          <cell r="I3942" t="str">
            <v>EDI</v>
          </cell>
          <cell r="L3942">
            <v>1708</v>
          </cell>
          <cell r="N3942" t="str">
            <v>Production</v>
          </cell>
          <cell r="O3942" t="str">
            <v>Everything Benefits</v>
          </cell>
          <cell r="P3942" t="str">
            <v>Production</v>
          </cell>
          <cell r="Q3942" t="str">
            <v>Cancelled</v>
          </cell>
          <cell r="R3942">
            <v>44888.872384259259</v>
          </cell>
          <cell r="S3942" t="str">
            <v>Mahmoud Heidar</v>
          </cell>
          <cell r="T3942">
            <v>44889</v>
          </cell>
          <cell r="U3942" t="str">
            <v>Trish Kalinczok</v>
          </cell>
          <cell r="V3942">
            <v>44929</v>
          </cell>
          <cell r="W3942">
            <v>45257</v>
          </cell>
          <cell r="AC3942">
            <v>45252</v>
          </cell>
        </row>
        <row r="3943">
          <cell r="I3943" t="str">
            <v>EDI</v>
          </cell>
          <cell r="L3943">
            <v>1714</v>
          </cell>
          <cell r="N3943" t="str">
            <v>Production</v>
          </cell>
          <cell r="O3943" t="str">
            <v>Everything Benefits</v>
          </cell>
          <cell r="P3943" t="str">
            <v>Production</v>
          </cell>
          <cell r="Q3943" t="str">
            <v>Cancelled</v>
          </cell>
          <cell r="R3943">
            <v>44888.764085648138</v>
          </cell>
          <cell r="S3943" t="str">
            <v>Nada Ashraf</v>
          </cell>
          <cell r="T3943">
            <v>44889</v>
          </cell>
          <cell r="U3943" t="str">
            <v>Melonie Skeen</v>
          </cell>
          <cell r="V3943">
            <v>44907</v>
          </cell>
          <cell r="W3943">
            <v>44901</v>
          </cell>
          <cell r="AC3943">
            <v>44990</v>
          </cell>
        </row>
        <row r="3944">
          <cell r="I3944" t="str">
            <v>EDI</v>
          </cell>
          <cell r="L3944">
            <v>1720</v>
          </cell>
          <cell r="N3944" t="str">
            <v>Production</v>
          </cell>
          <cell r="O3944" t="str">
            <v>No</v>
          </cell>
          <cell r="Q3944" t="str">
            <v>Live</v>
          </cell>
          <cell r="R3944">
            <v>44888.735208333332</v>
          </cell>
          <cell r="S3944" t="str">
            <v>Joseph Atef</v>
          </cell>
          <cell r="T3944">
            <v>44896</v>
          </cell>
          <cell r="U3944" t="str">
            <v>Miranda Naeem</v>
          </cell>
          <cell r="V3944">
            <v>45054</v>
          </cell>
          <cell r="W3944">
            <v>45281</v>
          </cell>
          <cell r="Y3944">
            <v>44895</v>
          </cell>
          <cell r="AC3944">
            <v>45280</v>
          </cell>
        </row>
        <row r="3945">
          <cell r="I3945" t="str">
            <v>EDI</v>
          </cell>
          <cell r="L3945">
            <v>1727</v>
          </cell>
          <cell r="N3945" t="str">
            <v>Production</v>
          </cell>
          <cell r="O3945" t="str">
            <v>No</v>
          </cell>
          <cell r="Q3945" t="str">
            <v>Live</v>
          </cell>
          <cell r="R3945">
            <v>44887.594930555562</v>
          </cell>
          <cell r="S3945" t="str">
            <v>Aya Fathy</v>
          </cell>
          <cell r="T3945">
            <v>44896</v>
          </cell>
          <cell r="U3945" t="str">
            <v>Miranda Naeem</v>
          </cell>
          <cell r="V3945">
            <v>44921</v>
          </cell>
          <cell r="W3945">
            <v>44929</v>
          </cell>
          <cell r="Y3945">
            <v>44889</v>
          </cell>
          <cell r="AC3945">
            <v>44924</v>
          </cell>
        </row>
        <row r="3946">
          <cell r="I3946" t="str">
            <v>EDI</v>
          </cell>
          <cell r="L3946">
            <v>1704</v>
          </cell>
          <cell r="N3946" t="str">
            <v>Production</v>
          </cell>
          <cell r="O3946" t="str">
            <v>Everything Benefits</v>
          </cell>
          <cell r="P3946" t="str">
            <v>Production</v>
          </cell>
          <cell r="Q3946" t="str">
            <v>Live</v>
          </cell>
          <cell r="R3946">
            <v>44887.453136574077</v>
          </cell>
          <cell r="S3946" t="str">
            <v>Mahmoud Ahmed</v>
          </cell>
          <cell r="T3946">
            <v>44887</v>
          </cell>
          <cell r="U3946" t="str">
            <v>Billy Smith</v>
          </cell>
          <cell r="V3946">
            <v>44892</v>
          </cell>
          <cell r="W3946">
            <v>25569</v>
          </cell>
          <cell r="AC3946">
            <v>44899</v>
          </cell>
        </row>
        <row r="3947">
          <cell r="I3947" t="str">
            <v>EDI</v>
          </cell>
          <cell r="L3947">
            <v>1733</v>
          </cell>
          <cell r="N3947" t="str">
            <v>Production</v>
          </cell>
          <cell r="O3947" t="str">
            <v>No</v>
          </cell>
          <cell r="Q3947" t="str">
            <v>Live</v>
          </cell>
          <cell r="R3947">
            <v>44886.808969907397</v>
          </cell>
          <cell r="S3947" t="str">
            <v>Omnia Abdelaziz</v>
          </cell>
          <cell r="T3947">
            <v>44895</v>
          </cell>
          <cell r="U3947" t="str">
            <v>Miranda Naeem</v>
          </cell>
          <cell r="V3947">
            <v>44943</v>
          </cell>
          <cell r="W3947">
            <v>44978</v>
          </cell>
          <cell r="Y3947">
            <v>44889</v>
          </cell>
          <cell r="AC3947">
            <v>44977</v>
          </cell>
        </row>
        <row r="3948">
          <cell r="I3948" t="str">
            <v>EDI</v>
          </cell>
          <cell r="L3948">
            <v>1743</v>
          </cell>
          <cell r="N3948" t="str">
            <v>Production</v>
          </cell>
          <cell r="O3948" t="str">
            <v>No</v>
          </cell>
          <cell r="Q3948" t="str">
            <v>Cancelled</v>
          </cell>
          <cell r="R3948">
            <v>44883.789537037039</v>
          </cell>
          <cell r="S3948" t="str">
            <v>Andrew Ramy</v>
          </cell>
          <cell r="T3948">
            <v>44903</v>
          </cell>
          <cell r="U3948" t="str">
            <v>Miranda Naeem</v>
          </cell>
          <cell r="V3948">
            <v>44942</v>
          </cell>
          <cell r="W3948">
            <v>25569</v>
          </cell>
          <cell r="Y3948">
            <v>44903</v>
          </cell>
          <cell r="AC3948">
            <v>44971</v>
          </cell>
        </row>
        <row r="3949">
          <cell r="I3949" t="str">
            <v>EDI</v>
          </cell>
          <cell r="L3949">
            <v>1739</v>
          </cell>
          <cell r="N3949" t="str">
            <v>Production</v>
          </cell>
          <cell r="O3949" t="str">
            <v>No</v>
          </cell>
          <cell r="Q3949" t="str">
            <v>Live</v>
          </cell>
          <cell r="R3949">
            <v>44882.665636574071</v>
          </cell>
          <cell r="S3949" t="str">
            <v>Mina Adel</v>
          </cell>
          <cell r="T3949">
            <v>44902</v>
          </cell>
          <cell r="U3949" t="str">
            <v>Vicky Wright</v>
          </cell>
          <cell r="V3949">
            <v>44928</v>
          </cell>
          <cell r="W3949">
            <v>25569</v>
          </cell>
          <cell r="Y3949">
            <v>44900</v>
          </cell>
          <cell r="AC3949">
            <v>44979</v>
          </cell>
        </row>
        <row r="3950">
          <cell r="I3950" t="str">
            <v>EDI</v>
          </cell>
          <cell r="L3950">
            <v>1716</v>
          </cell>
          <cell r="N3950" t="str">
            <v>Production</v>
          </cell>
          <cell r="O3950" t="str">
            <v>No</v>
          </cell>
          <cell r="Q3950" t="str">
            <v>Live</v>
          </cell>
          <cell r="R3950">
            <v>44882.614363425928</v>
          </cell>
          <cell r="S3950" t="str">
            <v>Joseph Atef</v>
          </cell>
          <cell r="T3950">
            <v>44893</v>
          </cell>
          <cell r="U3950" t="str">
            <v>Vicky Wright</v>
          </cell>
          <cell r="V3950">
            <v>44931</v>
          </cell>
          <cell r="W3950">
            <v>45183</v>
          </cell>
          <cell r="Y3950">
            <v>44889</v>
          </cell>
          <cell r="AC3950">
            <v>45183</v>
          </cell>
        </row>
        <row r="3951">
          <cell r="I3951" t="str">
            <v>EDI</v>
          </cell>
          <cell r="L3951">
            <v>1715</v>
          </cell>
          <cell r="N3951" t="str">
            <v>Production</v>
          </cell>
          <cell r="O3951" t="str">
            <v>Everything Benefits</v>
          </cell>
          <cell r="P3951" t="str">
            <v>Production</v>
          </cell>
          <cell r="Q3951" t="str">
            <v>Cancelled</v>
          </cell>
          <cell r="R3951">
            <v>44881.791932870372</v>
          </cell>
          <cell r="S3951" t="str">
            <v>Alaa Yehia</v>
          </cell>
          <cell r="T3951">
            <v>44890</v>
          </cell>
          <cell r="U3951" t="str">
            <v>Melonie Skeen</v>
          </cell>
          <cell r="V3951">
            <v>44896</v>
          </cell>
          <cell r="W3951">
            <v>45026</v>
          </cell>
          <cell r="Y3951">
            <v>44882</v>
          </cell>
          <cell r="AC3951">
            <v>45025</v>
          </cell>
        </row>
        <row r="3952">
          <cell r="I3952" t="str">
            <v>EDI</v>
          </cell>
          <cell r="L3952">
            <v>1719</v>
          </cell>
          <cell r="N3952" t="str">
            <v>Production</v>
          </cell>
          <cell r="O3952" t="str">
            <v>No</v>
          </cell>
          <cell r="Q3952" t="str">
            <v>Cancelled</v>
          </cell>
          <cell r="R3952">
            <v>44881.789675925917</v>
          </cell>
          <cell r="S3952" t="str">
            <v>Andrew Ramy</v>
          </cell>
          <cell r="T3952">
            <v>44892</v>
          </cell>
          <cell r="U3952" t="str">
            <v>Vicky Wright</v>
          </cell>
          <cell r="V3952">
            <v>44930</v>
          </cell>
          <cell r="W3952">
            <v>45035</v>
          </cell>
          <cell r="Y3952">
            <v>44882</v>
          </cell>
          <cell r="AC3952">
            <v>45034</v>
          </cell>
        </row>
        <row r="3953">
          <cell r="I3953" t="str">
            <v>EDI</v>
          </cell>
          <cell r="L3953">
            <v>1721</v>
          </cell>
          <cell r="N3953" t="str">
            <v>Production</v>
          </cell>
          <cell r="O3953" t="str">
            <v>No</v>
          </cell>
          <cell r="Q3953" t="str">
            <v>Live</v>
          </cell>
          <cell r="R3953">
            <v>44881.661874999998</v>
          </cell>
          <cell r="S3953" t="str">
            <v>Andrew Ramy</v>
          </cell>
          <cell r="T3953">
            <v>45231</v>
          </cell>
          <cell r="U3953" t="str">
            <v>Miranda Naeem</v>
          </cell>
          <cell r="V3953">
            <v>44928</v>
          </cell>
          <cell r="W3953">
            <v>45291</v>
          </cell>
          <cell r="Y3953">
            <v>44887</v>
          </cell>
          <cell r="AC3953">
            <v>45291</v>
          </cell>
        </row>
        <row r="3954">
          <cell r="I3954" t="str">
            <v>EDI</v>
          </cell>
          <cell r="L3954">
            <v>1729</v>
          </cell>
          <cell r="N3954" t="str">
            <v>Production</v>
          </cell>
          <cell r="O3954" t="str">
            <v>No</v>
          </cell>
          <cell r="Q3954" t="str">
            <v>Live</v>
          </cell>
          <cell r="R3954">
            <v>44880.670937499999</v>
          </cell>
          <cell r="S3954" t="str">
            <v>Mina George</v>
          </cell>
          <cell r="T3954">
            <v>44895</v>
          </cell>
          <cell r="U3954" t="str">
            <v>Denise Stubenvoll</v>
          </cell>
          <cell r="V3954">
            <v>44916</v>
          </cell>
          <cell r="W3954">
            <v>44979</v>
          </cell>
          <cell r="Y3954">
            <v>44894</v>
          </cell>
          <cell r="AC3954">
            <v>44974</v>
          </cell>
        </row>
        <row r="3955">
          <cell r="I3955" t="str">
            <v>EDI</v>
          </cell>
          <cell r="L3955">
            <v>1711</v>
          </cell>
          <cell r="N3955" t="str">
            <v>Production</v>
          </cell>
          <cell r="O3955" t="str">
            <v>No</v>
          </cell>
          <cell r="Q3955" t="str">
            <v>Live</v>
          </cell>
          <cell r="R3955">
            <v>44880.616018518522</v>
          </cell>
          <cell r="S3955" t="str">
            <v>Mina George</v>
          </cell>
          <cell r="T3955">
            <v>44892</v>
          </cell>
          <cell r="V3955">
            <v>44899</v>
          </cell>
          <cell r="W3955">
            <v>44951</v>
          </cell>
          <cell r="Y3955">
            <v>44882</v>
          </cell>
          <cell r="AC3955">
            <v>44949</v>
          </cell>
        </row>
        <row r="3956">
          <cell r="I3956" t="str">
            <v>EDI</v>
          </cell>
          <cell r="L3956">
            <v>1697</v>
          </cell>
          <cell r="N3956" t="str">
            <v>Testing</v>
          </cell>
          <cell r="O3956" t="str">
            <v>eBenefits Network</v>
          </cell>
          <cell r="P3956" t="str">
            <v>Migration Testing</v>
          </cell>
          <cell r="Q3956" t="str">
            <v>Cancelled</v>
          </cell>
          <cell r="R3956">
            <v>44880.588275462957</v>
          </cell>
          <cell r="S3956" t="str">
            <v>Amira Elshora</v>
          </cell>
          <cell r="T3956">
            <v>44888</v>
          </cell>
          <cell r="U3956" t="str">
            <v>Elizabeth Kahle</v>
          </cell>
          <cell r="V3956">
            <v>44882</v>
          </cell>
        </row>
        <row r="3957">
          <cell r="I3957" t="str">
            <v>EDI</v>
          </cell>
          <cell r="L3957">
            <v>1767</v>
          </cell>
          <cell r="N3957" t="str">
            <v>Production</v>
          </cell>
          <cell r="O3957" t="str">
            <v>No</v>
          </cell>
          <cell r="Q3957" t="str">
            <v>Live</v>
          </cell>
          <cell r="R3957">
            <v>44876.787835648152</v>
          </cell>
          <cell r="S3957" t="str">
            <v>Andrew Ramy</v>
          </cell>
          <cell r="T3957">
            <v>44920</v>
          </cell>
          <cell r="U3957" t="str">
            <v>Jene Hamm</v>
          </cell>
          <cell r="V3957">
            <v>25569</v>
          </cell>
          <cell r="W3957">
            <v>45125</v>
          </cell>
          <cell r="Y3957">
            <v>44917</v>
          </cell>
          <cell r="AC3957">
            <v>45123</v>
          </cell>
        </row>
        <row r="3958">
          <cell r="I3958" t="str">
            <v>EDI</v>
          </cell>
          <cell r="L3958">
            <v>1703</v>
          </cell>
          <cell r="N3958" t="str">
            <v>Production</v>
          </cell>
          <cell r="O3958" t="str">
            <v>No</v>
          </cell>
          <cell r="Q3958" t="str">
            <v>Live</v>
          </cell>
          <cell r="R3958">
            <v>44875.757245370369</v>
          </cell>
          <cell r="S3958" t="str">
            <v>Aya Fathy</v>
          </cell>
          <cell r="T3958">
            <v>44885</v>
          </cell>
          <cell r="U3958" t="str">
            <v>Melonie Skeen</v>
          </cell>
          <cell r="V3958">
            <v>44896</v>
          </cell>
          <cell r="W3958">
            <v>25569</v>
          </cell>
          <cell r="Y3958">
            <v>44881</v>
          </cell>
          <cell r="AC3958">
            <v>44924</v>
          </cell>
        </row>
        <row r="3959">
          <cell r="I3959" t="str">
            <v>EDI</v>
          </cell>
          <cell r="L3959">
            <v>1701</v>
          </cell>
          <cell r="N3959" t="str">
            <v>Production</v>
          </cell>
          <cell r="O3959" t="str">
            <v>No</v>
          </cell>
          <cell r="Q3959" t="str">
            <v>Live</v>
          </cell>
          <cell r="R3959">
            <v>44875.74119212963</v>
          </cell>
          <cell r="S3959" t="str">
            <v>Omar Elmahalwy</v>
          </cell>
          <cell r="T3959">
            <v>44889</v>
          </cell>
          <cell r="U3959" t="str">
            <v>Miranda Naeem</v>
          </cell>
          <cell r="V3959">
            <v>44973</v>
          </cell>
          <cell r="W3959">
            <v>45083</v>
          </cell>
          <cell r="Y3959">
            <v>44881</v>
          </cell>
          <cell r="AC3959">
            <v>45083</v>
          </cell>
        </row>
        <row r="3960">
          <cell r="I3960" t="str">
            <v>EDI</v>
          </cell>
          <cell r="L3960">
            <v>1712</v>
          </cell>
          <cell r="N3960" t="str">
            <v>Production</v>
          </cell>
          <cell r="O3960" t="str">
            <v>No</v>
          </cell>
          <cell r="Q3960" t="str">
            <v>Cancelled</v>
          </cell>
          <cell r="R3960">
            <v>44874.847939814812</v>
          </cell>
          <cell r="S3960" t="str">
            <v>Joseph Atef</v>
          </cell>
          <cell r="T3960">
            <v>44888</v>
          </cell>
          <cell r="U3960" t="str">
            <v>Tammy Davies</v>
          </cell>
          <cell r="V3960">
            <v>45156</v>
          </cell>
          <cell r="W3960">
            <v>45476</v>
          </cell>
          <cell r="Y3960">
            <v>44881</v>
          </cell>
          <cell r="AC3960">
            <v>45475</v>
          </cell>
        </row>
        <row r="3961">
          <cell r="I3961" t="str">
            <v>EDI</v>
          </cell>
          <cell r="L3961">
            <v>2021</v>
          </cell>
          <cell r="N3961" t="str">
            <v>Production</v>
          </cell>
          <cell r="O3961" t="str">
            <v>No</v>
          </cell>
          <cell r="Q3961" t="str">
            <v>Cancelled</v>
          </cell>
          <cell r="R3961">
            <v>44874.847928240742</v>
          </cell>
          <cell r="S3961" t="str">
            <v>Omar Elmahalwy</v>
          </cell>
          <cell r="T3961">
            <v>45026</v>
          </cell>
          <cell r="U3961" t="str">
            <v>Tammy Davies</v>
          </cell>
          <cell r="V3961">
            <v>45083</v>
          </cell>
          <cell r="W3961">
            <v>45251</v>
          </cell>
          <cell r="Y3961">
            <v>45022</v>
          </cell>
          <cell r="AC3961">
            <v>45257</v>
          </cell>
        </row>
        <row r="3962">
          <cell r="I3962" t="str">
            <v>EDI</v>
          </cell>
          <cell r="L3962">
            <v>1815</v>
          </cell>
          <cell r="N3962" t="str">
            <v>Production</v>
          </cell>
          <cell r="O3962" t="str">
            <v>No</v>
          </cell>
          <cell r="Q3962" t="str">
            <v>Cancelled</v>
          </cell>
          <cell r="R3962">
            <v>44873.849594907413</v>
          </cell>
          <cell r="S3962" t="str">
            <v>Fady Maged</v>
          </cell>
          <cell r="T3962">
            <v>44948</v>
          </cell>
          <cell r="U3962" t="str">
            <v>Miranda Naeem</v>
          </cell>
          <cell r="V3962">
            <v>44959</v>
          </cell>
          <cell r="W3962">
            <v>45244</v>
          </cell>
          <cell r="Y3962">
            <v>44944</v>
          </cell>
          <cell r="AC3962">
            <v>45241</v>
          </cell>
        </row>
        <row r="3963">
          <cell r="I3963" t="str">
            <v>EDI</v>
          </cell>
          <cell r="L3963">
            <v>1705</v>
          </cell>
          <cell r="N3963" t="str">
            <v>Production</v>
          </cell>
          <cell r="O3963" t="str">
            <v>No</v>
          </cell>
          <cell r="Q3963" t="str">
            <v>Cancelled</v>
          </cell>
          <cell r="R3963">
            <v>44873.849594907413</v>
          </cell>
          <cell r="S3963" t="str">
            <v>Omar Elmahalwy</v>
          </cell>
          <cell r="T3963">
            <v>44889</v>
          </cell>
          <cell r="U3963" t="str">
            <v>Miranda Naeem</v>
          </cell>
          <cell r="V3963">
            <v>25569</v>
          </cell>
          <cell r="W3963">
            <v>45104</v>
          </cell>
          <cell r="Y3963">
            <v>44887</v>
          </cell>
          <cell r="AC3963">
            <v>45103</v>
          </cell>
        </row>
        <row r="3964">
          <cell r="I3964" t="str">
            <v>EDI</v>
          </cell>
          <cell r="L3964">
            <v>1706</v>
          </cell>
          <cell r="N3964" t="str">
            <v>Production</v>
          </cell>
          <cell r="O3964" t="str">
            <v>No</v>
          </cell>
          <cell r="Q3964" t="str">
            <v>Live</v>
          </cell>
          <cell r="R3964">
            <v>44873.678657407407</v>
          </cell>
          <cell r="S3964" t="str">
            <v>Andrew Ramy</v>
          </cell>
          <cell r="T3964">
            <v>44885</v>
          </cell>
          <cell r="U3964" t="str">
            <v>Denise Stubenvoll</v>
          </cell>
          <cell r="V3964">
            <v>25569</v>
          </cell>
          <cell r="W3964">
            <v>45134</v>
          </cell>
          <cell r="Y3964">
            <v>44881</v>
          </cell>
          <cell r="AC3964">
            <v>45125</v>
          </cell>
        </row>
        <row r="3965">
          <cell r="I3965" t="str">
            <v>EDI</v>
          </cell>
          <cell r="L3965">
            <v>1713</v>
          </cell>
          <cell r="N3965" t="str">
            <v>Production</v>
          </cell>
          <cell r="O3965" t="str">
            <v>No</v>
          </cell>
          <cell r="Q3965" t="str">
            <v>Live</v>
          </cell>
          <cell r="R3965">
            <v>44872.765381944453</v>
          </cell>
          <cell r="S3965" t="str">
            <v>Mina Adel</v>
          </cell>
          <cell r="T3965">
            <v>44889</v>
          </cell>
          <cell r="U3965" t="str">
            <v>Vicky Wright</v>
          </cell>
          <cell r="V3965">
            <v>45021</v>
          </cell>
          <cell r="W3965">
            <v>45099</v>
          </cell>
          <cell r="Y3965">
            <v>44888</v>
          </cell>
          <cell r="AC3965">
            <v>45089</v>
          </cell>
        </row>
        <row r="3966">
          <cell r="I3966" t="str">
            <v>EDI</v>
          </cell>
          <cell r="L3966">
            <v>1688</v>
          </cell>
          <cell r="N3966" t="str">
            <v>Production</v>
          </cell>
          <cell r="O3966" t="str">
            <v>Everything Benefits</v>
          </cell>
          <cell r="P3966" t="str">
            <v>Production</v>
          </cell>
          <cell r="Q3966" t="str">
            <v>Live</v>
          </cell>
          <cell r="R3966">
            <v>44868.706817129627</v>
          </cell>
          <cell r="S3966" t="str">
            <v>Mahmoud Ahmed</v>
          </cell>
          <cell r="T3966">
            <v>44943</v>
          </cell>
          <cell r="U3966" t="str">
            <v>Melonie Skeen</v>
          </cell>
          <cell r="V3966">
            <v>44875</v>
          </cell>
          <cell r="W3966">
            <v>45068</v>
          </cell>
          <cell r="Y3966">
            <v>44873</v>
          </cell>
          <cell r="AC3966">
            <v>45067</v>
          </cell>
        </row>
        <row r="3967">
          <cell r="I3967" t="str">
            <v>EDI</v>
          </cell>
          <cell r="L3967">
            <v>1686</v>
          </cell>
          <cell r="N3967" t="str">
            <v>Production</v>
          </cell>
          <cell r="O3967" t="str">
            <v>Everything Benefits</v>
          </cell>
          <cell r="P3967" t="str">
            <v>Production</v>
          </cell>
          <cell r="Q3967" t="str">
            <v>Live</v>
          </cell>
          <cell r="R3967">
            <v>44868.706817129627</v>
          </cell>
          <cell r="S3967" t="str">
            <v>Salma Yamani</v>
          </cell>
          <cell r="T3967">
            <v>44874</v>
          </cell>
          <cell r="U3967" t="str">
            <v>Jene Hamm</v>
          </cell>
          <cell r="V3967">
            <v>44886</v>
          </cell>
          <cell r="W3967">
            <v>45089</v>
          </cell>
          <cell r="Y3967">
            <v>44874</v>
          </cell>
          <cell r="AC3967">
            <v>45088</v>
          </cell>
        </row>
        <row r="3968">
          <cell r="I3968" t="str">
            <v>EDI</v>
          </cell>
          <cell r="L3968">
            <v>1687</v>
          </cell>
          <cell r="N3968" t="str">
            <v>Production</v>
          </cell>
          <cell r="O3968" t="str">
            <v>Everything Benefits</v>
          </cell>
          <cell r="P3968" t="str">
            <v>Production</v>
          </cell>
          <cell r="Q3968" t="str">
            <v>Cancelled</v>
          </cell>
          <cell r="R3968">
            <v>44868.697789351849</v>
          </cell>
          <cell r="S3968" t="str">
            <v>Mirna Azmy</v>
          </cell>
          <cell r="T3968">
            <v>44872</v>
          </cell>
          <cell r="U3968" t="str">
            <v>Jene Hamm</v>
          </cell>
          <cell r="V3968">
            <v>45089</v>
          </cell>
          <cell r="W3968">
            <v>45110</v>
          </cell>
          <cell r="Y3968">
            <v>44872</v>
          </cell>
          <cell r="AC3968">
            <v>45110</v>
          </cell>
        </row>
        <row r="3969">
          <cell r="I3969" t="str">
            <v>EDI</v>
          </cell>
          <cell r="N3969" t="str">
            <v>Requirements Gathering</v>
          </cell>
          <cell r="O3969" t="str">
            <v>No</v>
          </cell>
          <cell r="Q3969" t="str">
            <v>Cancelled</v>
          </cell>
          <cell r="R3969">
            <v>44868.672384259262</v>
          </cell>
          <cell r="S3969" t="str">
            <v>Lourina Edmon</v>
          </cell>
          <cell r="T3969">
            <v>44888</v>
          </cell>
        </row>
        <row r="3970">
          <cell r="I3970" t="str">
            <v>EDI</v>
          </cell>
          <cell r="L3970">
            <v>1696</v>
          </cell>
          <cell r="N3970" t="str">
            <v>Production</v>
          </cell>
          <cell r="O3970" t="str">
            <v>No</v>
          </cell>
          <cell r="Q3970" t="str">
            <v>Cancelled</v>
          </cell>
          <cell r="R3970">
            <v>44867.830462962957</v>
          </cell>
          <cell r="S3970" t="str">
            <v>Omnia Abdelaziz</v>
          </cell>
          <cell r="T3970">
            <v>44892</v>
          </cell>
          <cell r="U3970" t="str">
            <v>Denise Stubenvoll</v>
          </cell>
          <cell r="V3970">
            <v>44931</v>
          </cell>
          <cell r="W3970">
            <v>44972</v>
          </cell>
          <cell r="Y3970">
            <v>44868</v>
          </cell>
          <cell r="AC3970">
            <v>44966</v>
          </cell>
        </row>
        <row r="3971">
          <cell r="I3971" t="str">
            <v>EDI</v>
          </cell>
          <cell r="L3971">
            <v>1699</v>
          </cell>
          <cell r="N3971" t="str">
            <v>Production</v>
          </cell>
          <cell r="O3971" t="str">
            <v>No</v>
          </cell>
          <cell r="Q3971" t="str">
            <v>Live</v>
          </cell>
          <cell r="R3971">
            <v>44867.821377314824</v>
          </cell>
          <cell r="S3971" t="str">
            <v>Ahmed Sami</v>
          </cell>
          <cell r="T3971">
            <v>44895</v>
          </cell>
          <cell r="U3971" t="str">
            <v>Robbie Schappell</v>
          </cell>
          <cell r="V3971">
            <v>44953</v>
          </cell>
          <cell r="W3971">
            <v>45141</v>
          </cell>
          <cell r="Y3971">
            <v>44871</v>
          </cell>
          <cell r="AC3971">
            <v>45141</v>
          </cell>
        </row>
        <row r="3972">
          <cell r="I3972" t="str">
            <v>EDI</v>
          </cell>
          <cell r="N3972" t="str">
            <v>Requirements Gathering</v>
          </cell>
          <cell r="O3972" t="str">
            <v>No</v>
          </cell>
          <cell r="Q3972" t="str">
            <v>Cancelled</v>
          </cell>
          <cell r="R3972">
            <v>44867.584155092591</v>
          </cell>
          <cell r="S3972" t="str">
            <v>Lourina Edmon</v>
          </cell>
          <cell r="T3972">
            <v>44888</v>
          </cell>
          <cell r="U3972" t="str">
            <v>Denise Stubenvoll</v>
          </cell>
        </row>
        <row r="3973">
          <cell r="I3973" t="str">
            <v>EDI</v>
          </cell>
          <cell r="L3973">
            <v>1693</v>
          </cell>
          <cell r="N3973" t="str">
            <v>Production</v>
          </cell>
          <cell r="O3973" t="str">
            <v>No</v>
          </cell>
          <cell r="Q3973" t="str">
            <v>Cancelled</v>
          </cell>
          <cell r="R3973">
            <v>44866.870856481481</v>
          </cell>
          <cell r="S3973" t="str">
            <v>Aya Fathy</v>
          </cell>
          <cell r="T3973">
            <v>44879</v>
          </cell>
          <cell r="U3973" t="str">
            <v>Denise Stubenvoll</v>
          </cell>
          <cell r="V3973">
            <v>44903</v>
          </cell>
          <cell r="W3973">
            <v>44923</v>
          </cell>
          <cell r="Y3973">
            <v>44875</v>
          </cell>
          <cell r="AC3973">
            <v>44917</v>
          </cell>
        </row>
        <row r="3974">
          <cell r="I3974" t="str">
            <v>EDI</v>
          </cell>
          <cell r="L3974">
            <v>1674</v>
          </cell>
          <cell r="N3974" t="str">
            <v>Production</v>
          </cell>
          <cell r="O3974" t="str">
            <v>No</v>
          </cell>
          <cell r="Q3974" t="str">
            <v>Cancelled</v>
          </cell>
          <cell r="R3974">
            <v>44862.850891203707</v>
          </cell>
          <cell r="S3974" t="str">
            <v>Aya Fathy</v>
          </cell>
          <cell r="T3974">
            <v>44867</v>
          </cell>
          <cell r="U3974" t="str">
            <v>Melonie Skeen</v>
          </cell>
          <cell r="V3974">
            <v>44875</v>
          </cell>
          <cell r="W3974">
            <v>44923</v>
          </cell>
          <cell r="Y3974">
            <v>44866</v>
          </cell>
          <cell r="AC3974">
            <v>44917</v>
          </cell>
        </row>
        <row r="3975">
          <cell r="I3975" t="str">
            <v>EDI</v>
          </cell>
          <cell r="L3975">
            <v>1702</v>
          </cell>
          <cell r="N3975" t="str">
            <v>Production</v>
          </cell>
          <cell r="O3975" t="str">
            <v>No</v>
          </cell>
          <cell r="Q3975" t="str">
            <v>Live</v>
          </cell>
          <cell r="R3975">
            <v>44862.625185185178</v>
          </cell>
          <cell r="S3975" t="str">
            <v>Mina Adel</v>
          </cell>
          <cell r="T3975">
            <v>44888</v>
          </cell>
          <cell r="U3975" t="str">
            <v>Miranda Naeem</v>
          </cell>
          <cell r="V3975">
            <v>44929</v>
          </cell>
          <cell r="W3975">
            <v>44957</v>
          </cell>
          <cell r="Y3975">
            <v>44879</v>
          </cell>
          <cell r="AC3975">
            <v>44950</v>
          </cell>
        </row>
        <row r="3976">
          <cell r="I3976" t="str">
            <v>EDI</v>
          </cell>
          <cell r="L3976">
            <v>1677</v>
          </cell>
          <cell r="N3976" t="str">
            <v>Production</v>
          </cell>
          <cell r="O3976" t="str">
            <v>No</v>
          </cell>
          <cell r="Q3976" t="str">
            <v>Live</v>
          </cell>
          <cell r="R3976">
            <v>44862.625185185178</v>
          </cell>
          <cell r="S3976" t="str">
            <v>Mina George</v>
          </cell>
          <cell r="T3976">
            <v>44889</v>
          </cell>
          <cell r="U3976" t="str">
            <v>Miranda Naeem</v>
          </cell>
          <cell r="V3976">
            <v>44944</v>
          </cell>
          <cell r="W3976">
            <v>25569</v>
          </cell>
          <cell r="Y3976">
            <v>44867</v>
          </cell>
          <cell r="AC3976">
            <v>45194</v>
          </cell>
        </row>
        <row r="3977">
          <cell r="I3977" t="str">
            <v>EDI</v>
          </cell>
          <cell r="L3977">
            <v>1672</v>
          </cell>
          <cell r="N3977" t="str">
            <v>Mapping</v>
          </cell>
          <cell r="O3977" t="str">
            <v>No</v>
          </cell>
          <cell r="Q3977" t="str">
            <v>Cancelled</v>
          </cell>
          <cell r="R3977">
            <v>44862.625173611108</v>
          </cell>
          <cell r="S3977" t="str">
            <v>Mina Adel</v>
          </cell>
          <cell r="T3977">
            <v>44888</v>
          </cell>
          <cell r="U3977" t="str">
            <v>Miranda Naeem</v>
          </cell>
          <cell r="Y3977">
            <v>44866</v>
          </cell>
        </row>
        <row r="3978">
          <cell r="I3978" t="str">
            <v>EDI</v>
          </cell>
          <cell r="L3978">
            <v>1679</v>
          </cell>
          <cell r="N3978" t="str">
            <v>Production</v>
          </cell>
          <cell r="O3978" t="str">
            <v>No</v>
          </cell>
          <cell r="Q3978" t="str">
            <v>Live</v>
          </cell>
          <cell r="R3978">
            <v>44862.625173611108</v>
          </cell>
          <cell r="S3978" t="str">
            <v>Omnia Abdelaziz</v>
          </cell>
          <cell r="T3978">
            <v>44892</v>
          </cell>
          <cell r="U3978" t="str">
            <v>Miranda Naeem</v>
          </cell>
          <cell r="V3978">
            <v>44896</v>
          </cell>
          <cell r="W3978">
            <v>44908</v>
          </cell>
          <cell r="Y3978">
            <v>44867</v>
          </cell>
          <cell r="AC3978">
            <v>44903</v>
          </cell>
        </row>
        <row r="3979">
          <cell r="I3979" t="str">
            <v>EDI</v>
          </cell>
          <cell r="L3979">
            <v>1675</v>
          </cell>
          <cell r="N3979" t="str">
            <v>Production</v>
          </cell>
          <cell r="O3979" t="str">
            <v>No</v>
          </cell>
          <cell r="Q3979" t="str">
            <v>Live</v>
          </cell>
          <cell r="R3979">
            <v>44862.597361111111</v>
          </cell>
          <cell r="S3979" t="str">
            <v>Joseph Atef</v>
          </cell>
          <cell r="T3979">
            <v>44888</v>
          </cell>
          <cell r="U3979" t="str">
            <v>Miranda Naeem</v>
          </cell>
          <cell r="V3979">
            <v>44998</v>
          </cell>
          <cell r="W3979">
            <v>45041</v>
          </cell>
          <cell r="Y3979">
            <v>44865</v>
          </cell>
          <cell r="AC3979">
            <v>45035</v>
          </cell>
        </row>
        <row r="3980">
          <cell r="I3980" t="str">
            <v>EDI</v>
          </cell>
          <cell r="L3980">
            <v>1682</v>
          </cell>
          <cell r="N3980" t="str">
            <v>Production</v>
          </cell>
          <cell r="O3980" t="str">
            <v>No</v>
          </cell>
          <cell r="Q3980" t="str">
            <v>Live</v>
          </cell>
          <cell r="R3980">
            <v>44862.597349537027</v>
          </cell>
          <cell r="S3980" t="str">
            <v>Mina Adel Old Account</v>
          </cell>
          <cell r="T3980">
            <v>44871</v>
          </cell>
          <cell r="U3980" t="str">
            <v>Miranda Naeem</v>
          </cell>
          <cell r="V3980">
            <v>44881</v>
          </cell>
          <cell r="W3980">
            <v>44894</v>
          </cell>
          <cell r="Y3980">
            <v>44868</v>
          </cell>
          <cell r="AC3980">
            <v>44887</v>
          </cell>
        </row>
        <row r="3981">
          <cell r="I3981" t="str">
            <v>EDI</v>
          </cell>
          <cell r="L3981">
            <v>1668</v>
          </cell>
          <cell r="N3981" t="str">
            <v>Production</v>
          </cell>
          <cell r="O3981" t="str">
            <v>No</v>
          </cell>
          <cell r="Q3981" t="str">
            <v>Live</v>
          </cell>
          <cell r="R3981">
            <v>44862.597349537027</v>
          </cell>
          <cell r="S3981" t="str">
            <v>Omar Elmahalwy</v>
          </cell>
          <cell r="T3981">
            <v>44889</v>
          </cell>
          <cell r="U3981" t="str">
            <v>Miranda Naeem</v>
          </cell>
          <cell r="V3981">
            <v>44895</v>
          </cell>
          <cell r="W3981">
            <v>44908</v>
          </cell>
          <cell r="Y3981">
            <v>44864</v>
          </cell>
          <cell r="AC3981">
            <v>44907</v>
          </cell>
        </row>
        <row r="3982">
          <cell r="I3982" t="str">
            <v>EDI</v>
          </cell>
          <cell r="L3982">
            <v>1833</v>
          </cell>
          <cell r="N3982" t="str">
            <v>Production</v>
          </cell>
          <cell r="O3982" t="str">
            <v>No</v>
          </cell>
          <cell r="Q3982" t="str">
            <v>Cancelled</v>
          </cell>
          <cell r="R3982">
            <v>44862.581469907411</v>
          </cell>
          <cell r="S3982" t="str">
            <v>Fady Maged</v>
          </cell>
          <cell r="T3982">
            <v>45231</v>
          </cell>
          <cell r="U3982" t="str">
            <v>Miranda Naeem</v>
          </cell>
          <cell r="V3982">
            <v>45054</v>
          </cell>
          <cell r="W3982">
            <v>45281</v>
          </cell>
          <cell r="Y3982">
            <v>44944</v>
          </cell>
          <cell r="AC3982">
            <v>45277</v>
          </cell>
        </row>
        <row r="3983">
          <cell r="I3983" t="str">
            <v>EDI</v>
          </cell>
          <cell r="L3983">
            <v>1671</v>
          </cell>
          <cell r="N3983" t="str">
            <v>Mapping</v>
          </cell>
          <cell r="O3983" t="str">
            <v>No</v>
          </cell>
          <cell r="Q3983" t="str">
            <v>Cancelled</v>
          </cell>
          <cell r="R3983">
            <v>44861.68990740741</v>
          </cell>
          <cell r="S3983" t="str">
            <v>Aya Fathy</v>
          </cell>
          <cell r="T3983">
            <v>44866</v>
          </cell>
          <cell r="U3983" t="str">
            <v>Miranda Naeem</v>
          </cell>
          <cell r="Y3983">
            <v>44865</v>
          </cell>
        </row>
        <row r="3984">
          <cell r="I3984" t="str">
            <v>EDI</v>
          </cell>
          <cell r="L3984">
            <v>1669</v>
          </cell>
          <cell r="N3984" t="str">
            <v>Production</v>
          </cell>
          <cell r="O3984" t="str">
            <v>No</v>
          </cell>
          <cell r="Q3984" t="str">
            <v>Cancelled</v>
          </cell>
          <cell r="R3984">
            <v>44859.60497685185</v>
          </cell>
          <cell r="S3984" t="str">
            <v>Mina Adel</v>
          </cell>
          <cell r="T3984">
            <v>44888</v>
          </cell>
          <cell r="U3984" t="str">
            <v>Miranda Naeem</v>
          </cell>
          <cell r="V3984">
            <v>44983</v>
          </cell>
          <cell r="W3984">
            <v>44992</v>
          </cell>
          <cell r="Y3984">
            <v>44865</v>
          </cell>
          <cell r="AC3984">
            <v>44985</v>
          </cell>
        </row>
        <row r="3985">
          <cell r="I3985" t="str">
            <v>EDI</v>
          </cell>
          <cell r="L3985">
            <v>1684</v>
          </cell>
          <cell r="N3985" t="str">
            <v>Production</v>
          </cell>
          <cell r="O3985" t="str">
            <v>No</v>
          </cell>
          <cell r="Q3985" t="str">
            <v>Cancelled</v>
          </cell>
          <cell r="R3985">
            <v>44859.60496527778</v>
          </cell>
          <cell r="S3985" t="str">
            <v>Andrew Ramy</v>
          </cell>
          <cell r="T3985">
            <v>44871</v>
          </cell>
          <cell r="U3985" t="str">
            <v>Miranda Naeem</v>
          </cell>
          <cell r="V3985">
            <v>44908</v>
          </cell>
          <cell r="W3985">
            <v>44922</v>
          </cell>
          <cell r="Y3985">
            <v>44871</v>
          </cell>
          <cell r="AC3985">
            <v>44916</v>
          </cell>
        </row>
        <row r="3986">
          <cell r="I3986" t="str">
            <v>EDI</v>
          </cell>
          <cell r="L3986">
            <v>1749</v>
          </cell>
          <cell r="N3986" t="str">
            <v>Production</v>
          </cell>
          <cell r="O3986" t="str">
            <v>No</v>
          </cell>
          <cell r="Q3986" t="str">
            <v>Live</v>
          </cell>
          <cell r="R3986">
            <v>44854.741979166669</v>
          </cell>
          <cell r="S3986" t="str">
            <v>Andrew Ramy</v>
          </cell>
          <cell r="T3986">
            <v>44909</v>
          </cell>
          <cell r="U3986" t="str">
            <v>Miranda Naeem</v>
          </cell>
          <cell r="V3986">
            <v>44917</v>
          </cell>
          <cell r="W3986">
            <v>45076</v>
          </cell>
          <cell r="Y3986">
            <v>44907</v>
          </cell>
          <cell r="AC3986">
            <v>45067</v>
          </cell>
        </row>
        <row r="3987">
          <cell r="I3987" t="str">
            <v>EDI</v>
          </cell>
          <cell r="L3987">
            <v>1732</v>
          </cell>
          <cell r="N3987" t="str">
            <v>Production</v>
          </cell>
          <cell r="O3987" t="str">
            <v>No</v>
          </cell>
          <cell r="Q3987" t="str">
            <v>Cancelled</v>
          </cell>
          <cell r="R3987">
            <v>44854.741979166669</v>
          </cell>
          <cell r="S3987" t="str">
            <v>Andrew Ramy</v>
          </cell>
          <cell r="T3987">
            <v>44895</v>
          </cell>
          <cell r="U3987" t="str">
            <v>Miranda Naeem</v>
          </cell>
          <cell r="V3987">
            <v>44917</v>
          </cell>
          <cell r="W3987">
            <v>45006</v>
          </cell>
          <cell r="Y3987">
            <v>44895</v>
          </cell>
          <cell r="AC3987">
            <v>45005</v>
          </cell>
        </row>
        <row r="3988">
          <cell r="I3988" t="str">
            <v>EDI</v>
          </cell>
          <cell r="L3988">
            <v>1653</v>
          </cell>
          <cell r="N3988" t="str">
            <v>Production</v>
          </cell>
          <cell r="O3988" t="str">
            <v>Everything Benefits</v>
          </cell>
          <cell r="P3988" t="str">
            <v>Production</v>
          </cell>
          <cell r="Q3988" t="str">
            <v>Cancelled</v>
          </cell>
          <cell r="R3988">
            <v>44851.739189814813</v>
          </cell>
          <cell r="S3988" t="str">
            <v>Mina Kamil</v>
          </cell>
          <cell r="T3988">
            <v>44889</v>
          </cell>
          <cell r="U3988" t="str">
            <v>Melonie Skeen</v>
          </cell>
          <cell r="V3988">
            <v>44879</v>
          </cell>
          <cell r="W3988">
            <v>25569</v>
          </cell>
          <cell r="AC3988">
            <v>44913</v>
          </cell>
        </row>
        <row r="3989">
          <cell r="I3989" t="str">
            <v>EDI</v>
          </cell>
          <cell r="L3989">
            <v>1652</v>
          </cell>
          <cell r="N3989" t="str">
            <v>Production</v>
          </cell>
          <cell r="O3989" t="str">
            <v>Everything Benefits</v>
          </cell>
          <cell r="P3989" t="str">
            <v>Production</v>
          </cell>
          <cell r="Q3989" t="str">
            <v>Cancelled</v>
          </cell>
          <cell r="R3989">
            <v>44851.739189814813</v>
          </cell>
          <cell r="S3989" t="str">
            <v>Mina Kamil</v>
          </cell>
          <cell r="T3989">
            <v>44889</v>
          </cell>
          <cell r="U3989" t="str">
            <v>Melonie Skeen</v>
          </cell>
          <cell r="V3989">
            <v>44879</v>
          </cell>
          <cell r="W3989">
            <v>44991</v>
          </cell>
          <cell r="AC3989">
            <v>44990</v>
          </cell>
        </row>
        <row r="3990">
          <cell r="I3990" t="str">
            <v>EDI</v>
          </cell>
          <cell r="L3990">
            <v>1735</v>
          </cell>
          <cell r="N3990" t="str">
            <v>Production</v>
          </cell>
          <cell r="O3990" t="str">
            <v>No</v>
          </cell>
          <cell r="Q3990" t="str">
            <v>Cancelled</v>
          </cell>
          <cell r="R3990">
            <v>44851.698020833333</v>
          </cell>
          <cell r="S3990" t="str">
            <v>Omnia Abdelaziz</v>
          </cell>
          <cell r="T3990">
            <v>44900</v>
          </cell>
          <cell r="U3990" t="str">
            <v>Billy Smith</v>
          </cell>
          <cell r="V3990">
            <v>45014</v>
          </cell>
          <cell r="W3990">
            <v>45055</v>
          </cell>
          <cell r="Y3990">
            <v>44899</v>
          </cell>
          <cell r="AC3990">
            <v>45046</v>
          </cell>
        </row>
        <row r="3991">
          <cell r="I3991" t="str">
            <v>EDI</v>
          </cell>
          <cell r="L3991">
            <v>1637</v>
          </cell>
          <cell r="N3991" t="str">
            <v>Testing</v>
          </cell>
          <cell r="O3991" t="str">
            <v>eBenefits Network</v>
          </cell>
          <cell r="P3991" t="str">
            <v>Migration Testing</v>
          </cell>
          <cell r="Q3991" t="str">
            <v>Cancelled</v>
          </cell>
          <cell r="R3991">
            <v>44851.635821759257</v>
          </cell>
          <cell r="S3991" t="str">
            <v>Salma Yamani</v>
          </cell>
          <cell r="T3991">
            <v>44851</v>
          </cell>
          <cell r="U3991" t="str">
            <v>Billy Smith</v>
          </cell>
          <cell r="V3991">
            <v>44905</v>
          </cell>
        </row>
        <row r="3992">
          <cell r="I3992" t="str">
            <v>EDI</v>
          </cell>
          <cell r="L3992">
            <v>1647</v>
          </cell>
          <cell r="N3992" t="str">
            <v>Production</v>
          </cell>
          <cell r="O3992" t="str">
            <v>Everything Benefits</v>
          </cell>
          <cell r="P3992" t="str">
            <v>Production</v>
          </cell>
          <cell r="Q3992" t="str">
            <v>Cancelled</v>
          </cell>
          <cell r="R3992">
            <v>44851.628206018519</v>
          </cell>
          <cell r="S3992" t="str">
            <v>Karim Tarek</v>
          </cell>
          <cell r="T3992">
            <v>44879</v>
          </cell>
          <cell r="U3992" t="str">
            <v>Jene Hamm</v>
          </cell>
          <cell r="V3992">
            <v>44879</v>
          </cell>
          <cell r="W3992">
            <v>45124</v>
          </cell>
          <cell r="AC3992">
            <v>45123</v>
          </cell>
        </row>
        <row r="3993">
          <cell r="I3993" t="str">
            <v>EDI</v>
          </cell>
          <cell r="L3993">
            <v>1651</v>
          </cell>
          <cell r="N3993" t="str">
            <v>Production</v>
          </cell>
          <cell r="O3993" t="str">
            <v>Everything Benefits</v>
          </cell>
          <cell r="P3993" t="str">
            <v>Production</v>
          </cell>
          <cell r="Q3993" t="str">
            <v>Cancelled</v>
          </cell>
          <cell r="R3993">
            <v>44851.628206018519</v>
          </cell>
          <cell r="S3993" t="str">
            <v>Amira Elshora</v>
          </cell>
          <cell r="T3993">
            <v>44888</v>
          </cell>
          <cell r="U3993" t="str">
            <v>Jene Hamm</v>
          </cell>
          <cell r="V3993">
            <v>44855</v>
          </cell>
          <cell r="W3993">
            <v>45175</v>
          </cell>
          <cell r="AC3993">
            <v>45172</v>
          </cell>
        </row>
        <row r="3994">
          <cell r="I3994" t="str">
            <v>EDI</v>
          </cell>
          <cell r="L3994">
            <v>1650</v>
          </cell>
          <cell r="N3994" t="str">
            <v>Production</v>
          </cell>
          <cell r="O3994" t="str">
            <v>Everything Benefits</v>
          </cell>
          <cell r="P3994" t="str">
            <v>Production</v>
          </cell>
          <cell r="Q3994" t="str">
            <v>Cancelled</v>
          </cell>
          <cell r="R3994">
            <v>44851.628206018519</v>
          </cell>
          <cell r="S3994" t="str">
            <v>Karen Ramy</v>
          </cell>
          <cell r="T3994">
            <v>44852</v>
          </cell>
          <cell r="U3994" t="str">
            <v>Jene Hamm</v>
          </cell>
          <cell r="V3994">
            <v>44857</v>
          </cell>
          <cell r="W3994">
            <v>45124</v>
          </cell>
          <cell r="AC3994">
            <v>45123</v>
          </cell>
        </row>
        <row r="3995">
          <cell r="I3995" t="str">
            <v>EDI</v>
          </cell>
          <cell r="L3995">
            <v>1643</v>
          </cell>
          <cell r="N3995" t="str">
            <v>Production</v>
          </cell>
          <cell r="O3995" t="str">
            <v>Everything Benefits</v>
          </cell>
          <cell r="P3995" t="str">
            <v>Production</v>
          </cell>
          <cell r="Q3995" t="str">
            <v>Live</v>
          </cell>
          <cell r="R3995">
            <v>44851.541342592587</v>
          </cell>
          <cell r="S3995" t="str">
            <v>Mohamed Abdelhamed</v>
          </cell>
          <cell r="T3995">
            <v>44852</v>
          </cell>
          <cell r="U3995" t="str">
            <v>Melonie Skeen</v>
          </cell>
          <cell r="V3995">
            <v>44857</v>
          </cell>
          <cell r="W3995">
            <v>44900</v>
          </cell>
          <cell r="AC3995">
            <v>44900</v>
          </cell>
        </row>
        <row r="3996">
          <cell r="I3996" t="str">
            <v>EDI</v>
          </cell>
          <cell r="L3996">
            <v>1663</v>
          </cell>
          <cell r="N3996" t="str">
            <v>Production</v>
          </cell>
          <cell r="O3996" t="str">
            <v>Everything Benefits</v>
          </cell>
          <cell r="P3996" t="str">
            <v>Production</v>
          </cell>
          <cell r="Q3996" t="str">
            <v>Live</v>
          </cell>
          <cell r="R3996">
            <v>44851.541342592587</v>
          </cell>
          <cell r="S3996" t="str">
            <v>Karim Tarek</v>
          </cell>
          <cell r="T3996">
            <v>45237</v>
          </cell>
          <cell r="U3996" t="str">
            <v>Trish Kalinczok</v>
          </cell>
          <cell r="V3996">
            <v>44872</v>
          </cell>
          <cell r="W3996">
            <v>45390</v>
          </cell>
          <cell r="AC3996">
            <v>45389</v>
          </cell>
        </row>
        <row r="3997">
          <cell r="I3997" t="str">
            <v>EDI</v>
          </cell>
          <cell r="L3997">
            <v>1645</v>
          </cell>
          <cell r="N3997" t="str">
            <v>Production</v>
          </cell>
          <cell r="O3997" t="str">
            <v>Everything Benefits</v>
          </cell>
          <cell r="P3997" t="str">
            <v>Production</v>
          </cell>
          <cell r="Q3997" t="str">
            <v>Live</v>
          </cell>
          <cell r="R3997">
            <v>44851.541342592587</v>
          </cell>
          <cell r="S3997" t="str">
            <v>Mahmoud Ahmed</v>
          </cell>
          <cell r="T3997">
            <v>44852</v>
          </cell>
          <cell r="U3997" t="str">
            <v>Jene Hamm</v>
          </cell>
          <cell r="V3997">
            <v>44857</v>
          </cell>
          <cell r="W3997">
            <v>45152</v>
          </cell>
          <cell r="AC3997">
            <v>45151</v>
          </cell>
        </row>
        <row r="3998">
          <cell r="I3998" t="str">
            <v>EDI</v>
          </cell>
          <cell r="L3998">
            <v>1658</v>
          </cell>
          <cell r="N3998" t="str">
            <v>Production</v>
          </cell>
          <cell r="O3998" t="str">
            <v>Everything Benefits</v>
          </cell>
          <cell r="P3998" t="str">
            <v>Production</v>
          </cell>
          <cell r="Q3998" t="str">
            <v>Live</v>
          </cell>
          <cell r="R3998">
            <v>44851.541331018518</v>
          </cell>
          <cell r="S3998" t="str">
            <v>Hazem Rostom</v>
          </cell>
          <cell r="T3998">
            <v>44852</v>
          </cell>
          <cell r="U3998" t="str">
            <v>Melonie Skeen</v>
          </cell>
          <cell r="V3998">
            <v>44944</v>
          </cell>
          <cell r="W3998">
            <v>25569</v>
          </cell>
          <cell r="AC3998">
            <v>45060</v>
          </cell>
        </row>
        <row r="3999">
          <cell r="I3999" t="str">
            <v>EDI</v>
          </cell>
          <cell r="N3999" t="str">
            <v>Requirements Gathering</v>
          </cell>
          <cell r="O3999" t="str">
            <v>No</v>
          </cell>
          <cell r="Q3999" t="str">
            <v>Cancelled</v>
          </cell>
          <cell r="R3999">
            <v>44851.538576388892</v>
          </cell>
          <cell r="S3999" t="str">
            <v>Sandra Adel</v>
          </cell>
          <cell r="T3999">
            <v>44852</v>
          </cell>
          <cell r="U3999" t="str">
            <v>Melonie Skeen</v>
          </cell>
        </row>
        <row r="4000">
          <cell r="I4000" t="str">
            <v>EDI</v>
          </cell>
          <cell r="N4000" t="str">
            <v>Requirements Gathering</v>
          </cell>
          <cell r="O4000" t="str">
            <v>No</v>
          </cell>
          <cell r="Q4000" t="str">
            <v>Cancelled</v>
          </cell>
          <cell r="R4000">
            <v>44851.538576388892</v>
          </cell>
          <cell r="S4000" t="str">
            <v>Sandra Adel</v>
          </cell>
          <cell r="T4000">
            <v>44852</v>
          </cell>
          <cell r="U4000" t="str">
            <v>Melonie Skeen</v>
          </cell>
        </row>
        <row r="4001">
          <cell r="I4001" t="str">
            <v>EDI</v>
          </cell>
          <cell r="N4001" t="str">
            <v>Requirements Gathering</v>
          </cell>
          <cell r="O4001" t="str">
            <v>No</v>
          </cell>
          <cell r="Q4001" t="str">
            <v>Cancelled</v>
          </cell>
          <cell r="R4001">
            <v>44851.538564814808</v>
          </cell>
          <cell r="S4001" t="str">
            <v>Lourina Edmon Old Account</v>
          </cell>
          <cell r="T4001">
            <v>44852</v>
          </cell>
          <cell r="U4001" t="str">
            <v>Melonie Skeen</v>
          </cell>
        </row>
        <row r="4002">
          <cell r="I4002" t="str">
            <v>EDI</v>
          </cell>
          <cell r="N4002" t="str">
            <v>Requirements Gathering</v>
          </cell>
          <cell r="O4002" t="str">
            <v>No</v>
          </cell>
          <cell r="Q4002" t="str">
            <v>Cancelled</v>
          </cell>
          <cell r="R4002">
            <v>44851.538564814808</v>
          </cell>
          <cell r="S4002" t="str">
            <v>Lourina Edmon Old Account</v>
          </cell>
          <cell r="T4002">
            <v>44852</v>
          </cell>
          <cell r="U4002" t="str">
            <v>Melonie Skeen</v>
          </cell>
        </row>
        <row r="4003">
          <cell r="I4003" t="str">
            <v>EDI</v>
          </cell>
          <cell r="N4003" t="str">
            <v>Requirements Gathering</v>
          </cell>
          <cell r="O4003" t="str">
            <v>No</v>
          </cell>
          <cell r="Q4003" t="str">
            <v>Cancelled</v>
          </cell>
          <cell r="R4003">
            <v>44851.538564814808</v>
          </cell>
          <cell r="S4003" t="str">
            <v>Lourina Edmon</v>
          </cell>
          <cell r="T4003">
            <v>44888</v>
          </cell>
          <cell r="U4003" t="str">
            <v>Melonie Skeen</v>
          </cell>
        </row>
        <row r="4004">
          <cell r="I4004" t="str">
            <v>EDI</v>
          </cell>
          <cell r="L4004">
            <v>1641</v>
          </cell>
          <cell r="N4004" t="str">
            <v>Production</v>
          </cell>
          <cell r="O4004" t="str">
            <v>Everything Benefits</v>
          </cell>
          <cell r="P4004" t="str">
            <v>Production</v>
          </cell>
          <cell r="Q4004" t="str">
            <v>Cancelled</v>
          </cell>
          <cell r="R4004">
            <v>44848.741828703707</v>
          </cell>
          <cell r="S4004" t="str">
            <v>Tarek Medhat</v>
          </cell>
          <cell r="T4004">
            <v>44852</v>
          </cell>
          <cell r="U4004" t="str">
            <v>Melonie Skeen</v>
          </cell>
          <cell r="V4004">
            <v>44858</v>
          </cell>
          <cell r="W4004">
            <v>44914</v>
          </cell>
          <cell r="AC4004">
            <v>44913</v>
          </cell>
        </row>
        <row r="4005">
          <cell r="I4005" t="str">
            <v>EDI</v>
          </cell>
          <cell r="L4005">
            <v>1642</v>
          </cell>
          <cell r="N4005" t="str">
            <v>Production</v>
          </cell>
          <cell r="O4005" t="str">
            <v>Everything Benefits</v>
          </cell>
          <cell r="P4005" t="str">
            <v>Production</v>
          </cell>
          <cell r="Q4005" t="str">
            <v>Cancelled</v>
          </cell>
          <cell r="R4005">
            <v>44848.741828703707</v>
          </cell>
          <cell r="S4005" t="str">
            <v>Nada Ashraf</v>
          </cell>
          <cell r="T4005">
            <v>44852</v>
          </cell>
          <cell r="U4005" t="str">
            <v>Melonie Skeen</v>
          </cell>
          <cell r="V4005">
            <v>44881</v>
          </cell>
          <cell r="W4005">
            <v>45005</v>
          </cell>
          <cell r="AC4005">
            <v>45004</v>
          </cell>
        </row>
        <row r="4006">
          <cell r="I4006" t="str">
            <v>EDI</v>
          </cell>
          <cell r="L4006">
            <v>1646</v>
          </cell>
          <cell r="N4006" t="str">
            <v>Production</v>
          </cell>
          <cell r="O4006" t="str">
            <v>Everything Benefits</v>
          </cell>
          <cell r="P4006" t="str">
            <v>Production</v>
          </cell>
          <cell r="Q4006" t="str">
            <v>Live</v>
          </cell>
          <cell r="R4006">
            <v>44848.711527777778</v>
          </cell>
          <cell r="S4006" t="str">
            <v>Alaa Yehia</v>
          </cell>
          <cell r="T4006">
            <v>44870</v>
          </cell>
          <cell r="U4006" t="str">
            <v>Melonie Skeen</v>
          </cell>
          <cell r="V4006">
            <v>44879</v>
          </cell>
          <cell r="W4006">
            <v>45005</v>
          </cell>
          <cell r="Y4006">
            <v>44852</v>
          </cell>
          <cell r="AC4006">
            <v>45004</v>
          </cell>
        </row>
        <row r="4007">
          <cell r="I4007" t="str">
            <v>EDI</v>
          </cell>
          <cell r="L4007">
            <v>1648</v>
          </cell>
          <cell r="N4007" t="str">
            <v>Production</v>
          </cell>
          <cell r="O4007" t="str">
            <v>Everything Benefits</v>
          </cell>
          <cell r="P4007" t="str">
            <v>Production</v>
          </cell>
          <cell r="Q4007" t="str">
            <v>Live</v>
          </cell>
          <cell r="R4007">
            <v>44848.711527777778</v>
          </cell>
          <cell r="S4007" t="str">
            <v>Kareem Osama</v>
          </cell>
          <cell r="T4007">
            <v>44852</v>
          </cell>
          <cell r="U4007" t="str">
            <v>Melonie Skeen</v>
          </cell>
          <cell r="V4007">
            <v>44857</v>
          </cell>
          <cell r="W4007">
            <v>44914</v>
          </cell>
          <cell r="AC4007">
            <v>44913</v>
          </cell>
        </row>
        <row r="4008">
          <cell r="I4008" t="str">
            <v>EDI</v>
          </cell>
          <cell r="L4008">
            <v>1664</v>
          </cell>
          <cell r="N4008" t="str">
            <v>Production</v>
          </cell>
          <cell r="O4008" t="str">
            <v>No</v>
          </cell>
          <cell r="Q4008" t="str">
            <v>Live</v>
          </cell>
          <cell r="R4008">
            <v>44848.644768518519</v>
          </cell>
          <cell r="S4008" t="str">
            <v>Aya Fathy</v>
          </cell>
          <cell r="T4008">
            <v>44860</v>
          </cell>
          <cell r="U4008" t="str">
            <v>Melonie Skeen</v>
          </cell>
          <cell r="V4008">
            <v>44873</v>
          </cell>
          <cell r="W4008">
            <v>44938</v>
          </cell>
          <cell r="Y4008">
            <v>44860</v>
          </cell>
          <cell r="AC4008">
            <v>44932</v>
          </cell>
        </row>
        <row r="4009">
          <cell r="I4009" t="str">
            <v>EDI</v>
          </cell>
          <cell r="L4009">
            <v>1694</v>
          </cell>
          <cell r="N4009" t="str">
            <v>Production</v>
          </cell>
          <cell r="O4009" t="str">
            <v>No</v>
          </cell>
          <cell r="Q4009" t="str">
            <v>Cancelled</v>
          </cell>
          <cell r="R4009">
            <v>44848.644768518519</v>
          </cell>
          <cell r="S4009" t="str">
            <v>Andrew Ramy</v>
          </cell>
          <cell r="T4009">
            <v>44879</v>
          </cell>
          <cell r="U4009" t="str">
            <v>Melonie Skeen</v>
          </cell>
          <cell r="V4009">
            <v>44882</v>
          </cell>
          <cell r="W4009">
            <v>44895</v>
          </cell>
          <cell r="Y4009">
            <v>44878</v>
          </cell>
          <cell r="AC4009">
            <v>44893</v>
          </cell>
        </row>
        <row r="4010">
          <cell r="I4010" t="str">
            <v>EDI</v>
          </cell>
          <cell r="L4010">
            <v>1700</v>
          </cell>
          <cell r="N4010" t="str">
            <v>Production</v>
          </cell>
          <cell r="O4010" t="str">
            <v>No</v>
          </cell>
          <cell r="Q4010" t="str">
            <v>Live</v>
          </cell>
          <cell r="R4010">
            <v>44848.644768518519</v>
          </cell>
          <cell r="S4010" t="str">
            <v>Mina George</v>
          </cell>
          <cell r="T4010">
            <v>44889</v>
          </cell>
          <cell r="U4010" t="str">
            <v>Melonie Skeen</v>
          </cell>
          <cell r="V4010">
            <v>45056</v>
          </cell>
          <cell r="W4010">
            <v>45084</v>
          </cell>
          <cell r="Y4010">
            <v>44880</v>
          </cell>
          <cell r="AC4010">
            <v>45084</v>
          </cell>
        </row>
        <row r="4011">
          <cell r="I4011" t="str">
            <v>EDI</v>
          </cell>
          <cell r="L4011">
            <v>1698</v>
          </cell>
          <cell r="N4011" t="str">
            <v>Production</v>
          </cell>
          <cell r="O4011" t="str">
            <v>No</v>
          </cell>
          <cell r="Q4011" t="str">
            <v>Cancelled</v>
          </cell>
          <cell r="R4011">
            <v>44848.635706018518</v>
          </cell>
          <cell r="S4011" t="str">
            <v>Aya Fathy</v>
          </cell>
          <cell r="T4011">
            <v>44881</v>
          </cell>
          <cell r="U4011" t="str">
            <v>Melonie Skeen</v>
          </cell>
          <cell r="V4011">
            <v>25569</v>
          </cell>
          <cell r="W4011">
            <v>45014</v>
          </cell>
          <cell r="Y4011">
            <v>44879</v>
          </cell>
          <cell r="AC4011">
            <v>45013</v>
          </cell>
        </row>
        <row r="4012">
          <cell r="I4012" t="str">
            <v>EDI</v>
          </cell>
          <cell r="L4012">
            <v>1695</v>
          </cell>
          <cell r="N4012" t="str">
            <v>Production</v>
          </cell>
          <cell r="O4012" t="str">
            <v>No</v>
          </cell>
          <cell r="Q4012" t="str">
            <v>Cancelled</v>
          </cell>
          <cell r="R4012">
            <v>44848.635694444441</v>
          </cell>
          <cell r="S4012" t="str">
            <v>Aya Fathy</v>
          </cell>
          <cell r="T4012">
            <v>44880</v>
          </cell>
          <cell r="U4012" t="str">
            <v>Melonie Skeen</v>
          </cell>
          <cell r="V4012">
            <v>44880</v>
          </cell>
          <cell r="W4012">
            <v>44960</v>
          </cell>
          <cell r="Y4012">
            <v>44880</v>
          </cell>
          <cell r="AC4012">
            <v>44955</v>
          </cell>
        </row>
        <row r="4013">
          <cell r="I4013" t="str">
            <v>EDI</v>
          </cell>
          <cell r="L4013">
            <v>1670</v>
          </cell>
          <cell r="N4013" t="str">
            <v>Production</v>
          </cell>
          <cell r="O4013" t="str">
            <v>No</v>
          </cell>
          <cell r="Q4013" t="str">
            <v>Cancelled</v>
          </cell>
          <cell r="R4013">
            <v>44848.590300925927</v>
          </cell>
          <cell r="S4013" t="str">
            <v>Omnia Abdelaziz</v>
          </cell>
          <cell r="T4013">
            <v>44892</v>
          </cell>
          <cell r="U4013" t="str">
            <v>Billy Smith</v>
          </cell>
          <cell r="V4013">
            <v>44931</v>
          </cell>
          <cell r="W4013">
            <v>44957</v>
          </cell>
          <cell r="Y4013">
            <v>44865</v>
          </cell>
          <cell r="AC4013">
            <v>44949</v>
          </cell>
        </row>
        <row r="4014">
          <cell r="I4014" t="str">
            <v>EDI</v>
          </cell>
          <cell r="L4014">
            <v>1707</v>
          </cell>
          <cell r="N4014" t="str">
            <v>Production</v>
          </cell>
          <cell r="O4014" t="str">
            <v>No</v>
          </cell>
          <cell r="Q4014" t="str">
            <v>Live</v>
          </cell>
          <cell r="R4014">
            <v>44847.827928240738</v>
          </cell>
          <cell r="S4014" t="str">
            <v>Omnia Abdelaziz</v>
          </cell>
          <cell r="T4014">
            <v>44889</v>
          </cell>
          <cell r="V4014">
            <v>44906</v>
          </cell>
          <cell r="W4014">
            <v>44915</v>
          </cell>
          <cell r="Y4014">
            <v>44888</v>
          </cell>
          <cell r="AC4014">
            <v>44909</v>
          </cell>
        </row>
        <row r="4015">
          <cell r="I4015" t="str">
            <v>EDI</v>
          </cell>
          <cell r="L4015">
            <v>1691</v>
          </cell>
          <cell r="N4015" t="str">
            <v>Production</v>
          </cell>
          <cell r="O4015" t="str">
            <v>No</v>
          </cell>
          <cell r="Q4015" t="str">
            <v>Cancelled</v>
          </cell>
          <cell r="R4015">
            <v>44847.821192129632</v>
          </cell>
          <cell r="S4015" t="str">
            <v>Joseph Atef</v>
          </cell>
          <cell r="T4015">
            <v>44888</v>
          </cell>
          <cell r="U4015" t="str">
            <v>Miranda Naeem</v>
          </cell>
          <cell r="V4015">
            <v>44880</v>
          </cell>
          <cell r="W4015">
            <v>44929</v>
          </cell>
          <cell r="Y4015">
            <v>44868</v>
          </cell>
          <cell r="AC4015">
            <v>44929</v>
          </cell>
        </row>
        <row r="4016">
          <cell r="I4016" t="str">
            <v>EDI</v>
          </cell>
          <cell r="L4016">
            <v>1673</v>
          </cell>
          <cell r="N4016" t="str">
            <v>Testing</v>
          </cell>
          <cell r="O4016" t="str">
            <v>No</v>
          </cell>
          <cell r="Q4016" t="str">
            <v>Cancelled</v>
          </cell>
          <cell r="R4016">
            <v>44847.813877314817</v>
          </cell>
          <cell r="S4016" t="str">
            <v>Ahmed Sami</v>
          </cell>
          <cell r="T4016">
            <v>44895</v>
          </cell>
          <cell r="U4016" t="str">
            <v>Miranda Naeem</v>
          </cell>
          <cell r="V4016">
            <v>44895</v>
          </cell>
          <cell r="Y4016">
            <v>44865</v>
          </cell>
        </row>
        <row r="4017">
          <cell r="I4017" t="str">
            <v>EDI</v>
          </cell>
          <cell r="L4017">
            <v>1882</v>
          </cell>
          <cell r="N4017" t="str">
            <v>Production</v>
          </cell>
          <cell r="O4017" t="str">
            <v>No</v>
          </cell>
          <cell r="Q4017" t="str">
            <v>Live</v>
          </cell>
          <cell r="R4017">
            <v>44847.807650462957</v>
          </cell>
          <cell r="S4017" t="str">
            <v>Mina George</v>
          </cell>
          <cell r="T4017">
            <v>44969</v>
          </cell>
          <cell r="U4017" t="str">
            <v>Hans De Grouw</v>
          </cell>
          <cell r="V4017">
            <v>45050</v>
          </cell>
          <cell r="W4017">
            <v>45330</v>
          </cell>
          <cell r="Y4017">
            <v>44969</v>
          </cell>
          <cell r="AC4017">
            <v>45323</v>
          </cell>
        </row>
        <row r="4018">
          <cell r="I4018" t="str">
            <v>EDI</v>
          </cell>
          <cell r="L4018">
            <v>1661</v>
          </cell>
          <cell r="N4018" t="str">
            <v>Production</v>
          </cell>
          <cell r="O4018" t="str">
            <v>No</v>
          </cell>
          <cell r="Q4018" t="str">
            <v>Cancelled</v>
          </cell>
          <cell r="R4018">
            <v>44846.756006944437</v>
          </cell>
          <cell r="S4018" t="str">
            <v>Omar Elmahalwy Old Account</v>
          </cell>
          <cell r="T4018">
            <v>44858</v>
          </cell>
          <cell r="V4018">
            <v>44874</v>
          </cell>
          <cell r="W4018">
            <v>44888</v>
          </cell>
          <cell r="Y4018">
            <v>44855</v>
          </cell>
          <cell r="AC4018">
            <v>44886</v>
          </cell>
        </row>
        <row r="4019">
          <cell r="I4019" t="str">
            <v>EDI</v>
          </cell>
          <cell r="L4019">
            <v>1667</v>
          </cell>
          <cell r="N4019" t="str">
            <v>Testing</v>
          </cell>
          <cell r="O4019" t="str">
            <v>No</v>
          </cell>
          <cell r="Q4019" t="str">
            <v>Cancelled</v>
          </cell>
          <cell r="R4019">
            <v>44844.761956018519</v>
          </cell>
          <cell r="S4019" t="str">
            <v>Mina Adel</v>
          </cell>
          <cell r="T4019">
            <v>44888</v>
          </cell>
          <cell r="V4019">
            <v>44909</v>
          </cell>
          <cell r="Y4019">
            <v>44859</v>
          </cell>
        </row>
        <row r="4020">
          <cell r="I4020" t="str">
            <v>EDI</v>
          </cell>
          <cell r="L4020">
            <v>1633</v>
          </cell>
          <cell r="N4020" t="str">
            <v>Production</v>
          </cell>
          <cell r="O4020" t="str">
            <v>No</v>
          </cell>
          <cell r="Q4020" t="str">
            <v>Cancelled</v>
          </cell>
          <cell r="R4020">
            <v>44844.727743055562</v>
          </cell>
          <cell r="S4020" t="str">
            <v>Omnia Abdelaziz</v>
          </cell>
          <cell r="T4020">
            <v>44892</v>
          </cell>
          <cell r="U4020" t="str">
            <v>Melonie Skeen</v>
          </cell>
          <cell r="V4020">
            <v>44881</v>
          </cell>
          <cell r="W4020">
            <v>44909</v>
          </cell>
          <cell r="Y4020">
            <v>44846</v>
          </cell>
          <cell r="AC4020">
            <v>44903</v>
          </cell>
        </row>
        <row r="4021">
          <cell r="I4021" t="str">
            <v>EDI</v>
          </cell>
          <cell r="L4021">
            <v>1638</v>
          </cell>
          <cell r="N4021" t="str">
            <v>Production</v>
          </cell>
          <cell r="O4021" t="str">
            <v>No</v>
          </cell>
          <cell r="Q4021" t="str">
            <v>Cancelled</v>
          </cell>
          <cell r="R4021">
            <v>44844.727743055562</v>
          </cell>
          <cell r="S4021" t="str">
            <v>Mina George</v>
          </cell>
          <cell r="T4021">
            <v>44889</v>
          </cell>
          <cell r="U4021" t="str">
            <v>Melonie Skeen</v>
          </cell>
          <cell r="V4021">
            <v>44924</v>
          </cell>
          <cell r="W4021">
            <v>45014</v>
          </cell>
          <cell r="Y4021">
            <v>44850</v>
          </cell>
          <cell r="AC4021">
            <v>45013</v>
          </cell>
        </row>
        <row r="4022">
          <cell r="I4022" t="str">
            <v>EDI</v>
          </cell>
          <cell r="L4022">
            <v>1627</v>
          </cell>
          <cell r="N4022" t="str">
            <v>Testing</v>
          </cell>
          <cell r="O4022" t="str">
            <v>Everything Benefits</v>
          </cell>
          <cell r="P4022" t="str">
            <v>Migration Testing</v>
          </cell>
          <cell r="Q4022" t="str">
            <v>Cancelled</v>
          </cell>
          <cell r="R4022">
            <v>44844.617951388893</v>
          </cell>
          <cell r="S4022" t="str">
            <v>Salma Yamani</v>
          </cell>
          <cell r="T4022">
            <v>44844</v>
          </cell>
          <cell r="U4022" t="str">
            <v>Billy Smith</v>
          </cell>
          <cell r="V4022">
            <v>44854</v>
          </cell>
        </row>
        <row r="4023">
          <cell r="I4023" t="str">
            <v>EDI</v>
          </cell>
          <cell r="L4023">
            <v>1628</v>
          </cell>
          <cell r="N4023" t="str">
            <v>Testing</v>
          </cell>
          <cell r="O4023" t="str">
            <v>Everything Benefits</v>
          </cell>
          <cell r="P4023" t="str">
            <v>Migration Testing</v>
          </cell>
          <cell r="Q4023" t="str">
            <v>Cancelled</v>
          </cell>
          <cell r="R4023">
            <v>44844.616782407407</v>
          </cell>
          <cell r="S4023" t="str">
            <v>Salma Yamani</v>
          </cell>
          <cell r="T4023">
            <v>44844</v>
          </cell>
          <cell r="U4023" t="str">
            <v>Billy Smith</v>
          </cell>
          <cell r="V4023">
            <v>44854</v>
          </cell>
        </row>
        <row r="4024">
          <cell r="I4024" t="str">
            <v>EDI</v>
          </cell>
          <cell r="N4024" t="str">
            <v>Requirements Gathering</v>
          </cell>
          <cell r="O4024" t="str">
            <v>No</v>
          </cell>
          <cell r="Q4024" t="str">
            <v>Cancelled</v>
          </cell>
          <cell r="R4024">
            <v>44840.737916666672</v>
          </cell>
          <cell r="S4024" t="str">
            <v>Lourina Edmon Old Account</v>
          </cell>
          <cell r="T4024">
            <v>44843</v>
          </cell>
          <cell r="U4024" t="str">
            <v>Miranda Naeem</v>
          </cell>
        </row>
        <row r="4025">
          <cell r="I4025" t="str">
            <v>EDI</v>
          </cell>
          <cell r="L4025">
            <v>1665</v>
          </cell>
          <cell r="N4025" t="str">
            <v>Production</v>
          </cell>
          <cell r="O4025" t="str">
            <v>No</v>
          </cell>
          <cell r="Q4025" t="str">
            <v>Cancelled</v>
          </cell>
          <cell r="R4025">
            <v>44840.619756944441</v>
          </cell>
          <cell r="S4025" t="str">
            <v>Mina George</v>
          </cell>
          <cell r="T4025">
            <v>44889</v>
          </cell>
          <cell r="U4025" t="str">
            <v>Miranda Naeem</v>
          </cell>
          <cell r="V4025">
            <v>44917</v>
          </cell>
          <cell r="W4025">
            <v>44929</v>
          </cell>
          <cell r="Y4025">
            <v>44853</v>
          </cell>
          <cell r="AC4025">
            <v>44928</v>
          </cell>
        </row>
        <row r="4026">
          <cell r="I4026" t="str">
            <v>EDI</v>
          </cell>
          <cell r="N4026" t="str">
            <v>Requirements Gathering</v>
          </cell>
          <cell r="O4026" t="str">
            <v>No</v>
          </cell>
          <cell r="Q4026" t="str">
            <v>Cancelled</v>
          </cell>
          <cell r="R4026">
            <v>44840.5862037037</v>
          </cell>
          <cell r="S4026" t="str">
            <v>Lourina Edmon Old Account</v>
          </cell>
          <cell r="T4026">
            <v>44881</v>
          </cell>
          <cell r="U4026" t="str">
            <v>Denise Stubenvoll</v>
          </cell>
          <cell r="Y4026">
            <v>44881</v>
          </cell>
        </row>
        <row r="4027">
          <cell r="I4027" t="str">
            <v>EDI</v>
          </cell>
          <cell r="L4027">
            <v>1639</v>
          </cell>
          <cell r="N4027" t="str">
            <v>Production</v>
          </cell>
          <cell r="O4027" t="str">
            <v>No</v>
          </cell>
          <cell r="Q4027" t="str">
            <v>Cancelled</v>
          </cell>
          <cell r="R4027">
            <v>44839.654224537036</v>
          </cell>
          <cell r="S4027" t="str">
            <v>Omar Elmahalwy Old Account</v>
          </cell>
          <cell r="T4027">
            <v>44851</v>
          </cell>
          <cell r="U4027" t="str">
            <v>Miranda Naeem</v>
          </cell>
          <cell r="V4027">
            <v>44859</v>
          </cell>
          <cell r="W4027">
            <v>44880</v>
          </cell>
          <cell r="Y4027">
            <v>44851</v>
          </cell>
          <cell r="AC4027">
            <v>44879</v>
          </cell>
        </row>
        <row r="4028">
          <cell r="I4028" t="str">
            <v>EDI</v>
          </cell>
          <cell r="L4028">
            <v>1783</v>
          </cell>
          <cell r="N4028" t="str">
            <v>Mapping</v>
          </cell>
          <cell r="O4028" t="str">
            <v>No</v>
          </cell>
          <cell r="Q4028" t="str">
            <v>Cancelled</v>
          </cell>
          <cell r="R4028">
            <v>44839.595694444448</v>
          </cell>
          <cell r="S4028" t="str">
            <v>Aya Fathy</v>
          </cell>
          <cell r="T4028">
            <v>44936</v>
          </cell>
          <cell r="U4028" t="str">
            <v>Denise Stubenvoll</v>
          </cell>
          <cell r="Y4028">
            <v>44935</v>
          </cell>
        </row>
        <row r="4029">
          <cell r="I4029" t="str">
            <v>EDI</v>
          </cell>
          <cell r="L4029">
            <v>1662</v>
          </cell>
          <cell r="N4029" t="str">
            <v>Production</v>
          </cell>
          <cell r="O4029" t="str">
            <v>No</v>
          </cell>
          <cell r="Q4029" t="str">
            <v>Cancelled</v>
          </cell>
          <cell r="R4029">
            <v>44839.588275462957</v>
          </cell>
          <cell r="S4029" t="str">
            <v>Joseph Atef</v>
          </cell>
          <cell r="T4029">
            <v>44888</v>
          </cell>
          <cell r="U4029" t="str">
            <v>Miranda Naeem</v>
          </cell>
          <cell r="V4029">
            <v>44942</v>
          </cell>
          <cell r="W4029">
            <v>25569</v>
          </cell>
          <cell r="Y4029">
            <v>44853</v>
          </cell>
          <cell r="AC4029">
            <v>44950</v>
          </cell>
        </row>
        <row r="4030">
          <cell r="I4030" t="str">
            <v>EDI</v>
          </cell>
          <cell r="L4030">
            <v>1636</v>
          </cell>
          <cell r="N4030" t="str">
            <v>Testing</v>
          </cell>
          <cell r="O4030" t="str">
            <v>No</v>
          </cell>
          <cell r="Q4030" t="str">
            <v>Cancelled</v>
          </cell>
          <cell r="R4030">
            <v>44839.588263888887</v>
          </cell>
          <cell r="S4030" t="str">
            <v>Mina Adel</v>
          </cell>
          <cell r="T4030">
            <v>44888</v>
          </cell>
          <cell r="U4030" t="str">
            <v>Miranda Naeem</v>
          </cell>
          <cell r="V4030">
            <v>44861</v>
          </cell>
          <cell r="Y4030">
            <v>44846</v>
          </cell>
        </row>
        <row r="4031">
          <cell r="I4031" t="str">
            <v>EDI</v>
          </cell>
          <cell r="L4031">
            <v>1692</v>
          </cell>
          <cell r="N4031" t="str">
            <v>Production</v>
          </cell>
          <cell r="O4031" t="str">
            <v>No</v>
          </cell>
          <cell r="Q4031" t="str">
            <v>Cancelled</v>
          </cell>
          <cell r="R4031">
            <v>44839.576342592591</v>
          </cell>
          <cell r="S4031" t="str">
            <v>Joseph Atef</v>
          </cell>
          <cell r="T4031">
            <v>44888</v>
          </cell>
          <cell r="U4031" t="str">
            <v>Miranda Naeem</v>
          </cell>
          <cell r="V4031">
            <v>44899</v>
          </cell>
          <cell r="W4031">
            <v>45138</v>
          </cell>
          <cell r="Y4031">
            <v>44874</v>
          </cell>
          <cell r="AC4031">
            <v>45137</v>
          </cell>
        </row>
        <row r="4032">
          <cell r="I4032" t="str">
            <v>EDI</v>
          </cell>
          <cell r="L4032">
            <v>1756</v>
          </cell>
          <cell r="N4032" t="str">
            <v>Production</v>
          </cell>
          <cell r="O4032" t="str">
            <v>No</v>
          </cell>
          <cell r="Q4032" t="str">
            <v>Cancelled</v>
          </cell>
          <cell r="R4032">
            <v>44839.576342592591</v>
          </cell>
          <cell r="S4032" t="str">
            <v>Andrew Ramy</v>
          </cell>
          <cell r="T4032">
            <v>44913</v>
          </cell>
          <cell r="U4032" t="str">
            <v>Miranda Naeem</v>
          </cell>
          <cell r="V4032">
            <v>44938</v>
          </cell>
          <cell r="W4032">
            <v>45083</v>
          </cell>
          <cell r="Y4032">
            <v>44913</v>
          </cell>
          <cell r="AC4032">
            <v>45082</v>
          </cell>
        </row>
        <row r="4033">
          <cell r="I4033" t="str">
            <v>EDI</v>
          </cell>
          <cell r="L4033">
            <v>1654</v>
          </cell>
          <cell r="N4033" t="str">
            <v>Production</v>
          </cell>
          <cell r="O4033" t="str">
            <v>No</v>
          </cell>
          <cell r="Q4033" t="str">
            <v>Cancelled</v>
          </cell>
          <cell r="R4033">
            <v>44837.752372685187</v>
          </cell>
          <cell r="S4033" t="str">
            <v>Aya Fathy</v>
          </cell>
          <cell r="T4033">
            <v>44854</v>
          </cell>
          <cell r="U4033" t="str">
            <v>Denise Stubenvoll</v>
          </cell>
          <cell r="V4033">
            <v>44878</v>
          </cell>
          <cell r="W4033">
            <v>44986</v>
          </cell>
          <cell r="Y4033">
            <v>44850</v>
          </cell>
          <cell r="AC4033">
            <v>44986</v>
          </cell>
        </row>
        <row r="4034">
          <cell r="I4034" t="str">
            <v>EDI</v>
          </cell>
          <cell r="L4034">
            <v>1631</v>
          </cell>
          <cell r="N4034" t="str">
            <v>Production</v>
          </cell>
          <cell r="O4034" t="str">
            <v>No</v>
          </cell>
          <cell r="Q4034" t="str">
            <v>Cancelled</v>
          </cell>
          <cell r="R4034">
            <v>44837.732789351852</v>
          </cell>
          <cell r="S4034" t="str">
            <v>Andrew Ramy</v>
          </cell>
          <cell r="T4034">
            <v>44843</v>
          </cell>
          <cell r="U4034" t="str">
            <v>Denise Stubenvoll</v>
          </cell>
          <cell r="V4034">
            <v>44872</v>
          </cell>
          <cell r="W4034">
            <v>44923</v>
          </cell>
          <cell r="Y4034">
            <v>44839</v>
          </cell>
          <cell r="AC4034">
            <v>44917</v>
          </cell>
        </row>
        <row r="4035">
          <cell r="I4035" t="str">
            <v>EDI</v>
          </cell>
          <cell r="L4035">
            <v>1660</v>
          </cell>
          <cell r="N4035" t="str">
            <v>Production</v>
          </cell>
          <cell r="O4035" t="str">
            <v>No</v>
          </cell>
          <cell r="Q4035" t="str">
            <v>Live</v>
          </cell>
          <cell r="R4035">
            <v>44837.732777777783</v>
          </cell>
          <cell r="S4035" t="str">
            <v>Aya Fathy</v>
          </cell>
          <cell r="T4035">
            <v>44857</v>
          </cell>
          <cell r="U4035" t="str">
            <v>Denise Stubenvoll</v>
          </cell>
          <cell r="V4035">
            <v>44957</v>
          </cell>
          <cell r="W4035">
            <v>45188</v>
          </cell>
          <cell r="Y4035">
            <v>44854</v>
          </cell>
          <cell r="AC4035">
            <v>45181</v>
          </cell>
        </row>
        <row r="4036">
          <cell r="I4036" t="str">
            <v>EDI</v>
          </cell>
          <cell r="L4036">
            <v>1655</v>
          </cell>
          <cell r="N4036" t="str">
            <v>Production</v>
          </cell>
          <cell r="O4036" t="str">
            <v>No</v>
          </cell>
          <cell r="Q4036" t="str">
            <v>Live</v>
          </cell>
          <cell r="R4036">
            <v>44837.732777777783</v>
          </cell>
          <cell r="S4036" t="str">
            <v>Omnia Abdelaziz</v>
          </cell>
          <cell r="T4036">
            <v>44892</v>
          </cell>
          <cell r="U4036" t="str">
            <v>Denise Stubenvoll</v>
          </cell>
          <cell r="V4036">
            <v>44959</v>
          </cell>
          <cell r="W4036">
            <v>45167</v>
          </cell>
          <cell r="Y4036">
            <v>44850</v>
          </cell>
          <cell r="AC4036">
            <v>45162</v>
          </cell>
        </row>
        <row r="4037">
          <cell r="I4037" t="str">
            <v>EDI</v>
          </cell>
          <cell r="L4037">
            <v>1632</v>
          </cell>
          <cell r="N4037" t="str">
            <v>Production</v>
          </cell>
          <cell r="O4037" t="str">
            <v>No</v>
          </cell>
          <cell r="Q4037" t="str">
            <v>Live</v>
          </cell>
          <cell r="R4037">
            <v>44837.732777777783</v>
          </cell>
          <cell r="S4037" t="str">
            <v>Omnia Abdelaziz</v>
          </cell>
          <cell r="T4037">
            <v>44892</v>
          </cell>
          <cell r="U4037" t="str">
            <v>Denise Stubenvoll</v>
          </cell>
          <cell r="V4037">
            <v>44903</v>
          </cell>
          <cell r="W4037">
            <v>44965</v>
          </cell>
          <cell r="Y4037">
            <v>44838</v>
          </cell>
          <cell r="AC4037">
            <v>44949</v>
          </cell>
        </row>
        <row r="4038">
          <cell r="I4038" t="str">
            <v>EDI</v>
          </cell>
          <cell r="L4038">
            <v>1635</v>
          </cell>
          <cell r="N4038" t="str">
            <v>Production</v>
          </cell>
          <cell r="O4038" t="str">
            <v>No</v>
          </cell>
          <cell r="Q4038" t="str">
            <v>Live</v>
          </cell>
          <cell r="R4038">
            <v>44837.732777777783</v>
          </cell>
          <cell r="S4038" t="str">
            <v>Aya Fathy</v>
          </cell>
          <cell r="T4038">
            <v>44847</v>
          </cell>
          <cell r="U4038" t="str">
            <v>Denise Stubenvoll</v>
          </cell>
          <cell r="V4038">
            <v>44854</v>
          </cell>
          <cell r="W4038">
            <v>45035</v>
          </cell>
          <cell r="Y4038">
            <v>44843</v>
          </cell>
          <cell r="AC4038">
            <v>45028</v>
          </cell>
        </row>
        <row r="4039">
          <cell r="I4039" t="str">
            <v>EDI</v>
          </cell>
          <cell r="L4039">
            <v>1657</v>
          </cell>
          <cell r="N4039" t="str">
            <v>Production</v>
          </cell>
          <cell r="O4039" t="str">
            <v>No</v>
          </cell>
          <cell r="Q4039" t="str">
            <v>Live</v>
          </cell>
          <cell r="R4039">
            <v>44834.715590277781</v>
          </cell>
          <cell r="S4039" t="str">
            <v>Andrew Ramy</v>
          </cell>
          <cell r="T4039">
            <v>44854</v>
          </cell>
          <cell r="U4039" t="str">
            <v>Miranda Naeem</v>
          </cell>
          <cell r="V4039">
            <v>44864</v>
          </cell>
          <cell r="W4039">
            <v>44887</v>
          </cell>
          <cell r="Y4039">
            <v>44853</v>
          </cell>
          <cell r="AC4039">
            <v>44882</v>
          </cell>
        </row>
        <row r="4040">
          <cell r="I4040" t="str">
            <v>EDI</v>
          </cell>
          <cell r="L4040">
            <v>1656</v>
          </cell>
          <cell r="N4040" t="str">
            <v>Production</v>
          </cell>
          <cell r="O4040" t="str">
            <v>No</v>
          </cell>
          <cell r="Q4040" t="str">
            <v>Cancelled</v>
          </cell>
          <cell r="R4040">
            <v>44834.715578703697</v>
          </cell>
          <cell r="S4040" t="str">
            <v>Ahmed Sami</v>
          </cell>
          <cell r="T4040">
            <v>44895</v>
          </cell>
          <cell r="U4040" t="str">
            <v>Miranda Naeem</v>
          </cell>
          <cell r="V4040">
            <v>44867</v>
          </cell>
          <cell r="W4040">
            <v>45027</v>
          </cell>
          <cell r="Y4040">
            <v>44853</v>
          </cell>
          <cell r="AC4040">
            <v>45026</v>
          </cell>
        </row>
        <row r="4041">
          <cell r="I4041" t="str">
            <v>EDI</v>
          </cell>
          <cell r="L4041">
            <v>1630</v>
          </cell>
          <cell r="N4041" t="str">
            <v>Production</v>
          </cell>
          <cell r="O4041" t="str">
            <v>No</v>
          </cell>
          <cell r="Q4041" t="str">
            <v>Live</v>
          </cell>
          <cell r="R4041">
            <v>44833.776516203703</v>
          </cell>
          <cell r="S4041" t="str">
            <v>Andrew Ramy</v>
          </cell>
          <cell r="T4041">
            <v>44846</v>
          </cell>
          <cell r="U4041" t="str">
            <v>Miranda Naeem</v>
          </cell>
          <cell r="V4041">
            <v>44944</v>
          </cell>
          <cell r="W4041">
            <v>45006</v>
          </cell>
          <cell r="Y4041">
            <v>44838</v>
          </cell>
          <cell r="AC4041">
            <v>45000</v>
          </cell>
        </row>
        <row r="4042">
          <cell r="I4042" t="str">
            <v>EDI</v>
          </cell>
          <cell r="L4042">
            <v>1736</v>
          </cell>
          <cell r="N4042" t="str">
            <v>Dataset Validation</v>
          </cell>
          <cell r="O4042" t="str">
            <v>No</v>
          </cell>
          <cell r="Q4042" t="str">
            <v>Cancelled</v>
          </cell>
          <cell r="R4042">
            <v>44830.686932870369</v>
          </cell>
          <cell r="S4042" t="str">
            <v>Aya Fathy</v>
          </cell>
          <cell r="T4042">
            <v>44902</v>
          </cell>
          <cell r="U4042" t="str">
            <v>Miranda Naeem</v>
          </cell>
          <cell r="Y4042">
            <v>44900</v>
          </cell>
        </row>
        <row r="4043">
          <cell r="I4043" t="str">
            <v>EDI</v>
          </cell>
          <cell r="L4043">
            <v>1597</v>
          </cell>
          <cell r="N4043" t="str">
            <v>Production</v>
          </cell>
          <cell r="O4043" t="str">
            <v>No</v>
          </cell>
          <cell r="Q4043" t="str">
            <v>Cancelled</v>
          </cell>
          <cell r="R4043">
            <v>44830.68608796296</v>
          </cell>
          <cell r="S4043" t="str">
            <v>Mina George Old Account</v>
          </cell>
          <cell r="T4043">
            <v>44832</v>
          </cell>
          <cell r="U4043" t="str">
            <v>Miranda Naeem</v>
          </cell>
          <cell r="V4043">
            <v>44854</v>
          </cell>
          <cell r="W4043">
            <v>44881</v>
          </cell>
          <cell r="Y4043">
            <v>44831</v>
          </cell>
          <cell r="AC4043">
            <v>44868</v>
          </cell>
        </row>
        <row r="4044">
          <cell r="I4044" t="str">
            <v>EDI</v>
          </cell>
          <cell r="L4044">
            <v>545</v>
          </cell>
          <cell r="N4044" t="str">
            <v>Production</v>
          </cell>
          <cell r="O4044" t="str">
            <v>No</v>
          </cell>
          <cell r="Q4044" t="str">
            <v>Cancelled</v>
          </cell>
          <cell r="R4044">
            <v>44830.619571759264</v>
          </cell>
          <cell r="S4044" t="str">
            <v>Dina Medhat</v>
          </cell>
          <cell r="T4044">
            <v>44832</v>
          </cell>
          <cell r="U4044" t="str">
            <v>Elizabeth Kahle</v>
          </cell>
          <cell r="V4044">
            <v>44650</v>
          </cell>
          <cell r="W4044">
            <v>44651</v>
          </cell>
          <cell r="AC4044">
            <v>44832</v>
          </cell>
        </row>
        <row r="4045">
          <cell r="I4045" t="str">
            <v>EDI</v>
          </cell>
          <cell r="L4045">
            <v>1625</v>
          </cell>
          <cell r="N4045" t="str">
            <v>Production</v>
          </cell>
          <cell r="O4045" t="str">
            <v>No</v>
          </cell>
          <cell r="Q4045" t="str">
            <v>Cancelled</v>
          </cell>
          <cell r="R4045">
            <v>44827.818206018521</v>
          </cell>
          <cell r="S4045" t="str">
            <v>Omnia Abdelaziz</v>
          </cell>
          <cell r="T4045">
            <v>44892</v>
          </cell>
          <cell r="U4045" t="str">
            <v>Denise Stubenvoll</v>
          </cell>
          <cell r="V4045">
            <v>44921</v>
          </cell>
          <cell r="W4045">
            <v>44943</v>
          </cell>
          <cell r="Y4045">
            <v>44840</v>
          </cell>
          <cell r="AC4045">
            <v>44925</v>
          </cell>
        </row>
        <row r="4046">
          <cell r="I4046" t="str">
            <v>EDI</v>
          </cell>
          <cell r="L4046">
            <v>1600</v>
          </cell>
          <cell r="N4046" t="str">
            <v>Production</v>
          </cell>
          <cell r="O4046" t="str">
            <v>Everything Benefits</v>
          </cell>
          <cell r="P4046" t="str">
            <v>Production</v>
          </cell>
          <cell r="Q4046" t="str">
            <v>Cancelled</v>
          </cell>
          <cell r="R4046">
            <v>44827.737303240741</v>
          </cell>
          <cell r="S4046" t="str">
            <v>Mohamed Abdelhamed</v>
          </cell>
          <cell r="T4046">
            <v>44833</v>
          </cell>
          <cell r="U4046" t="str">
            <v>Jene Hamm</v>
          </cell>
          <cell r="V4046">
            <v>44886</v>
          </cell>
          <cell r="W4046">
            <v>45117</v>
          </cell>
          <cell r="Y4046">
            <v>44831</v>
          </cell>
          <cell r="AC4046">
            <v>45116</v>
          </cell>
        </row>
        <row r="4047">
          <cell r="I4047" t="str">
            <v>EDI</v>
          </cell>
          <cell r="L4047">
            <v>1607</v>
          </cell>
          <cell r="N4047" t="str">
            <v>Testing</v>
          </cell>
          <cell r="O4047" t="str">
            <v>Everything Benefits</v>
          </cell>
          <cell r="P4047" t="str">
            <v>Migration Testing</v>
          </cell>
          <cell r="Q4047" t="str">
            <v>Cancelled</v>
          </cell>
          <cell r="R4047">
            <v>44827.737303240741</v>
          </cell>
          <cell r="S4047" t="str">
            <v>Mohamed Abdelhamed</v>
          </cell>
          <cell r="T4047">
            <v>44833</v>
          </cell>
          <cell r="U4047" t="str">
            <v>Jene Hamm</v>
          </cell>
          <cell r="V4047">
            <v>44886</v>
          </cell>
          <cell r="Y4047">
            <v>44831</v>
          </cell>
        </row>
        <row r="4048">
          <cell r="I4048" t="str">
            <v>EDI</v>
          </cell>
          <cell r="L4048">
            <v>1689</v>
          </cell>
          <cell r="N4048" t="str">
            <v>Production</v>
          </cell>
          <cell r="O4048" t="str">
            <v>No</v>
          </cell>
          <cell r="Q4048" t="str">
            <v>Cancelled</v>
          </cell>
          <cell r="R4048">
            <v>44825.758321759262</v>
          </cell>
          <cell r="S4048" t="str">
            <v>Mina George</v>
          </cell>
          <cell r="T4048">
            <v>44889</v>
          </cell>
          <cell r="U4048" t="str">
            <v>Vicky Wright</v>
          </cell>
          <cell r="V4048">
            <v>44881</v>
          </cell>
          <cell r="W4048">
            <v>44971</v>
          </cell>
          <cell r="Y4048">
            <v>44872</v>
          </cell>
          <cell r="AC4048">
            <v>44967</v>
          </cell>
        </row>
        <row r="4049">
          <cell r="I4049" t="str">
            <v>EDI</v>
          </cell>
          <cell r="L4049">
            <v>1605</v>
          </cell>
          <cell r="N4049" t="str">
            <v>Production</v>
          </cell>
          <cell r="O4049" t="str">
            <v>No</v>
          </cell>
          <cell r="Q4049" t="str">
            <v>Cancelled</v>
          </cell>
          <cell r="R4049">
            <v>44825.758321759262</v>
          </cell>
          <cell r="S4049" t="str">
            <v>Omar Elmahalwy Old Account</v>
          </cell>
          <cell r="T4049">
            <v>44836</v>
          </cell>
          <cell r="U4049" t="str">
            <v>Denise Stubenvoll</v>
          </cell>
          <cell r="V4049">
            <v>44838</v>
          </cell>
          <cell r="W4049">
            <v>25569</v>
          </cell>
          <cell r="Y4049">
            <v>44836</v>
          </cell>
          <cell r="AC4049">
            <v>44847</v>
          </cell>
        </row>
        <row r="4050">
          <cell r="I4050" t="str">
            <v>EDI</v>
          </cell>
          <cell r="L4050">
            <v>1596</v>
          </cell>
          <cell r="N4050" t="str">
            <v>Production</v>
          </cell>
          <cell r="O4050" t="str">
            <v>Everything Benefits</v>
          </cell>
          <cell r="P4050" t="str">
            <v>Production</v>
          </cell>
          <cell r="Q4050" t="str">
            <v>Cancelled</v>
          </cell>
          <cell r="R4050">
            <v>44823.656400462962</v>
          </cell>
          <cell r="S4050" t="str">
            <v>Salma Yamani</v>
          </cell>
          <cell r="T4050">
            <v>44833</v>
          </cell>
          <cell r="U4050" t="str">
            <v>Melonie Skeen</v>
          </cell>
          <cell r="V4050">
            <v>44838</v>
          </cell>
          <cell r="W4050">
            <v>44928</v>
          </cell>
          <cell r="Y4050">
            <v>44824</v>
          </cell>
          <cell r="AC4050">
            <v>44928</v>
          </cell>
        </row>
        <row r="4051">
          <cell r="I4051" t="str">
            <v>EDI</v>
          </cell>
          <cell r="L4051">
            <v>1593</v>
          </cell>
          <cell r="N4051" t="str">
            <v>Production</v>
          </cell>
          <cell r="O4051" t="str">
            <v>Everything Benefits</v>
          </cell>
          <cell r="P4051" t="str">
            <v>Production</v>
          </cell>
          <cell r="Q4051" t="str">
            <v>Cancelled</v>
          </cell>
          <cell r="R4051">
            <v>44823.656400462962</v>
          </cell>
          <cell r="S4051" t="str">
            <v>Nada Ashraf</v>
          </cell>
          <cell r="T4051">
            <v>44832</v>
          </cell>
          <cell r="U4051" t="str">
            <v>Melonie Skeen</v>
          </cell>
          <cell r="V4051">
            <v>44838</v>
          </cell>
          <cell r="W4051">
            <v>44949</v>
          </cell>
          <cell r="Y4051">
            <v>44824</v>
          </cell>
          <cell r="AC4051">
            <v>44948</v>
          </cell>
        </row>
        <row r="4052">
          <cell r="I4052" t="str">
            <v>EDI</v>
          </cell>
          <cell r="L4052">
            <v>1568</v>
          </cell>
          <cell r="N4052" t="str">
            <v>Production</v>
          </cell>
          <cell r="O4052" t="str">
            <v>Everything Benefits</v>
          </cell>
          <cell r="P4052" t="str">
            <v>Production</v>
          </cell>
          <cell r="Q4052" t="str">
            <v>Live</v>
          </cell>
          <cell r="R4052">
            <v>44823.551469907397</v>
          </cell>
          <cell r="S4052" t="str">
            <v>Nada Ashraf</v>
          </cell>
          <cell r="T4052">
            <v>44825</v>
          </cell>
          <cell r="U4052" t="str">
            <v>Melonie Skeen</v>
          </cell>
          <cell r="V4052">
            <v>44830</v>
          </cell>
          <cell r="W4052">
            <v>25569</v>
          </cell>
          <cell r="Y4052">
            <v>44824</v>
          </cell>
          <cell r="AC4052">
            <v>44892</v>
          </cell>
        </row>
        <row r="4053">
          <cell r="I4053" t="str">
            <v>EDI</v>
          </cell>
          <cell r="L4053">
            <v>1644</v>
          </cell>
          <cell r="N4053" t="str">
            <v>Production</v>
          </cell>
          <cell r="O4053" t="str">
            <v>No</v>
          </cell>
          <cell r="Q4053" t="str">
            <v>Cancelled</v>
          </cell>
          <cell r="R4053">
            <v>44820.526770833327</v>
          </cell>
          <cell r="S4053" t="str">
            <v>Andrew Ramy</v>
          </cell>
          <cell r="T4053">
            <v>44851</v>
          </cell>
          <cell r="U4053" t="str">
            <v>Denise Stubenvoll</v>
          </cell>
          <cell r="V4053">
            <v>44860</v>
          </cell>
          <cell r="W4053">
            <v>44888</v>
          </cell>
          <cell r="Y4053">
            <v>44850</v>
          </cell>
          <cell r="AC4053">
            <v>44882</v>
          </cell>
        </row>
        <row r="4054">
          <cell r="I4054" t="str">
            <v>EDI</v>
          </cell>
          <cell r="L4054">
            <v>1587</v>
          </cell>
          <cell r="N4054" t="str">
            <v>Production</v>
          </cell>
          <cell r="O4054" t="str">
            <v>No</v>
          </cell>
          <cell r="Q4054" t="str">
            <v>Cancelled</v>
          </cell>
          <cell r="R4054">
            <v>44820.500405092593</v>
          </cell>
          <cell r="S4054" t="str">
            <v>Andrew Ramy</v>
          </cell>
          <cell r="T4054">
            <v>44831</v>
          </cell>
          <cell r="U4054" t="str">
            <v>Denise Stubenvoll</v>
          </cell>
          <cell r="V4054">
            <v>44850</v>
          </cell>
          <cell r="W4054">
            <v>44910</v>
          </cell>
          <cell r="Y4054">
            <v>44829</v>
          </cell>
          <cell r="AC4054">
            <v>44908</v>
          </cell>
        </row>
        <row r="4055">
          <cell r="I4055" t="str">
            <v>EDI</v>
          </cell>
          <cell r="N4055" t="str">
            <v>Requirements Gathering</v>
          </cell>
          <cell r="O4055" t="str">
            <v>No</v>
          </cell>
          <cell r="Q4055" t="str">
            <v>Cancelled</v>
          </cell>
          <cell r="R4055">
            <v>44820.500405092593</v>
          </cell>
          <cell r="S4055" t="str">
            <v>Sandra Adel</v>
          </cell>
          <cell r="T4055">
            <v>44822</v>
          </cell>
          <cell r="U4055" t="str">
            <v>Denise Stubenvoll</v>
          </cell>
        </row>
        <row r="4056">
          <cell r="I4056" t="str">
            <v>EDI</v>
          </cell>
          <cell r="L4056">
            <v>1602</v>
          </cell>
          <cell r="N4056" t="str">
            <v>Production</v>
          </cell>
          <cell r="O4056" t="str">
            <v>No</v>
          </cell>
          <cell r="Q4056" t="str">
            <v>Cancelled</v>
          </cell>
          <cell r="R4056">
            <v>44820.494756944441</v>
          </cell>
          <cell r="S4056" t="str">
            <v>Omar Elmahalwy</v>
          </cell>
          <cell r="T4056">
            <v>44889</v>
          </cell>
          <cell r="U4056" t="str">
            <v>Miranda Naeem</v>
          </cell>
          <cell r="V4056">
            <v>45008</v>
          </cell>
          <cell r="W4056">
            <v>45078</v>
          </cell>
          <cell r="Y4056">
            <v>44836</v>
          </cell>
          <cell r="AC4056">
            <v>45060</v>
          </cell>
        </row>
        <row r="4057">
          <cell r="I4057" t="str">
            <v>EDI</v>
          </cell>
          <cell r="N4057" t="str">
            <v>Requirements Gathering</v>
          </cell>
          <cell r="O4057" t="str">
            <v>No</v>
          </cell>
          <cell r="Q4057" t="str">
            <v>Cancelled</v>
          </cell>
          <cell r="R4057">
            <v>44820.494756944441</v>
          </cell>
          <cell r="S4057" t="str">
            <v>Lourina Edmon Old Account</v>
          </cell>
          <cell r="T4057">
            <v>44822</v>
          </cell>
          <cell r="U4057" t="str">
            <v>Miranda Naeem</v>
          </cell>
        </row>
        <row r="4058">
          <cell r="I4058" t="str">
            <v>EDI</v>
          </cell>
          <cell r="L4058">
            <v>1555</v>
          </cell>
          <cell r="N4058" t="str">
            <v>Production</v>
          </cell>
          <cell r="O4058" t="str">
            <v>Everything Benefits</v>
          </cell>
          <cell r="P4058" t="str">
            <v>Production</v>
          </cell>
          <cell r="Q4058" t="str">
            <v>Cancelled</v>
          </cell>
          <cell r="R4058">
            <v>44819.513854166667</v>
          </cell>
          <cell r="S4058" t="str">
            <v>Tarek Medhat</v>
          </cell>
          <cell r="T4058">
            <v>44821</v>
          </cell>
          <cell r="U4058" t="str">
            <v>Margaret Robinson</v>
          </cell>
          <cell r="V4058">
            <v>44866</v>
          </cell>
          <cell r="W4058">
            <v>45051</v>
          </cell>
          <cell r="AC4058">
            <v>45046</v>
          </cell>
        </row>
        <row r="4059">
          <cell r="I4059" t="str">
            <v>EDI</v>
          </cell>
          <cell r="L4059">
            <v>1556</v>
          </cell>
          <cell r="N4059" t="str">
            <v>Production</v>
          </cell>
          <cell r="O4059" t="str">
            <v>Everything Benefits</v>
          </cell>
          <cell r="P4059" t="str">
            <v>Production</v>
          </cell>
          <cell r="Q4059" t="str">
            <v>Cancelled</v>
          </cell>
          <cell r="R4059">
            <v>44819.51284722222</v>
          </cell>
          <cell r="S4059" t="str">
            <v>Tarek Medhat</v>
          </cell>
          <cell r="T4059">
            <v>44821</v>
          </cell>
          <cell r="U4059" t="str">
            <v>Margaret Robinson</v>
          </cell>
          <cell r="V4059">
            <v>44866</v>
          </cell>
          <cell r="W4059">
            <v>45051</v>
          </cell>
          <cell r="AC4059">
            <v>45046</v>
          </cell>
        </row>
        <row r="4060">
          <cell r="I4060" t="str">
            <v>EDI</v>
          </cell>
          <cell r="L4060">
            <v>1510</v>
          </cell>
          <cell r="N4060" t="str">
            <v>Production</v>
          </cell>
          <cell r="O4060" t="str">
            <v>Everything Benefits</v>
          </cell>
          <cell r="P4060" t="str">
            <v>Production</v>
          </cell>
          <cell r="Q4060" t="str">
            <v>Cancelled</v>
          </cell>
          <cell r="R4060">
            <v>44817.4844212963</v>
          </cell>
          <cell r="S4060" t="str">
            <v>Mohamed Abdelhamed</v>
          </cell>
          <cell r="T4060">
            <v>44870</v>
          </cell>
          <cell r="U4060" t="str">
            <v>Melonie Skeen</v>
          </cell>
          <cell r="V4060">
            <v>44887</v>
          </cell>
          <cell r="W4060">
            <v>44977</v>
          </cell>
          <cell r="AC4060">
            <v>44976</v>
          </cell>
        </row>
        <row r="4061">
          <cell r="I4061" t="str">
            <v>EDI</v>
          </cell>
          <cell r="L4061">
            <v>1526</v>
          </cell>
          <cell r="N4061" t="str">
            <v>Production</v>
          </cell>
          <cell r="O4061" t="str">
            <v>Everything Benefits</v>
          </cell>
          <cell r="P4061" t="str">
            <v>Production</v>
          </cell>
          <cell r="Q4061" t="str">
            <v>Live</v>
          </cell>
          <cell r="R4061">
            <v>44817.399918981479</v>
          </cell>
          <cell r="S4061" t="str">
            <v>Salma Yamani</v>
          </cell>
          <cell r="T4061">
            <v>44817</v>
          </cell>
          <cell r="U4061" t="str">
            <v>Melodie Coles</v>
          </cell>
          <cell r="V4061">
            <v>44845</v>
          </cell>
          <cell r="W4061">
            <v>44908</v>
          </cell>
          <cell r="AC4061">
            <v>44878</v>
          </cell>
        </row>
        <row r="4062">
          <cell r="I4062" t="str">
            <v>EDI</v>
          </cell>
          <cell r="L4062">
            <v>1594</v>
          </cell>
          <cell r="N4062" t="str">
            <v>Testing</v>
          </cell>
          <cell r="O4062" t="str">
            <v>No</v>
          </cell>
          <cell r="Q4062" t="str">
            <v>Cancelled</v>
          </cell>
          <cell r="R4062">
            <v>44816.760636574072</v>
          </cell>
          <cell r="S4062" t="str">
            <v>Mina Adel</v>
          </cell>
          <cell r="T4062">
            <v>44888</v>
          </cell>
          <cell r="V4062">
            <v>44844</v>
          </cell>
          <cell r="Y4062">
            <v>44831</v>
          </cell>
        </row>
        <row r="4063">
          <cell r="I4063" t="str">
            <v>EDI</v>
          </cell>
          <cell r="L4063">
            <v>1537</v>
          </cell>
          <cell r="N4063" t="str">
            <v>Production</v>
          </cell>
          <cell r="O4063" t="str">
            <v>Everything Benefits</v>
          </cell>
          <cell r="P4063" t="str">
            <v>Production</v>
          </cell>
          <cell r="Q4063" t="str">
            <v>Cancelled</v>
          </cell>
          <cell r="R4063">
            <v>44816.728668981479</v>
          </cell>
          <cell r="S4063" t="str">
            <v>Alaa Yehia</v>
          </cell>
          <cell r="T4063">
            <v>44821</v>
          </cell>
          <cell r="U4063" t="str">
            <v>Kayla Szczepanski</v>
          </cell>
          <cell r="V4063">
            <v>44838</v>
          </cell>
          <cell r="W4063">
            <v>25569</v>
          </cell>
          <cell r="Y4063">
            <v>44818</v>
          </cell>
          <cell r="AC4063">
            <v>44843</v>
          </cell>
        </row>
        <row r="4064">
          <cell r="I4064" t="str">
            <v>EDI</v>
          </cell>
          <cell r="L4064">
            <v>1535</v>
          </cell>
          <cell r="N4064" t="str">
            <v>Production</v>
          </cell>
          <cell r="O4064" t="str">
            <v>Everything Benefits</v>
          </cell>
          <cell r="P4064" t="str">
            <v>Production</v>
          </cell>
          <cell r="Q4064" t="str">
            <v>Cancelled</v>
          </cell>
          <cell r="R4064">
            <v>44816.728668981479</v>
          </cell>
          <cell r="S4064" t="str">
            <v>Tarek Medhat</v>
          </cell>
          <cell r="T4064">
            <v>44821</v>
          </cell>
          <cell r="U4064" t="str">
            <v>Margaret Robinson</v>
          </cell>
          <cell r="V4064">
            <v>44867</v>
          </cell>
          <cell r="W4064">
            <v>45047</v>
          </cell>
          <cell r="AC4064">
            <v>45046</v>
          </cell>
        </row>
        <row r="4065">
          <cell r="I4065" t="str">
            <v>EDI</v>
          </cell>
          <cell r="L4065">
            <v>1531</v>
          </cell>
          <cell r="N4065" t="str">
            <v>Production</v>
          </cell>
          <cell r="O4065" t="str">
            <v>Everything Benefits</v>
          </cell>
          <cell r="P4065" t="str">
            <v>Production</v>
          </cell>
          <cell r="Q4065" t="str">
            <v>Cancelled</v>
          </cell>
          <cell r="R4065">
            <v>44816.72865740741</v>
          </cell>
          <cell r="S4065" t="str">
            <v>Amira Elshora Old Account</v>
          </cell>
          <cell r="T4065">
            <v>44821</v>
          </cell>
          <cell r="V4065">
            <v>44831</v>
          </cell>
          <cell r="W4065">
            <v>44844</v>
          </cell>
          <cell r="Y4065">
            <v>44819</v>
          </cell>
          <cell r="AC4065">
            <v>44843</v>
          </cell>
        </row>
        <row r="4066">
          <cell r="I4066" t="str">
            <v>EDI</v>
          </cell>
          <cell r="L4066">
            <v>1532</v>
          </cell>
          <cell r="N4066" t="str">
            <v>Production</v>
          </cell>
          <cell r="O4066" t="str">
            <v>Everything Benefits</v>
          </cell>
          <cell r="P4066" t="str">
            <v>Production</v>
          </cell>
          <cell r="Q4066" t="str">
            <v>Live</v>
          </cell>
          <cell r="R4066">
            <v>44816.72865740741</v>
          </cell>
          <cell r="S4066" t="str">
            <v>Mohamed Abdelhamed</v>
          </cell>
          <cell r="T4066">
            <v>44821</v>
          </cell>
          <cell r="V4066">
            <v>44836</v>
          </cell>
          <cell r="W4066">
            <v>44846</v>
          </cell>
          <cell r="AC4066">
            <v>44843</v>
          </cell>
        </row>
        <row r="4067">
          <cell r="I4067" t="str">
            <v>EDI</v>
          </cell>
          <cell r="L4067">
            <v>1710</v>
          </cell>
          <cell r="N4067" t="str">
            <v>Production</v>
          </cell>
          <cell r="O4067" t="str">
            <v>No</v>
          </cell>
          <cell r="Q4067" t="str">
            <v>Live</v>
          </cell>
          <cell r="R4067">
            <v>44816.654965277783</v>
          </cell>
          <cell r="S4067" t="str">
            <v>Aya Fathy</v>
          </cell>
          <cell r="T4067">
            <v>44889</v>
          </cell>
          <cell r="U4067" t="str">
            <v>Jene Hamm</v>
          </cell>
          <cell r="V4067">
            <v>44959</v>
          </cell>
          <cell r="W4067">
            <v>45219</v>
          </cell>
          <cell r="Y4067">
            <v>44889</v>
          </cell>
          <cell r="AC4067">
            <v>45217</v>
          </cell>
        </row>
        <row r="4068">
          <cell r="I4068" t="str">
            <v>EDI</v>
          </cell>
          <cell r="L4068">
            <v>1578</v>
          </cell>
          <cell r="N4068" t="str">
            <v>Production</v>
          </cell>
          <cell r="O4068" t="str">
            <v>No</v>
          </cell>
          <cell r="Q4068" t="str">
            <v>Live</v>
          </cell>
          <cell r="R4068">
            <v>44816.654965277783</v>
          </cell>
          <cell r="S4068" t="str">
            <v>Andrew Ramy</v>
          </cell>
          <cell r="T4068">
            <v>44829</v>
          </cell>
          <cell r="U4068" t="str">
            <v>Denise Stubenvoll</v>
          </cell>
          <cell r="V4068">
            <v>44836</v>
          </cell>
          <cell r="W4068">
            <v>25569</v>
          </cell>
          <cell r="Y4068">
            <v>44824</v>
          </cell>
          <cell r="AC4068">
            <v>44970</v>
          </cell>
        </row>
        <row r="4069">
          <cell r="I4069" t="str">
            <v>EDI</v>
          </cell>
          <cell r="L4069">
            <v>1580</v>
          </cell>
          <cell r="N4069" t="str">
            <v>Production</v>
          </cell>
          <cell r="O4069" t="str">
            <v>No</v>
          </cell>
          <cell r="Q4069" t="str">
            <v>Live</v>
          </cell>
          <cell r="R4069">
            <v>44816.654965277783</v>
          </cell>
          <cell r="S4069" t="str">
            <v>Omar Elmahalwy</v>
          </cell>
          <cell r="T4069">
            <v>44889</v>
          </cell>
          <cell r="U4069" t="str">
            <v>Denise Stubenvoll</v>
          </cell>
          <cell r="V4069">
            <v>45125</v>
          </cell>
          <cell r="W4069">
            <v>25569</v>
          </cell>
          <cell r="Y4069">
            <v>44825</v>
          </cell>
          <cell r="AC4069">
            <v>45160</v>
          </cell>
        </row>
        <row r="4070">
          <cell r="I4070" t="str">
            <v>EDI</v>
          </cell>
          <cell r="N4070" t="str">
            <v>Requirements Gathering</v>
          </cell>
          <cell r="O4070" t="str">
            <v>No</v>
          </cell>
          <cell r="Q4070" t="str">
            <v>Cancelled</v>
          </cell>
          <cell r="R4070">
            <v>44816.654965277783</v>
          </cell>
          <cell r="S4070" t="str">
            <v>Sandra Adel</v>
          </cell>
          <cell r="T4070">
            <v>44817</v>
          </cell>
          <cell r="U4070" t="str">
            <v>Denise Stubenvoll</v>
          </cell>
        </row>
        <row r="4071">
          <cell r="I4071" t="str">
            <v>EDI</v>
          </cell>
          <cell r="L4071">
            <v>1590</v>
          </cell>
          <cell r="N4071" t="str">
            <v>Production</v>
          </cell>
          <cell r="O4071" t="str">
            <v>No</v>
          </cell>
          <cell r="Q4071" t="str">
            <v>Live</v>
          </cell>
          <cell r="R4071">
            <v>44816.580208333333</v>
          </cell>
          <cell r="S4071" t="str">
            <v>Joseph Atef</v>
          </cell>
          <cell r="T4071">
            <v>44888</v>
          </cell>
          <cell r="U4071" t="str">
            <v>Miranda Naeem</v>
          </cell>
          <cell r="V4071">
            <v>44859</v>
          </cell>
          <cell r="W4071">
            <v>44922</v>
          </cell>
          <cell r="Y4071">
            <v>44824</v>
          </cell>
          <cell r="AC4071">
            <v>44920</v>
          </cell>
        </row>
        <row r="4072">
          <cell r="I4072" t="str">
            <v>EDI</v>
          </cell>
          <cell r="L4072">
            <v>1586</v>
          </cell>
          <cell r="N4072" t="str">
            <v>Production</v>
          </cell>
          <cell r="O4072" t="str">
            <v>No</v>
          </cell>
          <cell r="Q4072" t="str">
            <v>Cancelled</v>
          </cell>
          <cell r="R4072">
            <v>44816.580208333333</v>
          </cell>
          <cell r="S4072" t="str">
            <v>Mina Adel</v>
          </cell>
          <cell r="T4072">
            <v>44888</v>
          </cell>
          <cell r="U4072" t="str">
            <v>Miranda Naeem</v>
          </cell>
          <cell r="V4072">
            <v>44843</v>
          </cell>
          <cell r="W4072">
            <v>45062</v>
          </cell>
          <cell r="Y4072">
            <v>44829</v>
          </cell>
          <cell r="AC4072">
            <v>45056</v>
          </cell>
        </row>
        <row r="4073">
          <cell r="I4073" t="str">
            <v>EDI</v>
          </cell>
          <cell r="L4073">
            <v>1612</v>
          </cell>
          <cell r="N4073" t="str">
            <v>Production</v>
          </cell>
          <cell r="O4073" t="str">
            <v>No</v>
          </cell>
          <cell r="Q4073" t="str">
            <v>Cancelled</v>
          </cell>
          <cell r="R4073">
            <v>44816.533379629633</v>
          </cell>
          <cell r="S4073" t="str">
            <v>Omnia Abdelaziz</v>
          </cell>
          <cell r="T4073">
            <v>44892</v>
          </cell>
          <cell r="U4073" t="str">
            <v>Denise Stubenvoll</v>
          </cell>
          <cell r="V4073">
            <v>44931</v>
          </cell>
          <cell r="W4073">
            <v>44944</v>
          </cell>
          <cell r="Y4073">
            <v>44831</v>
          </cell>
          <cell r="AC4073">
            <v>44936</v>
          </cell>
        </row>
        <row r="4074">
          <cell r="I4074" t="str">
            <v>EDI</v>
          </cell>
          <cell r="L4074">
            <v>1499</v>
          </cell>
          <cell r="N4074" t="str">
            <v>Production</v>
          </cell>
          <cell r="O4074" t="str">
            <v>No</v>
          </cell>
          <cell r="Q4074" t="str">
            <v>Live</v>
          </cell>
          <cell r="R4074">
            <v>44813.717094907413</v>
          </cell>
          <cell r="S4074" t="str">
            <v>Mina Adel Old Account</v>
          </cell>
          <cell r="T4074">
            <v>44815</v>
          </cell>
          <cell r="U4074" t="str">
            <v>Denise Stubenvoll</v>
          </cell>
          <cell r="V4074">
            <v>44818</v>
          </cell>
          <cell r="W4074">
            <v>44832</v>
          </cell>
          <cell r="AC4074">
            <v>44825</v>
          </cell>
        </row>
        <row r="4075">
          <cell r="I4075" t="str">
            <v>EDI</v>
          </cell>
          <cell r="L4075">
            <v>1570</v>
          </cell>
          <cell r="N4075" t="str">
            <v>Production</v>
          </cell>
          <cell r="O4075" t="str">
            <v>No</v>
          </cell>
          <cell r="Q4075" t="str">
            <v>Live</v>
          </cell>
          <cell r="R4075">
            <v>44813.702731481477</v>
          </cell>
          <cell r="S4075" t="str">
            <v>Aya Fathy</v>
          </cell>
          <cell r="T4075">
            <v>44825</v>
          </cell>
          <cell r="U4075" t="str">
            <v>Denise Stubenvoll</v>
          </cell>
          <cell r="V4075">
            <v>44845</v>
          </cell>
          <cell r="W4075">
            <v>44886</v>
          </cell>
          <cell r="Y4075">
            <v>44824</v>
          </cell>
          <cell r="AC4075">
            <v>44880</v>
          </cell>
        </row>
        <row r="4076">
          <cell r="I4076" t="str">
            <v>EDI</v>
          </cell>
          <cell r="L4076">
            <v>1585</v>
          </cell>
          <cell r="N4076" t="str">
            <v>Production</v>
          </cell>
          <cell r="O4076" t="str">
            <v>No</v>
          </cell>
          <cell r="Q4076" t="str">
            <v>Cancelled</v>
          </cell>
          <cell r="R4076">
            <v>44812.558182870373</v>
          </cell>
          <cell r="S4076" t="str">
            <v>Mina Adel Old Account</v>
          </cell>
          <cell r="T4076">
            <v>44829</v>
          </cell>
          <cell r="U4076" t="str">
            <v>Miranda Naeem</v>
          </cell>
          <cell r="V4076">
            <v>44851</v>
          </cell>
          <cell r="W4076">
            <v>25569</v>
          </cell>
          <cell r="Y4076">
            <v>44826</v>
          </cell>
          <cell r="AC4076">
            <v>44852</v>
          </cell>
        </row>
        <row r="4077">
          <cell r="I4077" t="str">
            <v>EDI</v>
          </cell>
          <cell r="L4077">
            <v>1640</v>
          </cell>
          <cell r="N4077" t="str">
            <v>Production</v>
          </cell>
          <cell r="O4077" t="str">
            <v>No</v>
          </cell>
          <cell r="Q4077" t="str">
            <v>Cancelled</v>
          </cell>
          <cell r="R4077">
            <v>44812.558171296303</v>
          </cell>
          <cell r="S4077" t="str">
            <v>Ahmed Sami</v>
          </cell>
          <cell r="T4077">
            <v>44895</v>
          </cell>
          <cell r="U4077" t="str">
            <v>Miranda Naeem</v>
          </cell>
          <cell r="V4077">
            <v>44902</v>
          </cell>
          <cell r="W4077">
            <v>45006</v>
          </cell>
          <cell r="Y4077">
            <v>44850</v>
          </cell>
          <cell r="AC4077">
            <v>45005</v>
          </cell>
        </row>
        <row r="4078">
          <cell r="I4078" t="str">
            <v>EDI</v>
          </cell>
          <cell r="L4078">
            <v>1567</v>
          </cell>
          <cell r="N4078" t="str">
            <v>Production</v>
          </cell>
          <cell r="O4078" t="str">
            <v>No</v>
          </cell>
          <cell r="Q4078" t="str">
            <v>Cancelled</v>
          </cell>
          <cell r="R4078">
            <v>44812.558171296303</v>
          </cell>
          <cell r="S4078" t="str">
            <v>Omnia Abdelaziz</v>
          </cell>
          <cell r="T4078">
            <v>44892</v>
          </cell>
          <cell r="U4078" t="str">
            <v>Miranda Naeem</v>
          </cell>
          <cell r="V4078">
            <v>44830</v>
          </cell>
          <cell r="W4078">
            <v>44852</v>
          </cell>
          <cell r="Y4078">
            <v>44818</v>
          </cell>
          <cell r="AC4078">
            <v>44844</v>
          </cell>
        </row>
        <row r="4079">
          <cell r="I4079" t="str">
            <v>EDI</v>
          </cell>
          <cell r="L4079">
            <v>1603</v>
          </cell>
          <cell r="N4079" t="str">
            <v>Production</v>
          </cell>
          <cell r="O4079" t="str">
            <v>Everything Benefits</v>
          </cell>
          <cell r="P4079" t="str">
            <v>Production</v>
          </cell>
          <cell r="Q4079" t="str">
            <v>Live</v>
          </cell>
          <cell r="R4079">
            <v>44811.835011574083</v>
          </cell>
          <cell r="S4079" t="str">
            <v>Karen Ramy</v>
          </cell>
          <cell r="T4079">
            <v>44836</v>
          </cell>
          <cell r="U4079" t="str">
            <v>Melonie Skeen</v>
          </cell>
          <cell r="V4079">
            <v>44836</v>
          </cell>
          <cell r="W4079">
            <v>44858</v>
          </cell>
          <cell r="AC4079">
            <v>44857</v>
          </cell>
        </row>
        <row r="4080">
          <cell r="I4080" t="str">
            <v>EDI</v>
          </cell>
          <cell r="L4080">
            <v>1565</v>
          </cell>
          <cell r="N4080" t="str">
            <v>Production</v>
          </cell>
          <cell r="O4080" t="str">
            <v>No</v>
          </cell>
          <cell r="Q4080" t="str">
            <v>Cancelled</v>
          </cell>
          <cell r="R4080">
            <v>44811.706585648149</v>
          </cell>
          <cell r="S4080" t="str">
            <v>Joseph Atef Old Account</v>
          </cell>
          <cell r="T4080">
            <v>44824</v>
          </cell>
          <cell r="U4080" t="str">
            <v>Miranda Naeem</v>
          </cell>
          <cell r="V4080">
            <v>44851</v>
          </cell>
          <cell r="W4080">
            <v>44866</v>
          </cell>
          <cell r="Y4080">
            <v>44817</v>
          </cell>
          <cell r="AC4080">
            <v>44866</v>
          </cell>
        </row>
        <row r="4081">
          <cell r="I4081" t="str">
            <v>EDI</v>
          </cell>
          <cell r="L4081">
            <v>1629</v>
          </cell>
          <cell r="N4081" t="str">
            <v>Testing</v>
          </cell>
          <cell r="O4081" t="str">
            <v>No</v>
          </cell>
          <cell r="Q4081" t="str">
            <v>Cancelled</v>
          </cell>
          <cell r="R4081">
            <v>44811.706585648149</v>
          </cell>
          <cell r="S4081" t="str">
            <v>Mina Adel</v>
          </cell>
          <cell r="T4081">
            <v>44888</v>
          </cell>
          <cell r="U4081" t="str">
            <v>Miranda Naeem</v>
          </cell>
          <cell r="Y4081">
            <v>44843</v>
          </cell>
        </row>
        <row r="4082">
          <cell r="I4082" t="str">
            <v>EDI</v>
          </cell>
          <cell r="L4082">
            <v>1659</v>
          </cell>
          <cell r="N4082" t="str">
            <v>Production</v>
          </cell>
          <cell r="O4082" t="str">
            <v>Everything Benefits</v>
          </cell>
          <cell r="P4082" t="str">
            <v>Production</v>
          </cell>
          <cell r="Q4082" t="str">
            <v>Cancelled</v>
          </cell>
          <cell r="R4082">
            <v>44811.588761574072</v>
          </cell>
          <cell r="S4082" t="str">
            <v>Amira Elshora</v>
          </cell>
          <cell r="T4082">
            <v>44888</v>
          </cell>
          <cell r="U4082" t="str">
            <v>Melonie Skeen</v>
          </cell>
          <cell r="V4082">
            <v>44871</v>
          </cell>
          <cell r="W4082">
            <v>44963</v>
          </cell>
          <cell r="AC4082">
            <v>44959</v>
          </cell>
        </row>
        <row r="4083">
          <cell r="I4083" t="str">
            <v>EDI</v>
          </cell>
          <cell r="L4083">
            <v>1609</v>
          </cell>
          <cell r="N4083" t="str">
            <v>Production</v>
          </cell>
          <cell r="O4083" t="str">
            <v>Everything Benefits</v>
          </cell>
          <cell r="P4083" t="str">
            <v>Production</v>
          </cell>
          <cell r="Q4083" t="str">
            <v>Live</v>
          </cell>
          <cell r="R4083">
            <v>44811.565312500003</v>
          </cell>
          <cell r="S4083" t="str">
            <v>Karen Ramy</v>
          </cell>
          <cell r="T4083">
            <v>44836</v>
          </cell>
          <cell r="U4083" t="str">
            <v>Melonie Skeen</v>
          </cell>
          <cell r="V4083">
            <v>25569</v>
          </cell>
          <cell r="W4083">
            <v>45013</v>
          </cell>
          <cell r="AC4083">
            <v>45011</v>
          </cell>
        </row>
        <row r="4084">
          <cell r="I4084" t="str">
            <v>EDI</v>
          </cell>
          <cell r="L4084">
            <v>1610</v>
          </cell>
          <cell r="N4084" t="str">
            <v>Production</v>
          </cell>
          <cell r="O4084" t="str">
            <v>Everything Benefits</v>
          </cell>
          <cell r="P4084" t="str">
            <v>Production</v>
          </cell>
          <cell r="Q4084" t="str">
            <v>Live</v>
          </cell>
          <cell r="R4084">
            <v>44811.553715277783</v>
          </cell>
          <cell r="S4084" t="str">
            <v>Salma Yamani</v>
          </cell>
          <cell r="T4084">
            <v>44836</v>
          </cell>
          <cell r="U4084" t="str">
            <v>Melonie Skeen</v>
          </cell>
          <cell r="V4084">
            <v>44886</v>
          </cell>
          <cell r="W4084">
            <v>25569</v>
          </cell>
          <cell r="AC4084">
            <v>45011</v>
          </cell>
        </row>
        <row r="4085">
          <cell r="I4085" t="str">
            <v>EDI</v>
          </cell>
          <cell r="L4085">
            <v>1611</v>
          </cell>
          <cell r="N4085" t="str">
            <v>Production</v>
          </cell>
          <cell r="O4085" t="str">
            <v>Everything Benefits</v>
          </cell>
          <cell r="P4085" t="str">
            <v>Production</v>
          </cell>
          <cell r="Q4085" t="str">
            <v>Live</v>
          </cell>
          <cell r="R4085">
            <v>44811.537187499998</v>
          </cell>
          <cell r="S4085" t="str">
            <v>Hazem Rostom</v>
          </cell>
          <cell r="T4085">
            <v>44836</v>
          </cell>
          <cell r="U4085" t="str">
            <v>Melonie Skeen</v>
          </cell>
          <cell r="V4085">
            <v>45056</v>
          </cell>
          <cell r="W4085">
            <v>44864</v>
          </cell>
          <cell r="AC4085">
            <v>44864</v>
          </cell>
        </row>
        <row r="4086">
          <cell r="I4086" t="str">
            <v>EDI</v>
          </cell>
          <cell r="L4086">
            <v>1604</v>
          </cell>
          <cell r="N4086" t="str">
            <v>Production</v>
          </cell>
          <cell r="O4086" t="str">
            <v>Everything Benefits</v>
          </cell>
          <cell r="P4086" t="str">
            <v>Production</v>
          </cell>
          <cell r="Q4086" t="str">
            <v>Cancelled</v>
          </cell>
          <cell r="R4086">
            <v>44811.537187499998</v>
          </cell>
          <cell r="S4086" t="str">
            <v>Tarek Medhat</v>
          </cell>
          <cell r="T4086">
            <v>44956</v>
          </cell>
          <cell r="U4086" t="str">
            <v>Melonie Skeen</v>
          </cell>
          <cell r="V4086">
            <v>44838</v>
          </cell>
          <cell r="W4086">
            <v>45061</v>
          </cell>
          <cell r="AC4086">
            <v>45060</v>
          </cell>
        </row>
        <row r="4087">
          <cell r="I4087" t="str">
            <v>EDI</v>
          </cell>
          <cell r="L4087">
            <v>1564</v>
          </cell>
          <cell r="N4087" t="str">
            <v>Production</v>
          </cell>
          <cell r="O4087" t="str">
            <v>No</v>
          </cell>
          <cell r="Q4087" t="str">
            <v>Live</v>
          </cell>
          <cell r="R4087">
            <v>44810.814918981479</v>
          </cell>
          <cell r="S4087" t="str">
            <v>Andrew Ramy</v>
          </cell>
          <cell r="T4087">
            <v>44824</v>
          </cell>
          <cell r="U4087" t="str">
            <v>Denise Stubenvoll</v>
          </cell>
          <cell r="V4087">
            <v>44832</v>
          </cell>
          <cell r="W4087">
            <v>25569</v>
          </cell>
          <cell r="Y4087">
            <v>44817</v>
          </cell>
          <cell r="AC4087">
            <v>44874</v>
          </cell>
        </row>
        <row r="4088">
          <cell r="I4088" t="str">
            <v>EDI</v>
          </cell>
          <cell r="L4088">
            <v>1516</v>
          </cell>
          <cell r="N4088" t="str">
            <v>Production</v>
          </cell>
          <cell r="O4088" t="str">
            <v>No</v>
          </cell>
          <cell r="Q4088" t="str">
            <v>Live</v>
          </cell>
          <cell r="R4088">
            <v>44810.749560185177</v>
          </cell>
          <cell r="S4088" t="str">
            <v>Andrew Ramy</v>
          </cell>
          <cell r="T4088">
            <v>44815</v>
          </cell>
          <cell r="U4088" t="str">
            <v>Denise Stubenvoll</v>
          </cell>
          <cell r="V4088">
            <v>44823</v>
          </cell>
          <cell r="W4088">
            <v>44839</v>
          </cell>
          <cell r="Y4088">
            <v>44812</v>
          </cell>
          <cell r="AC4088">
            <v>44831</v>
          </cell>
        </row>
        <row r="4089">
          <cell r="I4089" t="str">
            <v>EDI</v>
          </cell>
          <cell r="L4089">
            <v>1618</v>
          </cell>
          <cell r="N4089" t="str">
            <v>Production</v>
          </cell>
          <cell r="O4089" t="str">
            <v>Everything Benefits</v>
          </cell>
          <cell r="P4089" t="str">
            <v>Production</v>
          </cell>
          <cell r="Q4089" t="str">
            <v>Cancelled</v>
          </cell>
          <cell r="R4089">
            <v>44806.845046296286</v>
          </cell>
          <cell r="S4089" t="str">
            <v>Zeyad Khaled</v>
          </cell>
          <cell r="T4089">
            <v>44837</v>
          </cell>
          <cell r="U4089" t="str">
            <v>Melonie Skeen</v>
          </cell>
          <cell r="W4089">
            <v>45061</v>
          </cell>
          <cell r="AC4089">
            <v>45060</v>
          </cell>
        </row>
        <row r="4090">
          <cell r="I4090" t="str">
            <v>EDI</v>
          </cell>
          <cell r="L4090">
            <v>1730</v>
          </cell>
          <cell r="N4090" t="str">
            <v>Production</v>
          </cell>
          <cell r="O4090" t="str">
            <v>No</v>
          </cell>
          <cell r="Q4090" t="str">
            <v>Live</v>
          </cell>
          <cell r="R4090">
            <v>44806.738275462973</v>
          </cell>
          <cell r="S4090" t="str">
            <v>Omar Elmahalwy</v>
          </cell>
          <cell r="T4090">
            <v>44900</v>
          </cell>
          <cell r="U4090" t="str">
            <v>Jene Hamm</v>
          </cell>
          <cell r="V4090">
            <v>44937</v>
          </cell>
          <cell r="W4090">
            <v>45323</v>
          </cell>
          <cell r="Y4090">
            <v>44899</v>
          </cell>
          <cell r="AC4090">
            <v>45322</v>
          </cell>
        </row>
        <row r="4091">
          <cell r="I4091" t="str">
            <v>EDI</v>
          </cell>
          <cell r="L4091">
            <v>1619</v>
          </cell>
          <cell r="N4091" t="str">
            <v>Production</v>
          </cell>
          <cell r="O4091" t="str">
            <v>Everything Benefits</v>
          </cell>
          <cell r="P4091" t="str">
            <v>Production</v>
          </cell>
          <cell r="Q4091" t="str">
            <v>Cancelled</v>
          </cell>
          <cell r="R4091">
            <v>44806.615266203713</v>
          </cell>
          <cell r="S4091" t="str">
            <v>Nada Ashraf</v>
          </cell>
          <cell r="T4091">
            <v>44839</v>
          </cell>
          <cell r="U4091" t="str">
            <v>Melonie Skeen</v>
          </cell>
          <cell r="V4091">
            <v>44843</v>
          </cell>
          <cell r="W4091">
            <v>44922</v>
          </cell>
          <cell r="Y4091">
            <v>44839</v>
          </cell>
          <cell r="AC4091">
            <v>44920</v>
          </cell>
        </row>
        <row r="4092">
          <cell r="I4092" t="str">
            <v>EDI</v>
          </cell>
          <cell r="L4092">
            <v>1622</v>
          </cell>
          <cell r="N4092" t="str">
            <v>Production</v>
          </cell>
          <cell r="O4092" t="str">
            <v>Everything Benefits</v>
          </cell>
          <cell r="P4092" t="str">
            <v>Production</v>
          </cell>
          <cell r="Q4092" t="str">
            <v>Cancelled</v>
          </cell>
          <cell r="R4092">
            <v>44806.615266203713</v>
          </cell>
          <cell r="S4092" t="str">
            <v>Karim Tarek</v>
          </cell>
          <cell r="T4092">
            <v>44879</v>
          </cell>
          <cell r="U4092" t="str">
            <v>Melonie Skeen</v>
          </cell>
          <cell r="V4092">
            <v>44850</v>
          </cell>
          <cell r="W4092">
            <v>44928</v>
          </cell>
          <cell r="Y4092">
            <v>44843</v>
          </cell>
          <cell r="AC4092">
            <v>44928</v>
          </cell>
        </row>
        <row r="4093">
          <cell r="I4093" t="str">
            <v>EDI</v>
          </cell>
          <cell r="L4093">
            <v>1616</v>
          </cell>
          <cell r="N4093" t="str">
            <v>Production</v>
          </cell>
          <cell r="O4093" t="str">
            <v>Everything Benefits</v>
          </cell>
          <cell r="P4093" t="str">
            <v>Production</v>
          </cell>
          <cell r="Q4093" t="str">
            <v>Cancelled</v>
          </cell>
          <cell r="R4093">
            <v>44805.826574074083</v>
          </cell>
          <cell r="S4093" t="str">
            <v>Mina Kamil</v>
          </cell>
          <cell r="T4093">
            <v>44889</v>
          </cell>
          <cell r="U4093" t="str">
            <v>Melonie Skeen</v>
          </cell>
          <cell r="V4093">
            <v>25569</v>
          </cell>
          <cell r="W4093">
            <v>45128</v>
          </cell>
          <cell r="AC4093">
            <v>45123</v>
          </cell>
        </row>
        <row r="4094">
          <cell r="I4094" t="str">
            <v>EDI</v>
          </cell>
          <cell r="L4094">
            <v>1540</v>
          </cell>
          <cell r="N4094" t="str">
            <v>Production</v>
          </cell>
          <cell r="O4094" t="str">
            <v>Everything Benefits</v>
          </cell>
          <cell r="P4094" t="str">
            <v>Production</v>
          </cell>
          <cell r="Q4094" t="str">
            <v>Live</v>
          </cell>
          <cell r="R4094">
            <v>44805.578923611109</v>
          </cell>
          <cell r="S4094" t="str">
            <v>Salma Yamani</v>
          </cell>
          <cell r="T4094">
            <v>44819</v>
          </cell>
          <cell r="U4094" t="str">
            <v>Melonie Skeen</v>
          </cell>
          <cell r="W4094">
            <v>44843</v>
          </cell>
          <cell r="AC4094">
            <v>44843</v>
          </cell>
        </row>
        <row r="4095">
          <cell r="I4095" t="str">
            <v>EDI</v>
          </cell>
          <cell r="L4095">
            <v>1546</v>
          </cell>
          <cell r="N4095" t="str">
            <v>Production</v>
          </cell>
          <cell r="O4095" t="str">
            <v>Everything Benefits</v>
          </cell>
          <cell r="P4095" t="str">
            <v>Production</v>
          </cell>
          <cell r="Q4095" t="str">
            <v>Live</v>
          </cell>
          <cell r="R4095">
            <v>44805.578923611109</v>
          </cell>
          <cell r="S4095" t="str">
            <v>Mohamed Abdelhamed</v>
          </cell>
          <cell r="T4095">
            <v>44956</v>
          </cell>
          <cell r="U4095" t="str">
            <v>Jene Hamm</v>
          </cell>
          <cell r="V4095">
            <v>44837</v>
          </cell>
          <cell r="W4095">
            <v>45152</v>
          </cell>
          <cell r="AC4095">
            <v>45151</v>
          </cell>
        </row>
        <row r="4096">
          <cell r="I4096" t="str">
            <v>EDI</v>
          </cell>
          <cell r="L4096">
            <v>1448</v>
          </cell>
          <cell r="N4096" t="str">
            <v>Production</v>
          </cell>
          <cell r="O4096" t="str">
            <v>No</v>
          </cell>
          <cell r="Q4096" t="str">
            <v>Cancelled</v>
          </cell>
          <cell r="R4096">
            <v>44804.832743055558</v>
          </cell>
          <cell r="S4096" t="str">
            <v>Omar Elmahalwy Old Account</v>
          </cell>
          <cell r="T4096">
            <v>44805</v>
          </cell>
          <cell r="U4096" t="str">
            <v>Miranda Naeem</v>
          </cell>
          <cell r="V4096">
            <v>44844</v>
          </cell>
          <cell r="W4096">
            <v>44884</v>
          </cell>
          <cell r="Y4096">
            <v>44805</v>
          </cell>
          <cell r="AC4096">
            <v>44873</v>
          </cell>
        </row>
        <row r="4097">
          <cell r="I4097" t="str">
            <v>EDI</v>
          </cell>
          <cell r="L4097">
            <v>1621</v>
          </cell>
          <cell r="N4097" t="str">
            <v>Production</v>
          </cell>
          <cell r="O4097" t="str">
            <v>Everything Benefits</v>
          </cell>
          <cell r="P4097" t="str">
            <v>Production</v>
          </cell>
          <cell r="Q4097" t="str">
            <v>Cancelled</v>
          </cell>
          <cell r="R4097">
            <v>44804.799212962957</v>
          </cell>
          <cell r="S4097" t="str">
            <v>Tarek Medhat</v>
          </cell>
          <cell r="T4097">
            <v>44843</v>
          </cell>
          <cell r="U4097" t="str">
            <v>Melonie Skeen</v>
          </cell>
          <cell r="V4097">
            <v>44862</v>
          </cell>
          <cell r="W4097">
            <v>44876</v>
          </cell>
          <cell r="Y4097">
            <v>44841</v>
          </cell>
          <cell r="AC4097">
            <v>44871</v>
          </cell>
        </row>
        <row r="4098">
          <cell r="I4098" t="str">
            <v>EDI</v>
          </cell>
          <cell r="L4098">
            <v>1626</v>
          </cell>
          <cell r="N4098" t="str">
            <v>Production</v>
          </cell>
          <cell r="O4098" t="str">
            <v>Everything Benefits</v>
          </cell>
          <cell r="P4098" t="str">
            <v>Production</v>
          </cell>
          <cell r="Q4098" t="str">
            <v>Cancelled</v>
          </cell>
          <cell r="R4098">
            <v>44804.799212962957</v>
          </cell>
          <cell r="S4098" t="str">
            <v>Alaa Yehia</v>
          </cell>
          <cell r="T4098">
            <v>44844</v>
          </cell>
          <cell r="U4098" t="str">
            <v>Melonie Skeen</v>
          </cell>
          <cell r="V4098">
            <v>44872</v>
          </cell>
          <cell r="W4098">
            <v>45065</v>
          </cell>
          <cell r="AC4098">
            <v>45060</v>
          </cell>
        </row>
        <row r="4099">
          <cell r="I4099" t="str">
            <v>EDI</v>
          </cell>
          <cell r="L4099">
            <v>1617</v>
          </cell>
          <cell r="N4099" t="str">
            <v>Production</v>
          </cell>
          <cell r="O4099" t="str">
            <v>Everything Benefits</v>
          </cell>
          <cell r="P4099" t="str">
            <v>Production</v>
          </cell>
          <cell r="Q4099" t="str">
            <v>Cancelled</v>
          </cell>
          <cell r="R4099">
            <v>44804.799212962957</v>
          </cell>
          <cell r="S4099" t="str">
            <v>Karen Ramy</v>
          </cell>
          <cell r="T4099">
            <v>44838</v>
          </cell>
          <cell r="U4099" t="str">
            <v>Melonie Skeen</v>
          </cell>
          <cell r="V4099">
            <v>44847</v>
          </cell>
          <cell r="W4099">
            <v>45058</v>
          </cell>
          <cell r="AC4099">
            <v>45056</v>
          </cell>
        </row>
        <row r="4100">
          <cell r="I4100" t="str">
            <v>EDI</v>
          </cell>
          <cell r="L4100">
            <v>1623</v>
          </cell>
          <cell r="N4100" t="str">
            <v>Production</v>
          </cell>
          <cell r="O4100" t="str">
            <v>Everything Benefits</v>
          </cell>
          <cell r="P4100" t="str">
            <v>Production</v>
          </cell>
          <cell r="Q4100" t="str">
            <v>Cancelled</v>
          </cell>
          <cell r="R4100">
            <v>44804.799201388887</v>
          </cell>
          <cell r="S4100" t="str">
            <v>Zeyad Khaled</v>
          </cell>
          <cell r="T4100">
            <v>44956</v>
          </cell>
          <cell r="U4100" t="str">
            <v>Melonie Skeen</v>
          </cell>
          <cell r="V4100">
            <v>25569</v>
          </cell>
          <cell r="W4100">
            <v>45072</v>
          </cell>
          <cell r="Y4100">
            <v>44838</v>
          </cell>
          <cell r="AC4100">
            <v>45067</v>
          </cell>
        </row>
        <row r="4101">
          <cell r="I4101" t="str">
            <v>EDI</v>
          </cell>
          <cell r="L4101">
            <v>1589</v>
          </cell>
          <cell r="N4101" t="str">
            <v>Production</v>
          </cell>
          <cell r="O4101" t="str">
            <v>No</v>
          </cell>
          <cell r="Q4101" t="str">
            <v>Live</v>
          </cell>
          <cell r="R4101">
            <v>44804.774004629631</v>
          </cell>
          <cell r="S4101" t="str">
            <v>Ahmed Sami</v>
          </cell>
          <cell r="T4101">
            <v>44895</v>
          </cell>
          <cell r="U4101" t="str">
            <v>Denise Stubenvoll</v>
          </cell>
          <cell r="V4101">
            <v>44850</v>
          </cell>
          <cell r="W4101">
            <v>25569</v>
          </cell>
          <cell r="Y4101">
            <v>44819</v>
          </cell>
          <cell r="AC4101">
            <v>45146</v>
          </cell>
        </row>
        <row r="4102">
          <cell r="I4102" t="str">
            <v>EDI</v>
          </cell>
          <cell r="L4102">
            <v>1529</v>
          </cell>
          <cell r="N4102" t="str">
            <v>Production</v>
          </cell>
          <cell r="O4102" t="str">
            <v>No</v>
          </cell>
          <cell r="Q4102" t="str">
            <v>Cancelled</v>
          </cell>
          <cell r="R4102">
            <v>44804.774004629631</v>
          </cell>
          <cell r="S4102" t="str">
            <v>Ahmed Sami Old Account</v>
          </cell>
          <cell r="T4102">
            <v>44815</v>
          </cell>
          <cell r="U4102" t="str">
            <v>Denise Stubenvoll</v>
          </cell>
          <cell r="V4102">
            <v>44822</v>
          </cell>
          <cell r="W4102">
            <v>44846</v>
          </cell>
          <cell r="Y4102">
            <v>44815</v>
          </cell>
          <cell r="AC4102">
            <v>44839</v>
          </cell>
        </row>
        <row r="4103">
          <cell r="I4103" t="str">
            <v>EDI</v>
          </cell>
          <cell r="L4103">
            <v>1566</v>
          </cell>
          <cell r="N4103" t="str">
            <v>Production</v>
          </cell>
          <cell r="O4103" t="str">
            <v>No</v>
          </cell>
          <cell r="Q4103" t="str">
            <v>Live</v>
          </cell>
          <cell r="R4103">
            <v>44804.774004629631</v>
          </cell>
          <cell r="S4103" t="str">
            <v>Mina Adel Old Account</v>
          </cell>
          <cell r="T4103">
            <v>44825</v>
          </cell>
          <cell r="U4103" t="str">
            <v>Denise Stubenvoll</v>
          </cell>
          <cell r="V4103">
            <v>44830</v>
          </cell>
          <cell r="W4103">
            <v>44839</v>
          </cell>
          <cell r="Y4103">
            <v>44824</v>
          </cell>
          <cell r="AC4103">
            <v>44832</v>
          </cell>
        </row>
        <row r="4104">
          <cell r="I4104" t="str">
            <v>EDI</v>
          </cell>
          <cell r="L4104">
            <v>1539</v>
          </cell>
          <cell r="N4104" t="str">
            <v>Production</v>
          </cell>
          <cell r="O4104" t="str">
            <v>Everything Benefits</v>
          </cell>
          <cell r="P4104" t="str">
            <v>Production</v>
          </cell>
          <cell r="Q4104" t="str">
            <v>Live</v>
          </cell>
          <cell r="R4104">
            <v>44804.621168981481</v>
          </cell>
          <cell r="S4104" t="str">
            <v>Mahmoud Ahmed</v>
          </cell>
          <cell r="T4104">
            <v>44819</v>
          </cell>
          <cell r="U4104" t="str">
            <v>Melonie Skeen</v>
          </cell>
          <cell r="V4104">
            <v>44872</v>
          </cell>
          <cell r="W4104">
            <v>44992</v>
          </cell>
          <cell r="Y4104">
            <v>44819</v>
          </cell>
          <cell r="AC4104">
            <v>44983</v>
          </cell>
        </row>
        <row r="4105">
          <cell r="I4105" t="str">
            <v>EDI</v>
          </cell>
          <cell r="L4105">
            <v>1676</v>
          </cell>
          <cell r="N4105" t="str">
            <v>Production</v>
          </cell>
          <cell r="O4105" t="str">
            <v>No</v>
          </cell>
          <cell r="Q4105" t="str">
            <v>Cancelled</v>
          </cell>
          <cell r="R4105">
            <v>44804.562581018523</v>
          </cell>
          <cell r="S4105" t="str">
            <v>Aya Fathy</v>
          </cell>
          <cell r="T4105">
            <v>44871</v>
          </cell>
          <cell r="U4105" t="str">
            <v>Denise Stubenvoll</v>
          </cell>
          <cell r="V4105">
            <v>44901</v>
          </cell>
          <cell r="W4105">
            <v>25569</v>
          </cell>
          <cell r="Y4105">
            <v>44868</v>
          </cell>
          <cell r="AC4105">
            <v>44952</v>
          </cell>
        </row>
        <row r="4106">
          <cell r="I4106" t="str">
            <v>EDI</v>
          </cell>
          <cell r="L4106">
            <v>1542</v>
          </cell>
          <cell r="N4106" t="str">
            <v>Production</v>
          </cell>
          <cell r="O4106" t="str">
            <v>No</v>
          </cell>
          <cell r="Q4106" t="str">
            <v>Cancelled</v>
          </cell>
          <cell r="R4106">
            <v>44804.562569444453</v>
          </cell>
          <cell r="S4106" t="str">
            <v>Mina Adel</v>
          </cell>
          <cell r="T4106">
            <v>44888</v>
          </cell>
          <cell r="U4106" t="str">
            <v>Denise Stubenvoll</v>
          </cell>
          <cell r="V4106">
            <v>44824</v>
          </cell>
          <cell r="W4106">
            <v>44930</v>
          </cell>
          <cell r="Y4106">
            <v>44817</v>
          </cell>
          <cell r="AC4106">
            <v>44928</v>
          </cell>
        </row>
        <row r="4107">
          <cell r="I4107" t="str">
            <v>EDI</v>
          </cell>
          <cell r="L4107">
            <v>1666</v>
          </cell>
          <cell r="N4107" t="str">
            <v>Production</v>
          </cell>
          <cell r="O4107" t="str">
            <v>No</v>
          </cell>
          <cell r="Q4107" t="str">
            <v>Live</v>
          </cell>
          <cell r="R4107">
            <v>44804.562569444453</v>
          </cell>
          <cell r="S4107" t="str">
            <v>Mina Adel</v>
          </cell>
          <cell r="T4107">
            <v>44888</v>
          </cell>
          <cell r="U4107" t="str">
            <v>Vicky Wright</v>
          </cell>
          <cell r="V4107">
            <v>44887</v>
          </cell>
          <cell r="W4107">
            <v>45092</v>
          </cell>
          <cell r="Y4107">
            <v>44853</v>
          </cell>
          <cell r="AC4107">
            <v>45089</v>
          </cell>
        </row>
        <row r="4108">
          <cell r="I4108" t="str">
            <v>EDI</v>
          </cell>
          <cell r="L4108">
            <v>1581</v>
          </cell>
          <cell r="N4108" t="str">
            <v>Production</v>
          </cell>
          <cell r="O4108" t="str">
            <v>Everything Benefits</v>
          </cell>
          <cell r="P4108" t="str">
            <v>Production</v>
          </cell>
          <cell r="Q4108" t="str">
            <v>Live</v>
          </cell>
          <cell r="R4108">
            <v>44804.559386574067</v>
          </cell>
          <cell r="S4108" t="str">
            <v>Alaa Yehia</v>
          </cell>
          <cell r="T4108">
            <v>44830</v>
          </cell>
          <cell r="U4108" t="str">
            <v>Melonie Skeen</v>
          </cell>
          <cell r="V4108">
            <v>44837</v>
          </cell>
          <cell r="W4108">
            <v>44914</v>
          </cell>
          <cell r="AC4108">
            <v>44913</v>
          </cell>
        </row>
        <row r="4109">
          <cell r="I4109" t="str">
            <v>EDI</v>
          </cell>
          <cell r="L4109">
            <v>1592</v>
          </cell>
          <cell r="N4109" t="str">
            <v>Production</v>
          </cell>
          <cell r="O4109" t="str">
            <v>Everything Benefits</v>
          </cell>
          <cell r="P4109" t="str">
            <v>Production</v>
          </cell>
          <cell r="Q4109" t="str">
            <v>Live</v>
          </cell>
          <cell r="R4109">
            <v>44804.559374999997</v>
          </cell>
          <cell r="S4109" t="str">
            <v>Salma Mohammed</v>
          </cell>
          <cell r="T4109">
            <v>44870</v>
          </cell>
          <cell r="U4109" t="str">
            <v>Melonie Skeen</v>
          </cell>
          <cell r="V4109">
            <v>25569</v>
          </cell>
          <cell r="W4109">
            <v>45138</v>
          </cell>
          <cell r="AC4109">
            <v>45137</v>
          </cell>
        </row>
        <row r="4110">
          <cell r="I4110" t="str">
            <v>EDI</v>
          </cell>
          <cell r="L4110">
            <v>1482</v>
          </cell>
          <cell r="N4110" t="str">
            <v>Testing</v>
          </cell>
          <cell r="O4110" t="str">
            <v>No</v>
          </cell>
          <cell r="Q4110" t="str">
            <v>Cancelled</v>
          </cell>
          <cell r="R4110">
            <v>44803.722650462973</v>
          </cell>
          <cell r="S4110" t="str">
            <v>Omnia Abdelaziz</v>
          </cell>
          <cell r="T4110">
            <v>44892</v>
          </cell>
          <cell r="U4110" t="str">
            <v>Denise Stubenvoll</v>
          </cell>
          <cell r="V4110">
            <v>44964</v>
          </cell>
          <cell r="Y4110">
            <v>44808</v>
          </cell>
        </row>
        <row r="4111">
          <cell r="I4111" t="str">
            <v>EDI</v>
          </cell>
          <cell r="L4111">
            <v>1519</v>
          </cell>
          <cell r="N4111" t="str">
            <v>Production</v>
          </cell>
          <cell r="O4111" t="str">
            <v>No</v>
          </cell>
          <cell r="Q4111" t="str">
            <v>Cancelled</v>
          </cell>
          <cell r="R4111">
            <v>44803.722650462973</v>
          </cell>
          <cell r="S4111" t="str">
            <v>Omar Elmahalwy</v>
          </cell>
          <cell r="T4111">
            <v>44889</v>
          </cell>
          <cell r="U4111" t="str">
            <v>Denise Stubenvoll</v>
          </cell>
          <cell r="V4111">
            <v>44992</v>
          </cell>
          <cell r="W4111">
            <v>45028</v>
          </cell>
          <cell r="Y4111">
            <v>44815</v>
          </cell>
          <cell r="AC4111">
            <v>45022</v>
          </cell>
        </row>
        <row r="4112">
          <cell r="I4112" t="str">
            <v>EDI</v>
          </cell>
          <cell r="L4112">
            <v>1543</v>
          </cell>
          <cell r="N4112" t="str">
            <v>Testing</v>
          </cell>
          <cell r="O4112" t="str">
            <v>No</v>
          </cell>
          <cell r="Q4112" t="str">
            <v>Cancelled</v>
          </cell>
          <cell r="R4112">
            <v>44803.722638888888</v>
          </cell>
          <cell r="S4112" t="str">
            <v>Mina George</v>
          </cell>
          <cell r="T4112">
            <v>44889</v>
          </cell>
          <cell r="U4112" t="str">
            <v>Denise Stubenvoll</v>
          </cell>
          <cell r="V4112">
            <v>44824</v>
          </cell>
          <cell r="Y4112">
            <v>44817</v>
          </cell>
        </row>
        <row r="4113">
          <cell r="I4113" t="str">
            <v>EDI</v>
          </cell>
          <cell r="L4113">
            <v>1469</v>
          </cell>
          <cell r="N4113" t="str">
            <v>Production</v>
          </cell>
          <cell r="O4113" t="str">
            <v>No</v>
          </cell>
          <cell r="Q4113" t="str">
            <v>Cancelled</v>
          </cell>
          <cell r="R4113">
            <v>44803.61619212963</v>
          </cell>
          <cell r="S4113" t="str">
            <v>Joseph Atef</v>
          </cell>
          <cell r="T4113">
            <v>44888</v>
          </cell>
          <cell r="U4113" t="str">
            <v>Miranda Naeem</v>
          </cell>
          <cell r="V4113">
            <v>44868</v>
          </cell>
          <cell r="W4113">
            <v>44960</v>
          </cell>
          <cell r="Y4113">
            <v>44803</v>
          </cell>
          <cell r="AC4113">
            <v>44952</v>
          </cell>
        </row>
        <row r="4114">
          <cell r="I4114" t="str">
            <v>EDI</v>
          </cell>
          <cell r="L4114">
            <v>1591</v>
          </cell>
          <cell r="N4114" t="str">
            <v>Production</v>
          </cell>
          <cell r="O4114" t="str">
            <v>Everything Benefits</v>
          </cell>
          <cell r="P4114" t="str">
            <v>Production</v>
          </cell>
          <cell r="Q4114" t="str">
            <v>Cancelled</v>
          </cell>
          <cell r="R4114">
            <v>44803.595069444447</v>
          </cell>
          <cell r="S4114" t="str">
            <v>Fady Maged Old Account</v>
          </cell>
          <cell r="T4114">
            <v>44831</v>
          </cell>
          <cell r="U4114" t="str">
            <v>Melonie Skeen</v>
          </cell>
          <cell r="V4114">
            <v>25569</v>
          </cell>
          <cell r="W4114">
            <v>44886</v>
          </cell>
          <cell r="Y4114">
            <v>44831</v>
          </cell>
          <cell r="AC4114">
            <v>44885</v>
          </cell>
        </row>
        <row r="4115">
          <cell r="I4115" t="str">
            <v>EDI</v>
          </cell>
          <cell r="L4115">
            <v>1544</v>
          </cell>
          <cell r="N4115" t="str">
            <v>Testing</v>
          </cell>
          <cell r="O4115" t="str">
            <v>Everything Benefits</v>
          </cell>
          <cell r="P4115" t="str">
            <v>Migration Testing</v>
          </cell>
          <cell r="Q4115" t="str">
            <v>Cancelled</v>
          </cell>
          <cell r="R4115">
            <v>44803.579444444447</v>
          </cell>
          <cell r="S4115" t="str">
            <v>Mirna Azmy</v>
          </cell>
          <cell r="T4115">
            <v>44819</v>
          </cell>
          <cell r="U4115" t="str">
            <v>Melonie Skeen</v>
          </cell>
          <cell r="V4115">
            <v>44921</v>
          </cell>
          <cell r="Y4115">
            <v>44819</v>
          </cell>
        </row>
        <row r="4116">
          <cell r="I4116" t="str">
            <v>EDI</v>
          </cell>
          <cell r="L4116">
            <v>1538</v>
          </cell>
          <cell r="N4116" t="str">
            <v>Production</v>
          </cell>
          <cell r="O4116" t="str">
            <v>Everything Benefits</v>
          </cell>
          <cell r="P4116" t="str">
            <v>Production</v>
          </cell>
          <cell r="Q4116" t="str">
            <v>Cancelled</v>
          </cell>
          <cell r="R4116">
            <v>44803.555960648147</v>
          </cell>
          <cell r="S4116" t="str">
            <v>Mina Kamil</v>
          </cell>
          <cell r="T4116">
            <v>44889</v>
          </cell>
          <cell r="U4116" t="str">
            <v>Melonie Skeen</v>
          </cell>
          <cell r="V4116">
            <v>44879</v>
          </cell>
          <cell r="W4116">
            <v>44984</v>
          </cell>
          <cell r="Y4116">
            <v>44818</v>
          </cell>
          <cell r="AC4116">
            <v>44983</v>
          </cell>
        </row>
        <row r="4117">
          <cell r="I4117" t="str">
            <v>EDI</v>
          </cell>
          <cell r="L4117">
            <v>1563</v>
          </cell>
          <cell r="N4117" t="str">
            <v>Production</v>
          </cell>
          <cell r="O4117" t="str">
            <v>Everything Benefits</v>
          </cell>
          <cell r="P4117" t="str">
            <v>Production</v>
          </cell>
          <cell r="Q4117" t="str">
            <v>Live</v>
          </cell>
          <cell r="R4117">
            <v>44803.523888888893</v>
          </cell>
          <cell r="S4117" t="str">
            <v>Mahmoud Ahmed</v>
          </cell>
          <cell r="T4117">
            <v>44824</v>
          </cell>
          <cell r="U4117" t="str">
            <v>Matt Howell</v>
          </cell>
          <cell r="V4117">
            <v>45236</v>
          </cell>
          <cell r="W4117">
            <v>25569</v>
          </cell>
          <cell r="AC4117">
            <v>45249</v>
          </cell>
        </row>
        <row r="4118">
          <cell r="I4118" t="str">
            <v>EDI</v>
          </cell>
          <cell r="L4118">
            <v>1528</v>
          </cell>
          <cell r="N4118" t="str">
            <v>Production</v>
          </cell>
          <cell r="O4118" t="str">
            <v>No</v>
          </cell>
          <cell r="Q4118" t="str">
            <v>Cancelled</v>
          </cell>
          <cell r="R4118">
            <v>44802.809745370367</v>
          </cell>
          <cell r="S4118" t="str">
            <v>Ahmed Sami Old Account</v>
          </cell>
          <cell r="T4118">
            <v>44812</v>
          </cell>
          <cell r="U4118" t="str">
            <v>Miranda Naeem</v>
          </cell>
          <cell r="V4118">
            <v>44850</v>
          </cell>
          <cell r="W4118">
            <v>44866</v>
          </cell>
          <cell r="Y4118">
            <v>44811</v>
          </cell>
          <cell r="AC4118">
            <v>44865</v>
          </cell>
        </row>
        <row r="4119">
          <cell r="I4119" t="str">
            <v>EDI</v>
          </cell>
          <cell r="L4119">
            <v>1534</v>
          </cell>
          <cell r="N4119" t="str">
            <v>Production</v>
          </cell>
          <cell r="O4119" t="str">
            <v>No</v>
          </cell>
          <cell r="Q4119" t="str">
            <v>Cancelled</v>
          </cell>
          <cell r="R4119">
            <v>44802.809745370367</v>
          </cell>
          <cell r="S4119" t="str">
            <v>Mina George</v>
          </cell>
          <cell r="T4119">
            <v>44889</v>
          </cell>
          <cell r="U4119" t="str">
            <v>Miranda Naeem</v>
          </cell>
          <cell r="V4119">
            <v>44860</v>
          </cell>
          <cell r="W4119">
            <v>44896</v>
          </cell>
          <cell r="Y4119">
            <v>44815</v>
          </cell>
          <cell r="AC4119">
            <v>44890</v>
          </cell>
        </row>
        <row r="4120">
          <cell r="I4120" t="str">
            <v>EDI</v>
          </cell>
          <cell r="L4120">
            <v>1614</v>
          </cell>
          <cell r="N4120" t="str">
            <v>Production</v>
          </cell>
          <cell r="O4120" t="str">
            <v>No</v>
          </cell>
          <cell r="Q4120" t="str">
            <v>Cancelled</v>
          </cell>
          <cell r="R4120">
            <v>44802.760104166657</v>
          </cell>
          <cell r="S4120" t="str">
            <v>Aya Fathy</v>
          </cell>
          <cell r="T4120">
            <v>44836</v>
          </cell>
          <cell r="U4120" t="str">
            <v>Denise Stubenvoll</v>
          </cell>
          <cell r="W4120">
            <v>44958</v>
          </cell>
          <cell r="Y4120">
            <v>44833</v>
          </cell>
          <cell r="AC4120">
            <v>44952</v>
          </cell>
        </row>
        <row r="4121">
          <cell r="I4121" t="str">
            <v>EDI</v>
          </cell>
          <cell r="L4121">
            <v>1514</v>
          </cell>
          <cell r="N4121" t="str">
            <v>Testing</v>
          </cell>
          <cell r="O4121" t="str">
            <v>No</v>
          </cell>
          <cell r="Q4121" t="str">
            <v>Cancelled</v>
          </cell>
          <cell r="R4121">
            <v>44802.527719907397</v>
          </cell>
          <cell r="S4121" t="str">
            <v>Aya Fathy</v>
          </cell>
          <cell r="T4121">
            <v>44816</v>
          </cell>
          <cell r="U4121" t="str">
            <v>Denise Stubenvoll</v>
          </cell>
          <cell r="V4121">
            <v>44839</v>
          </cell>
          <cell r="Y4121">
            <v>44815</v>
          </cell>
        </row>
        <row r="4122">
          <cell r="I4122" t="str">
            <v>EDI</v>
          </cell>
          <cell r="L4122">
            <v>1465</v>
          </cell>
          <cell r="N4122" t="str">
            <v>Production</v>
          </cell>
          <cell r="O4122" t="str">
            <v>No</v>
          </cell>
          <cell r="Q4122" t="str">
            <v>Live</v>
          </cell>
          <cell r="R4122">
            <v>44802.527083333327</v>
          </cell>
          <cell r="S4122" t="str">
            <v>Mina Adel Old Account</v>
          </cell>
          <cell r="T4122">
            <v>44803</v>
          </cell>
          <cell r="U4122" t="str">
            <v>Denise Stubenvoll</v>
          </cell>
          <cell r="V4122">
            <v>44825</v>
          </cell>
          <cell r="W4122">
            <v>44832</v>
          </cell>
          <cell r="Y4122">
            <v>44803</v>
          </cell>
          <cell r="AC4122">
            <v>44825</v>
          </cell>
        </row>
        <row r="4123">
          <cell r="I4123" t="str">
            <v>EDI</v>
          </cell>
          <cell r="L4123">
            <v>1452</v>
          </cell>
          <cell r="N4123" t="str">
            <v>Production</v>
          </cell>
          <cell r="O4123" t="str">
            <v>No</v>
          </cell>
          <cell r="Q4123" t="str">
            <v>Cancelled</v>
          </cell>
          <cell r="R4123">
            <v>44802.527083333327</v>
          </cell>
          <cell r="S4123" t="str">
            <v>Mina George Old Account</v>
          </cell>
          <cell r="T4123">
            <v>44805</v>
          </cell>
          <cell r="U4123" t="str">
            <v>Denise Stubenvoll</v>
          </cell>
          <cell r="V4123">
            <v>44812</v>
          </cell>
          <cell r="W4123">
            <v>25569</v>
          </cell>
          <cell r="Y4123">
            <v>44805</v>
          </cell>
          <cell r="AC4123">
            <v>44820</v>
          </cell>
        </row>
        <row r="4124">
          <cell r="I4124" t="str">
            <v>EDI</v>
          </cell>
          <cell r="L4124">
            <v>1550</v>
          </cell>
          <cell r="N4124" t="str">
            <v>Production</v>
          </cell>
          <cell r="O4124" t="str">
            <v>No</v>
          </cell>
          <cell r="Q4124" t="str">
            <v>Live</v>
          </cell>
          <cell r="R4124">
            <v>44802.527071759258</v>
          </cell>
          <cell r="S4124" t="str">
            <v>Omnia Abdelaziz</v>
          </cell>
          <cell r="T4124">
            <v>44892</v>
          </cell>
          <cell r="U4124" t="str">
            <v>Denise Stubenvoll</v>
          </cell>
          <cell r="V4124">
            <v>25569</v>
          </cell>
          <cell r="W4124">
            <v>44930</v>
          </cell>
          <cell r="Y4124">
            <v>44819</v>
          </cell>
          <cell r="AC4124">
            <v>44924</v>
          </cell>
        </row>
        <row r="4125">
          <cell r="I4125" t="str">
            <v>EDI</v>
          </cell>
          <cell r="L4125">
            <v>1443</v>
          </cell>
          <cell r="N4125" t="str">
            <v>Production</v>
          </cell>
          <cell r="O4125" t="str">
            <v>No</v>
          </cell>
          <cell r="Q4125" t="str">
            <v>Live</v>
          </cell>
          <cell r="R4125">
            <v>44797.609733796293</v>
          </cell>
          <cell r="S4125" t="str">
            <v>Aya Fathy</v>
          </cell>
          <cell r="T4125">
            <v>44803</v>
          </cell>
          <cell r="U4125" t="str">
            <v>Miranda Naeem</v>
          </cell>
          <cell r="V4125">
            <v>44839</v>
          </cell>
          <cell r="W4125">
            <v>45098</v>
          </cell>
          <cell r="Y4125">
            <v>44802</v>
          </cell>
          <cell r="AC4125">
            <v>45098</v>
          </cell>
        </row>
        <row r="4126">
          <cell r="I4126" t="str">
            <v>EDI</v>
          </cell>
          <cell r="L4126">
            <v>1455</v>
          </cell>
          <cell r="N4126" t="str">
            <v>Production</v>
          </cell>
          <cell r="O4126" t="str">
            <v>No</v>
          </cell>
          <cell r="Q4126" t="str">
            <v>Cancelled</v>
          </cell>
          <cell r="R4126">
            <v>44797.585324074083</v>
          </cell>
          <cell r="S4126" t="str">
            <v>Omar Elmahalwy Old Account</v>
          </cell>
          <cell r="T4126">
            <v>44808</v>
          </cell>
          <cell r="U4126" t="str">
            <v>Denise Stubenvoll</v>
          </cell>
          <cell r="V4126">
            <v>44845</v>
          </cell>
          <cell r="W4126">
            <v>44888</v>
          </cell>
          <cell r="Y4126">
            <v>44805</v>
          </cell>
          <cell r="AC4126">
            <v>44886</v>
          </cell>
        </row>
        <row r="4127">
          <cell r="I4127" t="str">
            <v>EDI</v>
          </cell>
          <cell r="L4127">
            <v>1740</v>
          </cell>
          <cell r="N4127" t="str">
            <v>Testing</v>
          </cell>
          <cell r="O4127" t="str">
            <v>No</v>
          </cell>
          <cell r="Q4127" t="str">
            <v>Cancelled</v>
          </cell>
          <cell r="R4127">
            <v>44797.585324074083</v>
          </cell>
          <cell r="S4127" t="str">
            <v>Mina George</v>
          </cell>
          <cell r="T4127">
            <v>44902</v>
          </cell>
          <cell r="U4127" t="str">
            <v>Denise Stubenvoll</v>
          </cell>
          <cell r="V4127">
            <v>44984</v>
          </cell>
          <cell r="Y4127">
            <v>44901</v>
          </cell>
        </row>
        <row r="4128">
          <cell r="I4128" t="str">
            <v>EDI</v>
          </cell>
          <cell r="L4128">
            <v>1533</v>
          </cell>
          <cell r="N4128" t="str">
            <v>Production</v>
          </cell>
          <cell r="O4128" t="str">
            <v>Everything Benefits</v>
          </cell>
          <cell r="P4128" t="str">
            <v>Production</v>
          </cell>
          <cell r="Q4128" t="str">
            <v>Cancelled</v>
          </cell>
          <cell r="R4128">
            <v>44797.513368055559</v>
          </cell>
          <cell r="S4128" t="str">
            <v>Mahmoud Ahmed</v>
          </cell>
          <cell r="T4128">
            <v>44818</v>
          </cell>
          <cell r="U4128" t="str">
            <v>Melonie Skeen</v>
          </cell>
          <cell r="V4128">
            <v>44819</v>
          </cell>
          <cell r="W4128">
            <v>44907</v>
          </cell>
          <cell r="AC4128">
            <v>44906</v>
          </cell>
        </row>
        <row r="4129">
          <cell r="I4129" t="str">
            <v>EDI</v>
          </cell>
          <cell r="L4129">
            <v>1549</v>
          </cell>
          <cell r="N4129" t="str">
            <v>Production</v>
          </cell>
          <cell r="O4129" t="str">
            <v>Everything Benefits</v>
          </cell>
          <cell r="P4129" t="str">
            <v>Production</v>
          </cell>
          <cell r="Q4129" t="str">
            <v>Cancelled</v>
          </cell>
          <cell r="R4129">
            <v>44797.513368055559</v>
          </cell>
          <cell r="S4129" t="str">
            <v>Amira Elshora</v>
          </cell>
          <cell r="T4129">
            <v>44888</v>
          </cell>
          <cell r="U4129" t="str">
            <v>Melonie Skeen</v>
          </cell>
          <cell r="V4129">
            <v>44823</v>
          </cell>
          <cell r="W4129">
            <v>44900</v>
          </cell>
          <cell r="AC4129">
            <v>44899</v>
          </cell>
        </row>
        <row r="4130">
          <cell r="I4130" t="str">
            <v>EDI</v>
          </cell>
          <cell r="L4130">
            <v>1541</v>
          </cell>
          <cell r="N4130" t="str">
            <v>Production</v>
          </cell>
          <cell r="O4130" t="str">
            <v>Everything Benefits</v>
          </cell>
          <cell r="P4130" t="str">
            <v>Production</v>
          </cell>
          <cell r="Q4130" t="str">
            <v>Live</v>
          </cell>
          <cell r="R4130">
            <v>44796.858483796299</v>
          </cell>
          <cell r="S4130" t="str">
            <v>Zeyad Khaled</v>
          </cell>
          <cell r="T4130">
            <v>44818</v>
          </cell>
          <cell r="U4130" t="str">
            <v>Melonie Skeen</v>
          </cell>
          <cell r="V4130">
            <v>44844</v>
          </cell>
          <cell r="W4130">
            <v>44970</v>
          </cell>
          <cell r="AC4130">
            <v>44969</v>
          </cell>
        </row>
        <row r="4131">
          <cell r="I4131" t="str">
            <v>EDI</v>
          </cell>
          <cell r="N4131" t="str">
            <v>Dataset Validation</v>
          </cell>
          <cell r="O4131" t="str">
            <v>Everything Benefits</v>
          </cell>
          <cell r="P4131" t="str">
            <v>Phase 1 - Map Built</v>
          </cell>
          <cell r="Q4131" t="str">
            <v>Cancelled</v>
          </cell>
          <cell r="R4131">
            <v>44796.819513888891</v>
          </cell>
          <cell r="S4131" t="str">
            <v>Salma Yamani</v>
          </cell>
          <cell r="T4131">
            <v>44844</v>
          </cell>
          <cell r="U4131" t="str">
            <v>Melonie Skeen</v>
          </cell>
          <cell r="Y4131">
            <v>44838</v>
          </cell>
        </row>
        <row r="4132">
          <cell r="I4132" t="str">
            <v>EDI</v>
          </cell>
          <cell r="L4132">
            <v>1579</v>
          </cell>
          <cell r="N4132" t="str">
            <v>Production</v>
          </cell>
          <cell r="O4132" t="str">
            <v>Everything Benefits</v>
          </cell>
          <cell r="P4132" t="str">
            <v>Production</v>
          </cell>
          <cell r="Q4132" t="str">
            <v>Live</v>
          </cell>
          <cell r="R4132">
            <v>44796.807060185187</v>
          </cell>
          <cell r="S4132" t="str">
            <v>Tarek Medhat</v>
          </cell>
          <cell r="T4132">
            <v>44943</v>
          </cell>
          <cell r="U4132" t="str">
            <v>Melonie Skeen</v>
          </cell>
          <cell r="V4132">
            <v>44829</v>
          </cell>
          <cell r="W4132">
            <v>45142</v>
          </cell>
          <cell r="AC4132">
            <v>45137</v>
          </cell>
        </row>
        <row r="4133">
          <cell r="I4133" t="str">
            <v>EDI</v>
          </cell>
          <cell r="L4133">
            <v>1598</v>
          </cell>
          <cell r="N4133" t="str">
            <v>Production</v>
          </cell>
          <cell r="O4133" t="str">
            <v>Everything Benefits</v>
          </cell>
          <cell r="P4133" t="str">
            <v>Production</v>
          </cell>
          <cell r="Q4133" t="str">
            <v>Cancelled</v>
          </cell>
          <cell r="R4133">
            <v>44796.807060185187</v>
          </cell>
          <cell r="S4133" t="str">
            <v>Hazem Rostom</v>
          </cell>
          <cell r="T4133">
            <v>44870</v>
          </cell>
          <cell r="U4133" t="str">
            <v>Melonie Skeen</v>
          </cell>
          <cell r="V4133">
            <v>44938</v>
          </cell>
          <cell r="W4133">
            <v>44949</v>
          </cell>
          <cell r="AC4133">
            <v>44948</v>
          </cell>
        </row>
        <row r="4134">
          <cell r="I4134" t="str">
            <v>EDI</v>
          </cell>
          <cell r="L4134">
            <v>1615</v>
          </cell>
          <cell r="N4134" t="str">
            <v>Production</v>
          </cell>
          <cell r="O4134" t="str">
            <v>Everything Benefits</v>
          </cell>
          <cell r="P4134" t="str">
            <v>Production</v>
          </cell>
          <cell r="Q4134" t="str">
            <v>Live</v>
          </cell>
          <cell r="R4134">
            <v>44796.807060185187</v>
          </cell>
          <cell r="S4134" t="str">
            <v>Alaa Yehia</v>
          </cell>
          <cell r="T4134">
            <v>44837</v>
          </cell>
          <cell r="U4134" t="str">
            <v>Melonie Skeen</v>
          </cell>
          <cell r="V4134">
            <v>44844</v>
          </cell>
          <cell r="W4134">
            <v>45068</v>
          </cell>
          <cell r="AC4134">
            <v>45067</v>
          </cell>
        </row>
        <row r="4135">
          <cell r="I4135" t="str">
            <v>EDI</v>
          </cell>
          <cell r="L4135">
            <v>1577</v>
          </cell>
          <cell r="N4135" t="str">
            <v>Production</v>
          </cell>
          <cell r="O4135" t="str">
            <v>Everything Benefits</v>
          </cell>
          <cell r="P4135" t="str">
            <v>Production</v>
          </cell>
          <cell r="Q4135" t="str">
            <v>Live</v>
          </cell>
          <cell r="R4135">
            <v>44796.765451388892</v>
          </cell>
          <cell r="S4135" t="str">
            <v>Hazem Rostom</v>
          </cell>
          <cell r="T4135">
            <v>44829</v>
          </cell>
          <cell r="U4135" t="str">
            <v>Trish Kalinczok</v>
          </cell>
          <cell r="W4135">
            <v>45264</v>
          </cell>
          <cell r="Y4135">
            <v>44829</v>
          </cell>
          <cell r="AC4135">
            <v>45262</v>
          </cell>
        </row>
        <row r="4136">
          <cell r="I4136" t="str">
            <v>EDI</v>
          </cell>
          <cell r="L4136">
            <v>1576</v>
          </cell>
          <cell r="N4136" t="str">
            <v>Production</v>
          </cell>
          <cell r="O4136" t="str">
            <v>Everything Benefits</v>
          </cell>
          <cell r="P4136" t="str">
            <v>Production</v>
          </cell>
          <cell r="Q4136" t="str">
            <v>Live</v>
          </cell>
          <cell r="R4136">
            <v>44796.765451388892</v>
          </cell>
          <cell r="S4136" t="str">
            <v>Mahmoud Ahmed</v>
          </cell>
          <cell r="T4136">
            <v>44829</v>
          </cell>
          <cell r="U4136" t="str">
            <v>Melonie Skeen</v>
          </cell>
          <cell r="V4136">
            <v>44830</v>
          </cell>
          <cell r="W4136">
            <v>44886</v>
          </cell>
          <cell r="Y4136">
            <v>44829</v>
          </cell>
          <cell r="AC4136">
            <v>44885</v>
          </cell>
        </row>
        <row r="4137">
          <cell r="I4137" t="str">
            <v>EDI</v>
          </cell>
          <cell r="L4137">
            <v>1574</v>
          </cell>
          <cell r="N4137" t="str">
            <v>Production</v>
          </cell>
          <cell r="O4137" t="str">
            <v>Everything Benefits</v>
          </cell>
          <cell r="P4137" t="str">
            <v>Production</v>
          </cell>
          <cell r="Q4137" t="str">
            <v>Cancelled</v>
          </cell>
          <cell r="R4137">
            <v>44795.701967592591</v>
          </cell>
          <cell r="S4137" t="str">
            <v>Mahmoud Ahmed</v>
          </cell>
          <cell r="T4137">
            <v>44828</v>
          </cell>
          <cell r="U4137" t="str">
            <v>Matt Howell</v>
          </cell>
          <cell r="V4137">
            <v>44829</v>
          </cell>
          <cell r="W4137">
            <v>45209</v>
          </cell>
          <cell r="AC4137">
            <v>45207</v>
          </cell>
        </row>
        <row r="4138">
          <cell r="I4138" t="str">
            <v>EDI</v>
          </cell>
          <cell r="L4138">
            <v>1601</v>
          </cell>
          <cell r="N4138" t="str">
            <v>Production</v>
          </cell>
          <cell r="O4138" t="str">
            <v>Everything Benefits</v>
          </cell>
          <cell r="P4138" t="str">
            <v>Production</v>
          </cell>
          <cell r="Q4138" t="str">
            <v>Cancelled</v>
          </cell>
          <cell r="R4138">
            <v>44795.701967592591</v>
          </cell>
          <cell r="S4138" t="str">
            <v>Amira Elshora</v>
          </cell>
          <cell r="T4138">
            <v>44888</v>
          </cell>
          <cell r="U4138" t="str">
            <v>Matt Howell</v>
          </cell>
          <cell r="V4138">
            <v>44857</v>
          </cell>
          <cell r="W4138">
            <v>45530</v>
          </cell>
          <cell r="AC4138">
            <v>45529</v>
          </cell>
        </row>
        <row r="4139">
          <cell r="I4139" t="str">
            <v>EDI</v>
          </cell>
          <cell r="L4139">
            <v>1572</v>
          </cell>
          <cell r="N4139" t="str">
            <v>Production</v>
          </cell>
          <cell r="O4139" t="str">
            <v>Everything Benefits</v>
          </cell>
          <cell r="P4139" t="str">
            <v>Production</v>
          </cell>
          <cell r="Q4139" t="str">
            <v>Live</v>
          </cell>
          <cell r="R4139">
            <v>44795.675706018519</v>
          </cell>
          <cell r="S4139" t="str">
            <v>Alaa Yehia</v>
          </cell>
          <cell r="T4139">
            <v>44943</v>
          </cell>
          <cell r="U4139" t="str">
            <v>Melonie Skeen</v>
          </cell>
          <cell r="V4139">
            <v>25569</v>
          </cell>
          <cell r="W4139">
            <v>45054</v>
          </cell>
          <cell r="AC4139">
            <v>45053</v>
          </cell>
        </row>
        <row r="4140">
          <cell r="I4140" t="str">
            <v>EDI</v>
          </cell>
          <cell r="L4140">
            <v>1547</v>
          </cell>
          <cell r="N4140" t="str">
            <v>Production</v>
          </cell>
          <cell r="O4140" t="str">
            <v>No</v>
          </cell>
          <cell r="Q4140" t="str">
            <v>Live</v>
          </cell>
          <cell r="R4140">
            <v>44795.579375000001</v>
          </cell>
          <cell r="S4140" t="str">
            <v>Andrew Ramy</v>
          </cell>
          <cell r="T4140">
            <v>44819</v>
          </cell>
          <cell r="U4140" t="str">
            <v>Denise Stubenvoll</v>
          </cell>
          <cell r="V4140">
            <v>44822</v>
          </cell>
          <cell r="W4140">
            <v>44909</v>
          </cell>
          <cell r="Y4140">
            <v>44817</v>
          </cell>
          <cell r="AC4140">
            <v>44906</v>
          </cell>
        </row>
        <row r="4141">
          <cell r="I4141" t="str">
            <v>EDI</v>
          </cell>
          <cell r="L4141">
            <v>1613</v>
          </cell>
          <cell r="N4141" t="str">
            <v>Production</v>
          </cell>
          <cell r="O4141" t="str">
            <v>No</v>
          </cell>
          <cell r="Q4141" t="str">
            <v>Live</v>
          </cell>
          <cell r="R4141">
            <v>44795.579375000001</v>
          </cell>
          <cell r="S4141" t="str">
            <v>Joseph Atef</v>
          </cell>
          <cell r="T4141">
            <v>44888</v>
          </cell>
          <cell r="U4141" t="str">
            <v>Denise Stubenvoll</v>
          </cell>
          <cell r="V4141">
            <v>44851</v>
          </cell>
          <cell r="W4141">
            <v>45071</v>
          </cell>
          <cell r="Y4141">
            <v>44836</v>
          </cell>
          <cell r="AC4141">
            <v>45069</v>
          </cell>
        </row>
        <row r="4142">
          <cell r="I4142" t="str">
            <v>EDI</v>
          </cell>
          <cell r="L4142">
            <v>1690</v>
          </cell>
          <cell r="N4142" t="str">
            <v>Production</v>
          </cell>
          <cell r="O4142" t="str">
            <v>No</v>
          </cell>
          <cell r="Q4142" t="str">
            <v>Live</v>
          </cell>
          <cell r="R4142">
            <v>44795.579375000001</v>
          </cell>
          <cell r="S4142" t="str">
            <v>Omar Elmahalwy</v>
          </cell>
          <cell r="T4142">
            <v>44889</v>
          </cell>
          <cell r="U4142" t="str">
            <v>Denise Stubenvoll</v>
          </cell>
          <cell r="V4142">
            <v>44924</v>
          </cell>
          <cell r="W4142">
            <v>45000</v>
          </cell>
          <cell r="Y4142">
            <v>44875</v>
          </cell>
          <cell r="AC4142">
            <v>44998</v>
          </cell>
        </row>
        <row r="4143">
          <cell r="I4143" t="str">
            <v>EDI</v>
          </cell>
          <cell r="L4143">
            <v>1606</v>
          </cell>
          <cell r="N4143" t="str">
            <v>Production</v>
          </cell>
          <cell r="O4143" t="str">
            <v>No</v>
          </cell>
          <cell r="Q4143" t="str">
            <v>Live</v>
          </cell>
          <cell r="R4143">
            <v>44795.579363425917</v>
          </cell>
          <cell r="S4143" t="str">
            <v>Andrew Ramy</v>
          </cell>
          <cell r="T4143">
            <v>44833</v>
          </cell>
          <cell r="U4143" t="str">
            <v>Denise Stubenvoll</v>
          </cell>
          <cell r="V4143">
            <v>44837</v>
          </cell>
          <cell r="W4143">
            <v>44902</v>
          </cell>
          <cell r="Y4143">
            <v>44832</v>
          </cell>
          <cell r="AC4143">
            <v>44899</v>
          </cell>
        </row>
        <row r="4144">
          <cell r="I4144" t="str">
            <v>EDI</v>
          </cell>
          <cell r="L4144">
            <v>1464</v>
          </cell>
          <cell r="N4144" t="str">
            <v>Production</v>
          </cell>
          <cell r="O4144" t="str">
            <v>No</v>
          </cell>
          <cell r="Q4144" t="str">
            <v>Live</v>
          </cell>
          <cell r="R4144">
            <v>44795.579363425917</v>
          </cell>
          <cell r="S4144" t="str">
            <v>Joseph Atef</v>
          </cell>
          <cell r="T4144">
            <v>44888</v>
          </cell>
          <cell r="U4144" t="str">
            <v>Denise Stubenvoll</v>
          </cell>
          <cell r="V4144">
            <v>44892</v>
          </cell>
          <cell r="W4144">
            <v>44965</v>
          </cell>
          <cell r="Y4144">
            <v>44801</v>
          </cell>
          <cell r="AC4144">
            <v>44958</v>
          </cell>
        </row>
        <row r="4145">
          <cell r="I4145" t="str">
            <v>EDI</v>
          </cell>
          <cell r="L4145">
            <v>1428</v>
          </cell>
          <cell r="N4145" t="str">
            <v>Production</v>
          </cell>
          <cell r="O4145" t="str">
            <v>No</v>
          </cell>
          <cell r="Q4145" t="str">
            <v>Cancelled</v>
          </cell>
          <cell r="R4145">
            <v>44795.571099537039</v>
          </cell>
          <cell r="S4145" t="str">
            <v>Aya Fathy</v>
          </cell>
          <cell r="T4145">
            <v>44798</v>
          </cell>
          <cell r="U4145" t="str">
            <v>Billy Smith</v>
          </cell>
          <cell r="V4145">
            <v>44802</v>
          </cell>
          <cell r="W4145">
            <v>44832</v>
          </cell>
          <cell r="Y4145">
            <v>44796</v>
          </cell>
          <cell r="AC4145">
            <v>44824</v>
          </cell>
        </row>
        <row r="4146">
          <cell r="I4146" t="str">
            <v>EDI</v>
          </cell>
          <cell r="L4146">
            <v>1571</v>
          </cell>
          <cell r="N4146" t="str">
            <v>Production</v>
          </cell>
          <cell r="O4146" t="str">
            <v>Everything Benefits</v>
          </cell>
          <cell r="P4146" t="str">
            <v>Production</v>
          </cell>
          <cell r="Q4146" t="str">
            <v>Cancelled</v>
          </cell>
          <cell r="R4146">
            <v>44792.827013888891</v>
          </cell>
          <cell r="S4146" t="str">
            <v>Zeyad Khaled</v>
          </cell>
          <cell r="T4146">
            <v>44825</v>
          </cell>
          <cell r="U4146" t="str">
            <v>Melonie Skeen</v>
          </cell>
          <cell r="V4146">
            <v>44837</v>
          </cell>
          <cell r="W4146">
            <v>45076</v>
          </cell>
          <cell r="AC4146">
            <v>45076</v>
          </cell>
        </row>
        <row r="4147">
          <cell r="I4147" t="str">
            <v>EDI</v>
          </cell>
          <cell r="L4147">
            <v>1608</v>
          </cell>
          <cell r="N4147" t="str">
            <v>Production</v>
          </cell>
          <cell r="O4147" t="str">
            <v>Everything Benefits</v>
          </cell>
          <cell r="P4147" t="str">
            <v>Production</v>
          </cell>
          <cell r="Q4147" t="str">
            <v>Cancelled</v>
          </cell>
          <cell r="R4147">
            <v>44792.827002314807</v>
          </cell>
          <cell r="S4147" t="str">
            <v>Mahmoud Ahmed</v>
          </cell>
          <cell r="T4147">
            <v>44836</v>
          </cell>
          <cell r="U4147" t="str">
            <v>Melonie Skeen</v>
          </cell>
          <cell r="V4147">
            <v>44865</v>
          </cell>
          <cell r="W4147">
            <v>45054</v>
          </cell>
          <cell r="AC4147">
            <v>45053</v>
          </cell>
        </row>
        <row r="4148">
          <cell r="I4148" t="str">
            <v>EDI</v>
          </cell>
          <cell r="L4148">
            <v>1583</v>
          </cell>
          <cell r="N4148" t="str">
            <v>Production</v>
          </cell>
          <cell r="O4148" t="str">
            <v>Everything Benefits</v>
          </cell>
          <cell r="P4148" t="str">
            <v>Production</v>
          </cell>
          <cell r="Q4148" t="str">
            <v>Cancelled</v>
          </cell>
          <cell r="R4148">
            <v>44792.594097222223</v>
          </cell>
          <cell r="S4148" t="str">
            <v>Karen Ramy</v>
          </cell>
          <cell r="T4148">
            <v>44830</v>
          </cell>
          <cell r="U4148" t="str">
            <v>Melonie Skeen</v>
          </cell>
          <cell r="V4148">
            <v>25569</v>
          </cell>
          <cell r="W4148">
            <v>44921</v>
          </cell>
          <cell r="AC4148">
            <v>44920</v>
          </cell>
        </row>
        <row r="4149">
          <cell r="I4149" t="str">
            <v>EDI</v>
          </cell>
          <cell r="L4149">
            <v>1429</v>
          </cell>
          <cell r="N4149" t="str">
            <v>Production</v>
          </cell>
          <cell r="O4149" t="str">
            <v>No</v>
          </cell>
          <cell r="Q4149" t="str">
            <v>Live</v>
          </cell>
          <cell r="R4149">
            <v>44792.569236111107</v>
          </cell>
          <cell r="S4149" t="str">
            <v>Mina George</v>
          </cell>
          <cell r="T4149">
            <v>44889</v>
          </cell>
          <cell r="U4149" t="str">
            <v>Denise Stubenvoll</v>
          </cell>
          <cell r="V4149">
            <v>44818</v>
          </cell>
          <cell r="W4149">
            <v>44926</v>
          </cell>
          <cell r="Y4149">
            <v>44797</v>
          </cell>
          <cell r="AC4149">
            <v>44921</v>
          </cell>
        </row>
        <row r="4150">
          <cell r="I4150" t="str">
            <v>EDI</v>
          </cell>
          <cell r="L4150">
            <v>1442</v>
          </cell>
          <cell r="N4150" t="str">
            <v>Dataset Validation</v>
          </cell>
          <cell r="O4150" t="str">
            <v>No</v>
          </cell>
          <cell r="Q4150" t="str">
            <v>Cancelled</v>
          </cell>
          <cell r="R4150">
            <v>44792.568067129629</v>
          </cell>
          <cell r="S4150" t="str">
            <v>Dina Medhat</v>
          </cell>
          <cell r="T4150">
            <v>44803</v>
          </cell>
          <cell r="U4150" t="str">
            <v>Denise Stubenvoll</v>
          </cell>
          <cell r="Y4150">
            <v>44797</v>
          </cell>
        </row>
        <row r="4151">
          <cell r="I4151" t="str">
            <v>EDI</v>
          </cell>
          <cell r="L4151">
            <v>1548</v>
          </cell>
          <cell r="N4151" t="str">
            <v>Production</v>
          </cell>
          <cell r="O4151" t="str">
            <v>Everything Benefits</v>
          </cell>
          <cell r="P4151" t="str">
            <v>Production</v>
          </cell>
          <cell r="Q4151" t="str">
            <v>Cancelled</v>
          </cell>
          <cell r="R4151">
            <v>44792.563217592593</v>
          </cell>
          <cell r="S4151" t="str">
            <v>Zeyad Khaled</v>
          </cell>
          <cell r="T4151">
            <v>44822</v>
          </cell>
          <cell r="U4151" t="str">
            <v>Melonie Skeen</v>
          </cell>
          <cell r="V4151">
            <v>44832</v>
          </cell>
          <cell r="W4151">
            <v>44880</v>
          </cell>
          <cell r="AC4151">
            <v>44878</v>
          </cell>
        </row>
        <row r="4152">
          <cell r="I4152" t="str">
            <v>EDI</v>
          </cell>
          <cell r="L4152">
            <v>1569</v>
          </cell>
          <cell r="N4152" t="str">
            <v>Production</v>
          </cell>
          <cell r="O4152" t="str">
            <v>Everything Benefits</v>
          </cell>
          <cell r="P4152" t="str">
            <v>Production</v>
          </cell>
          <cell r="Q4152" t="str">
            <v>Live</v>
          </cell>
          <cell r="R4152">
            <v>44792.563217592593</v>
          </cell>
          <cell r="S4152" t="str">
            <v>Nada Ashraf</v>
          </cell>
          <cell r="T4152">
            <v>44822</v>
          </cell>
          <cell r="U4152" t="str">
            <v>Melonie Skeen</v>
          </cell>
          <cell r="V4152">
            <v>44829</v>
          </cell>
          <cell r="W4152">
            <v>25569</v>
          </cell>
          <cell r="AC4152">
            <v>44892</v>
          </cell>
        </row>
        <row r="4153">
          <cell r="I4153" t="str">
            <v>EDI</v>
          </cell>
          <cell r="L4153">
            <v>1562</v>
          </cell>
          <cell r="N4153" t="str">
            <v>Production</v>
          </cell>
          <cell r="O4153" t="str">
            <v>Everything Benefits</v>
          </cell>
          <cell r="P4153" t="str">
            <v>Production</v>
          </cell>
          <cell r="Q4153" t="str">
            <v>Live</v>
          </cell>
          <cell r="R4153">
            <v>44792.563217592593</v>
          </cell>
          <cell r="S4153" t="str">
            <v>Kareem Osama</v>
          </cell>
          <cell r="T4153">
            <v>44823</v>
          </cell>
          <cell r="U4153" t="str">
            <v>Melonie Skeen</v>
          </cell>
          <cell r="V4153">
            <v>44844</v>
          </cell>
          <cell r="W4153">
            <v>44872</v>
          </cell>
          <cell r="AC4153">
            <v>44871</v>
          </cell>
        </row>
        <row r="4154">
          <cell r="I4154" t="str">
            <v>EDI</v>
          </cell>
          <cell r="L4154">
            <v>1552</v>
          </cell>
          <cell r="N4154" t="str">
            <v>Production</v>
          </cell>
          <cell r="O4154" t="str">
            <v>Everything Benefits</v>
          </cell>
          <cell r="P4154" t="str">
            <v>Production</v>
          </cell>
          <cell r="Q4154" t="str">
            <v>Live</v>
          </cell>
          <cell r="R4154">
            <v>44792.537812499999</v>
          </cell>
          <cell r="S4154" t="str">
            <v>Mahmoud Ahmed</v>
          </cell>
          <cell r="T4154">
            <v>44822</v>
          </cell>
          <cell r="U4154" t="str">
            <v>Melonie Skeen</v>
          </cell>
          <cell r="V4154">
            <v>44824</v>
          </cell>
          <cell r="W4154">
            <v>45054</v>
          </cell>
          <cell r="AC4154">
            <v>45053</v>
          </cell>
        </row>
        <row r="4155">
          <cell r="I4155" t="str">
            <v>EDI</v>
          </cell>
          <cell r="L4155">
            <v>1438</v>
          </cell>
          <cell r="N4155" t="str">
            <v>Production</v>
          </cell>
          <cell r="O4155" t="str">
            <v>No</v>
          </cell>
          <cell r="Q4155" t="str">
            <v>Cancelled</v>
          </cell>
          <cell r="R4155">
            <v>44791.804560185177</v>
          </cell>
          <cell r="S4155" t="str">
            <v>Omnia Abdelaziz</v>
          </cell>
          <cell r="T4155">
            <v>44892</v>
          </cell>
          <cell r="U4155" t="str">
            <v>Denise Stubenvoll</v>
          </cell>
          <cell r="V4155">
            <v>44809</v>
          </cell>
          <cell r="W4155">
            <v>25569</v>
          </cell>
          <cell r="Y4155">
            <v>44801</v>
          </cell>
          <cell r="AC4155">
            <v>44836</v>
          </cell>
        </row>
        <row r="4156">
          <cell r="I4156" t="str">
            <v>EDI</v>
          </cell>
          <cell r="L4156">
            <v>1449</v>
          </cell>
          <cell r="N4156" t="str">
            <v>Production</v>
          </cell>
          <cell r="O4156" t="str">
            <v>No</v>
          </cell>
          <cell r="Q4156" t="str">
            <v>Cancelled</v>
          </cell>
          <cell r="R4156">
            <v>44791.804548611108</v>
          </cell>
          <cell r="S4156" t="str">
            <v>Aya Fathy</v>
          </cell>
          <cell r="T4156">
            <v>44805</v>
          </cell>
          <cell r="U4156" t="str">
            <v>Denise Stubenvoll</v>
          </cell>
          <cell r="V4156">
            <v>44839</v>
          </cell>
          <cell r="W4156">
            <v>44895</v>
          </cell>
          <cell r="Y4156">
            <v>44803</v>
          </cell>
          <cell r="AC4156">
            <v>44893</v>
          </cell>
        </row>
        <row r="4157">
          <cell r="I4157" t="str">
            <v>EDI</v>
          </cell>
          <cell r="L4157">
            <v>1582</v>
          </cell>
          <cell r="N4157" t="str">
            <v>Production</v>
          </cell>
          <cell r="O4157" t="str">
            <v>Everything Benefits</v>
          </cell>
          <cell r="P4157" t="str">
            <v>Production</v>
          </cell>
          <cell r="Q4157" t="str">
            <v>Cancelled</v>
          </cell>
          <cell r="R4157">
            <v>44791.600960648153</v>
          </cell>
          <cell r="S4157" t="str">
            <v>Fady Maged Old Account</v>
          </cell>
          <cell r="T4157">
            <v>44830</v>
          </cell>
          <cell r="U4157" t="str">
            <v>Melonie Skeen</v>
          </cell>
          <cell r="V4157">
            <v>44842</v>
          </cell>
          <cell r="W4157">
            <v>44930</v>
          </cell>
          <cell r="AC4157">
            <v>44921</v>
          </cell>
        </row>
        <row r="4158">
          <cell r="I4158" t="str">
            <v>EDI</v>
          </cell>
          <cell r="L4158">
            <v>1559</v>
          </cell>
          <cell r="N4158" t="str">
            <v>Dataset Validation</v>
          </cell>
          <cell r="O4158" t="str">
            <v>Everything Benefits</v>
          </cell>
          <cell r="P4158" t="str">
            <v>Phase 1 - Map Built</v>
          </cell>
          <cell r="Q4158" t="str">
            <v>Cancelled</v>
          </cell>
          <cell r="R4158">
            <v>44791.569363425922</v>
          </cell>
          <cell r="S4158" t="str">
            <v>Mahmoud Heidar</v>
          </cell>
          <cell r="T4158">
            <v>44818</v>
          </cell>
          <cell r="U4158" t="str">
            <v>Melonie Skeen</v>
          </cell>
        </row>
        <row r="4159">
          <cell r="I4159" t="str">
            <v>EDI</v>
          </cell>
          <cell r="L4159">
            <v>1560</v>
          </cell>
          <cell r="N4159" t="str">
            <v>Production</v>
          </cell>
          <cell r="O4159" t="str">
            <v>Everything Benefits</v>
          </cell>
          <cell r="P4159" t="str">
            <v>Production</v>
          </cell>
          <cell r="Q4159" t="str">
            <v>Live</v>
          </cell>
          <cell r="R4159">
            <v>44791.54488425926</v>
          </cell>
          <cell r="S4159" t="str">
            <v>Mahmoud Heidar</v>
          </cell>
          <cell r="T4159">
            <v>44818</v>
          </cell>
          <cell r="U4159" t="str">
            <v>Melonie Skeen</v>
          </cell>
          <cell r="V4159">
            <v>44833</v>
          </cell>
          <cell r="W4159">
            <v>45131</v>
          </cell>
          <cell r="AC4159">
            <v>45131</v>
          </cell>
        </row>
        <row r="4160">
          <cell r="I4160" t="str">
            <v>EDI</v>
          </cell>
          <cell r="L4160">
            <v>1584</v>
          </cell>
          <cell r="N4160" t="str">
            <v>Production</v>
          </cell>
          <cell r="O4160" t="str">
            <v>Everything Benefits</v>
          </cell>
          <cell r="P4160" t="str">
            <v>Production</v>
          </cell>
          <cell r="Q4160" t="str">
            <v>Live</v>
          </cell>
          <cell r="R4160">
            <v>44790.708518518521</v>
          </cell>
          <cell r="S4160" t="str">
            <v>Mahmoud Ahmed</v>
          </cell>
          <cell r="T4160">
            <v>44830</v>
          </cell>
          <cell r="U4160" t="str">
            <v>Trish Kalinczok</v>
          </cell>
          <cell r="V4160">
            <v>44835</v>
          </cell>
          <cell r="W4160">
            <v>45566</v>
          </cell>
          <cell r="AC4160">
            <v>45542</v>
          </cell>
        </row>
        <row r="4161">
          <cell r="I4161" t="str">
            <v>EDI</v>
          </cell>
          <cell r="N4161" t="str">
            <v>Obtain Customer Dataset</v>
          </cell>
          <cell r="O4161" t="str">
            <v>eBenefits Network</v>
          </cell>
          <cell r="P4161" t="str">
            <v>Phase 1 - Map Built</v>
          </cell>
          <cell r="Q4161" t="str">
            <v>Cancelled</v>
          </cell>
          <cell r="R4161">
            <v>44790.67459490741</v>
          </cell>
          <cell r="S4161" t="str">
            <v>Karim Tarek</v>
          </cell>
          <cell r="T4161">
            <v>44860</v>
          </cell>
          <cell r="U4161" t="str">
            <v>Melonie Skeen</v>
          </cell>
        </row>
        <row r="4162">
          <cell r="I4162" t="str">
            <v>EDI</v>
          </cell>
          <cell r="L4162">
            <v>1557</v>
          </cell>
          <cell r="N4162" t="str">
            <v>Production</v>
          </cell>
          <cell r="O4162" t="str">
            <v>Everything Benefits</v>
          </cell>
          <cell r="P4162" t="str">
            <v>Production</v>
          </cell>
          <cell r="Q4162" t="str">
            <v>Cancelled</v>
          </cell>
          <cell r="R4162">
            <v>44790.664340277777</v>
          </cell>
          <cell r="S4162" t="str">
            <v>Zeyad Khaled</v>
          </cell>
          <cell r="T4162">
            <v>44823</v>
          </cell>
          <cell r="U4162" t="str">
            <v>Melonie Skeen</v>
          </cell>
          <cell r="V4162">
            <v>44825</v>
          </cell>
          <cell r="W4162">
            <v>44992</v>
          </cell>
          <cell r="AC4162">
            <v>44990</v>
          </cell>
        </row>
        <row r="4163">
          <cell r="I4163" t="str">
            <v>EDI</v>
          </cell>
          <cell r="L4163">
            <v>1573</v>
          </cell>
          <cell r="N4163" t="str">
            <v>Production</v>
          </cell>
          <cell r="O4163" t="str">
            <v>Everything Benefits</v>
          </cell>
          <cell r="P4163" t="str">
            <v>Production</v>
          </cell>
          <cell r="Q4163" t="str">
            <v>Live</v>
          </cell>
          <cell r="R4163">
            <v>44790.664340277777</v>
          </cell>
          <cell r="S4163" t="str">
            <v>Mina Kamil Old Account</v>
          </cell>
          <cell r="T4163">
            <v>44826</v>
          </cell>
          <cell r="U4163" t="str">
            <v>Melonie Skeen</v>
          </cell>
          <cell r="V4163">
            <v>44879</v>
          </cell>
          <cell r="W4163">
            <v>44914</v>
          </cell>
          <cell r="Y4163">
            <v>44823</v>
          </cell>
          <cell r="AC4163">
            <v>44885</v>
          </cell>
        </row>
        <row r="4164">
          <cell r="I4164" t="str">
            <v>EDI</v>
          </cell>
          <cell r="L4164">
            <v>1463</v>
          </cell>
          <cell r="N4164" t="str">
            <v>Production</v>
          </cell>
          <cell r="O4164" t="str">
            <v>No</v>
          </cell>
          <cell r="Q4164" t="str">
            <v>Cancelled</v>
          </cell>
          <cell r="R4164">
            <v>44789.664606481478</v>
          </cell>
          <cell r="S4164" t="str">
            <v>Ahmed Sami Old Account</v>
          </cell>
          <cell r="T4164">
            <v>44805</v>
          </cell>
          <cell r="U4164" t="str">
            <v>Denise Stubenvoll</v>
          </cell>
          <cell r="V4164">
            <v>44837</v>
          </cell>
          <cell r="W4164">
            <v>44874</v>
          </cell>
          <cell r="Y4164">
            <v>44804</v>
          </cell>
          <cell r="AC4164">
            <v>44872</v>
          </cell>
        </row>
        <row r="4165">
          <cell r="I4165" t="str">
            <v>EDI</v>
          </cell>
          <cell r="L4165">
            <v>1525</v>
          </cell>
          <cell r="N4165" t="str">
            <v>Testing</v>
          </cell>
          <cell r="O4165" t="str">
            <v>Everything Benefits</v>
          </cell>
          <cell r="P4165" t="str">
            <v>Migration Testing</v>
          </cell>
          <cell r="Q4165" t="str">
            <v>Cancelled</v>
          </cell>
          <cell r="R4165">
            <v>44789.663506944453</v>
          </cell>
          <cell r="S4165" t="str">
            <v>Karim Tarek</v>
          </cell>
          <cell r="T4165">
            <v>44879</v>
          </cell>
          <cell r="U4165" t="str">
            <v>Melonie Skeen</v>
          </cell>
          <cell r="V4165">
            <v>44836</v>
          </cell>
          <cell r="Y4165">
            <v>44816</v>
          </cell>
        </row>
        <row r="4166">
          <cell r="I4166" t="str">
            <v>EDI</v>
          </cell>
          <cell r="L4166">
            <v>1524</v>
          </cell>
          <cell r="N4166" t="str">
            <v>Production</v>
          </cell>
          <cell r="O4166" t="str">
            <v>Everything Benefits</v>
          </cell>
          <cell r="P4166" t="str">
            <v>Production</v>
          </cell>
          <cell r="Q4166" t="str">
            <v>Cancelled</v>
          </cell>
          <cell r="R4166">
            <v>44789.663506944453</v>
          </cell>
          <cell r="S4166" t="str">
            <v>Tarek Medhat</v>
          </cell>
          <cell r="T4166">
            <v>44817</v>
          </cell>
          <cell r="U4166" t="str">
            <v>Melonie Skeen</v>
          </cell>
          <cell r="V4166">
            <v>44819</v>
          </cell>
          <cell r="W4166">
            <v>44851</v>
          </cell>
          <cell r="Y4166">
            <v>44816</v>
          </cell>
          <cell r="AC4166">
            <v>44850</v>
          </cell>
        </row>
        <row r="4167">
          <cell r="I4167" t="str">
            <v>EDI</v>
          </cell>
          <cell r="L4167">
            <v>1385</v>
          </cell>
          <cell r="N4167" t="str">
            <v>Production</v>
          </cell>
          <cell r="O4167" t="str">
            <v>Everything Benefits</v>
          </cell>
          <cell r="P4167" t="str">
            <v>Production</v>
          </cell>
          <cell r="Q4167" t="str">
            <v>Live</v>
          </cell>
          <cell r="R4167">
            <v>44788.447557870371</v>
          </cell>
          <cell r="S4167" t="str">
            <v>Zeyad Khaled</v>
          </cell>
          <cell r="T4167">
            <v>44943</v>
          </cell>
          <cell r="U4167" t="str">
            <v>Trish Kalinczok</v>
          </cell>
          <cell r="V4167">
            <v>25569</v>
          </cell>
          <cell r="W4167">
            <v>45208</v>
          </cell>
          <cell r="AC4167">
            <v>45207</v>
          </cell>
        </row>
        <row r="4168">
          <cell r="I4168" t="str">
            <v>EDI</v>
          </cell>
          <cell r="L4168">
            <v>1530</v>
          </cell>
          <cell r="N4168" t="str">
            <v>Production</v>
          </cell>
          <cell r="O4168" t="str">
            <v>Everything Benefits</v>
          </cell>
          <cell r="P4168" t="str">
            <v>Production</v>
          </cell>
          <cell r="Q4168" t="str">
            <v>Cancelled</v>
          </cell>
          <cell r="R4168">
            <v>44785.870428240742</v>
          </cell>
          <cell r="S4168" t="str">
            <v>Zeyad Khaled</v>
          </cell>
          <cell r="T4168">
            <v>44816</v>
          </cell>
          <cell r="U4168" t="str">
            <v>Melonie Skeen</v>
          </cell>
          <cell r="V4168">
            <v>44818</v>
          </cell>
          <cell r="W4168">
            <v>44830</v>
          </cell>
          <cell r="AC4168">
            <v>44829</v>
          </cell>
        </row>
        <row r="4169">
          <cell r="I4169" t="str">
            <v>EDI</v>
          </cell>
          <cell r="L4169">
            <v>1561</v>
          </cell>
          <cell r="N4169" t="str">
            <v>Production</v>
          </cell>
          <cell r="O4169" t="str">
            <v>Everything Benefits</v>
          </cell>
          <cell r="P4169" t="str">
            <v>Production</v>
          </cell>
          <cell r="Q4169" t="str">
            <v>Live</v>
          </cell>
          <cell r="R4169">
            <v>44783.549722222233</v>
          </cell>
          <cell r="S4169" t="str">
            <v>Salma Yamani</v>
          </cell>
          <cell r="T4169">
            <v>44822</v>
          </cell>
          <cell r="U4169" t="str">
            <v>Melonie Skeen</v>
          </cell>
          <cell r="V4169">
            <v>44837</v>
          </cell>
          <cell r="W4169">
            <v>45104</v>
          </cell>
          <cell r="AC4169">
            <v>45102</v>
          </cell>
        </row>
        <row r="4170">
          <cell r="I4170" t="str">
            <v>EDI</v>
          </cell>
          <cell r="L4170">
            <v>1508</v>
          </cell>
          <cell r="N4170" t="str">
            <v>Production</v>
          </cell>
          <cell r="O4170" t="str">
            <v>Everything Benefits</v>
          </cell>
          <cell r="P4170" t="str">
            <v>Production</v>
          </cell>
          <cell r="Q4170" t="str">
            <v>Cancelled</v>
          </cell>
          <cell r="R4170">
            <v>44781.819050925929</v>
          </cell>
          <cell r="S4170" t="str">
            <v>Mohamed Abdelhamed</v>
          </cell>
          <cell r="T4170">
            <v>44816</v>
          </cell>
          <cell r="U4170" t="str">
            <v>Melonie Skeen</v>
          </cell>
          <cell r="V4170">
            <v>44819</v>
          </cell>
          <cell r="W4170">
            <v>44823</v>
          </cell>
          <cell r="Y4170">
            <v>44815</v>
          </cell>
          <cell r="AC4170">
            <v>44822</v>
          </cell>
        </row>
        <row r="4171">
          <cell r="I4171" t="str">
            <v>EDI</v>
          </cell>
          <cell r="L4171">
            <v>1509</v>
          </cell>
          <cell r="N4171" t="str">
            <v>Production</v>
          </cell>
          <cell r="O4171" t="str">
            <v>Everything Benefits</v>
          </cell>
          <cell r="P4171" t="str">
            <v>Production</v>
          </cell>
          <cell r="Q4171" t="str">
            <v>Cancelled</v>
          </cell>
          <cell r="R4171">
            <v>44781.819039351853</v>
          </cell>
          <cell r="S4171" t="str">
            <v>Mohamed Abdelhamed</v>
          </cell>
          <cell r="T4171">
            <v>44870</v>
          </cell>
          <cell r="U4171" t="str">
            <v>Melonie Skeen</v>
          </cell>
          <cell r="V4171">
            <v>44858</v>
          </cell>
          <cell r="W4171">
            <v>44977</v>
          </cell>
          <cell r="Y4171">
            <v>44815</v>
          </cell>
          <cell r="AC4171">
            <v>44976</v>
          </cell>
        </row>
        <row r="4172">
          <cell r="I4172" t="str">
            <v>EDI</v>
          </cell>
          <cell r="L4172">
            <v>1512</v>
          </cell>
          <cell r="N4172" t="str">
            <v>Production</v>
          </cell>
          <cell r="O4172" t="str">
            <v>Everything Benefits</v>
          </cell>
          <cell r="P4172" t="str">
            <v>Production</v>
          </cell>
          <cell r="Q4172" t="str">
            <v>Cancelled</v>
          </cell>
          <cell r="R4172">
            <v>44781.819039351853</v>
          </cell>
          <cell r="S4172" t="str">
            <v>Amira Elshora</v>
          </cell>
          <cell r="T4172">
            <v>44888</v>
          </cell>
          <cell r="U4172" t="str">
            <v>Melonie Skeen</v>
          </cell>
          <cell r="V4172">
            <v>44818</v>
          </cell>
          <cell r="W4172">
            <v>44991</v>
          </cell>
          <cell r="Y4172">
            <v>44815</v>
          </cell>
          <cell r="AC4172">
            <v>44990</v>
          </cell>
        </row>
        <row r="4173">
          <cell r="I4173" t="str">
            <v>EDI</v>
          </cell>
          <cell r="L4173">
            <v>1511</v>
          </cell>
          <cell r="N4173" t="str">
            <v>Production</v>
          </cell>
          <cell r="O4173" t="str">
            <v>Everything Benefits</v>
          </cell>
          <cell r="P4173" t="str">
            <v>Production</v>
          </cell>
          <cell r="Q4173" t="str">
            <v>Cancelled</v>
          </cell>
          <cell r="R4173">
            <v>44781.819039351853</v>
          </cell>
          <cell r="S4173" t="str">
            <v>Nada Ashraf</v>
          </cell>
          <cell r="T4173">
            <v>44816</v>
          </cell>
          <cell r="U4173" t="str">
            <v>Melonie Skeen</v>
          </cell>
          <cell r="V4173">
            <v>44826</v>
          </cell>
          <cell r="W4173">
            <v>44858</v>
          </cell>
          <cell r="AC4173">
            <v>44857</v>
          </cell>
        </row>
        <row r="4174">
          <cell r="I4174" t="str">
            <v>EDI</v>
          </cell>
          <cell r="L4174">
            <v>1523</v>
          </cell>
          <cell r="N4174" t="str">
            <v>Production</v>
          </cell>
          <cell r="O4174" t="str">
            <v>Everything Benefits</v>
          </cell>
          <cell r="P4174" t="str">
            <v>Production</v>
          </cell>
          <cell r="Q4174" t="str">
            <v>Cancelled</v>
          </cell>
          <cell r="R4174">
            <v>44781.819039351853</v>
          </cell>
          <cell r="S4174" t="str">
            <v>Mirna Azmy</v>
          </cell>
          <cell r="T4174">
            <v>44816</v>
          </cell>
          <cell r="U4174" t="str">
            <v>Melonie Skeen</v>
          </cell>
          <cell r="V4174">
            <v>44879</v>
          </cell>
          <cell r="W4174">
            <v>44998</v>
          </cell>
          <cell r="Y4174">
            <v>44815</v>
          </cell>
          <cell r="AC4174">
            <v>44997</v>
          </cell>
        </row>
        <row r="4175">
          <cell r="I4175" t="str">
            <v>EDI</v>
          </cell>
          <cell r="L4175">
            <v>1500</v>
          </cell>
          <cell r="N4175" t="str">
            <v>Testing</v>
          </cell>
          <cell r="O4175" t="str">
            <v>Everything Benefits</v>
          </cell>
          <cell r="P4175" t="str">
            <v>Phase 3</v>
          </cell>
          <cell r="Q4175" t="str">
            <v>Cancelled</v>
          </cell>
          <cell r="R4175">
            <v>44777.845185185193</v>
          </cell>
          <cell r="S4175" t="str">
            <v>Amira Elshora Old Account</v>
          </cell>
          <cell r="T4175">
            <v>44815</v>
          </cell>
          <cell r="U4175" t="str">
            <v>Melonie Skeen</v>
          </cell>
          <cell r="V4175">
            <v>44815</v>
          </cell>
        </row>
        <row r="4176">
          <cell r="I4176" t="str">
            <v>EDI</v>
          </cell>
          <cell r="L4176">
            <v>1518</v>
          </cell>
          <cell r="N4176" t="str">
            <v>Mapping</v>
          </cell>
          <cell r="O4176" t="str">
            <v>Everything Benefits</v>
          </cell>
          <cell r="P4176" t="str">
            <v>Phase 2</v>
          </cell>
          <cell r="Q4176" t="str">
            <v>Cancelled</v>
          </cell>
          <cell r="R4176">
            <v>44777.839618055557</v>
          </cell>
          <cell r="S4176" t="str">
            <v>Salma Yamani</v>
          </cell>
          <cell r="T4176">
            <v>44816</v>
          </cell>
          <cell r="U4176" t="str">
            <v>Melonie Skeen</v>
          </cell>
          <cell r="Y4176">
            <v>44812</v>
          </cell>
        </row>
        <row r="4177">
          <cell r="I4177" t="str">
            <v>EDI</v>
          </cell>
          <cell r="L4177">
            <v>1498</v>
          </cell>
          <cell r="N4177" t="str">
            <v>Mapping</v>
          </cell>
          <cell r="O4177" t="str">
            <v>Everything Benefits</v>
          </cell>
          <cell r="P4177" t="str">
            <v>Phase 1 - Map Built</v>
          </cell>
          <cell r="Q4177" t="str">
            <v>Cancelled</v>
          </cell>
          <cell r="R4177">
            <v>44777.839618055557</v>
          </cell>
          <cell r="S4177" t="str">
            <v>Tarek Medhat</v>
          </cell>
          <cell r="T4177">
            <v>44815</v>
          </cell>
          <cell r="U4177" t="str">
            <v>Melonie Skeen</v>
          </cell>
          <cell r="V4177">
            <v>44815</v>
          </cell>
          <cell r="Y4177">
            <v>44815</v>
          </cell>
        </row>
        <row r="4178">
          <cell r="I4178" t="str">
            <v>EDI</v>
          </cell>
          <cell r="L4178">
            <v>1337</v>
          </cell>
          <cell r="N4178" t="str">
            <v>Production</v>
          </cell>
          <cell r="O4178" t="str">
            <v>Everything Benefits</v>
          </cell>
          <cell r="P4178" t="str">
            <v>Production</v>
          </cell>
          <cell r="Q4178" t="str">
            <v>Live</v>
          </cell>
          <cell r="R4178">
            <v>44777.606631944444</v>
          </cell>
          <cell r="S4178" t="str">
            <v>Nada Ashraf</v>
          </cell>
          <cell r="T4178">
            <v>44943</v>
          </cell>
          <cell r="U4178" t="str">
            <v>Melodie Coles</v>
          </cell>
          <cell r="V4178">
            <v>44780</v>
          </cell>
          <cell r="W4178">
            <v>44977</v>
          </cell>
          <cell r="AC4178">
            <v>44976</v>
          </cell>
        </row>
        <row r="4179">
          <cell r="I4179" t="str">
            <v>EDI</v>
          </cell>
          <cell r="L4179">
            <v>1325</v>
          </cell>
          <cell r="N4179" t="str">
            <v>Production</v>
          </cell>
          <cell r="O4179" t="str">
            <v>No</v>
          </cell>
          <cell r="Q4179" t="str">
            <v>Live</v>
          </cell>
          <cell r="R4179">
            <v>44774.520520833343</v>
          </cell>
          <cell r="S4179" t="str">
            <v>Aya Fathy</v>
          </cell>
          <cell r="T4179">
            <v>44775</v>
          </cell>
          <cell r="U4179" t="str">
            <v>Billy Smith</v>
          </cell>
          <cell r="V4179">
            <v>44780</v>
          </cell>
          <cell r="W4179">
            <v>44811</v>
          </cell>
          <cell r="Y4179">
            <v>44774</v>
          </cell>
          <cell r="AC4179">
            <v>44805</v>
          </cell>
        </row>
        <row r="4180">
          <cell r="I4180" t="str">
            <v>EDI</v>
          </cell>
          <cell r="L4180">
            <v>1329</v>
          </cell>
          <cell r="N4180" t="str">
            <v>Production</v>
          </cell>
          <cell r="O4180" t="str">
            <v>Everything Benefits</v>
          </cell>
          <cell r="P4180" t="str">
            <v>Production</v>
          </cell>
          <cell r="Q4180" t="str">
            <v>Live</v>
          </cell>
          <cell r="R4180">
            <v>44773.50613425926</v>
          </cell>
          <cell r="S4180" t="str">
            <v>Salma Yamani</v>
          </cell>
          <cell r="T4180">
            <v>44775</v>
          </cell>
          <cell r="U4180" t="str">
            <v>Melodie Coles</v>
          </cell>
          <cell r="V4180">
            <v>44845</v>
          </cell>
          <cell r="W4180">
            <v>44908</v>
          </cell>
          <cell r="AC4180">
            <v>44878</v>
          </cell>
        </row>
        <row r="4181">
          <cell r="I4181" t="str">
            <v>EDI</v>
          </cell>
          <cell r="L4181">
            <v>1331</v>
          </cell>
          <cell r="N4181" t="str">
            <v>Production</v>
          </cell>
          <cell r="O4181" t="str">
            <v>Everything Benefits</v>
          </cell>
          <cell r="P4181" t="str">
            <v>Production</v>
          </cell>
          <cell r="Q4181" t="str">
            <v>Live</v>
          </cell>
          <cell r="R4181">
            <v>44773.504560185182</v>
          </cell>
          <cell r="S4181" t="str">
            <v>Salma Yamani</v>
          </cell>
          <cell r="T4181">
            <v>44775</v>
          </cell>
          <cell r="U4181" t="str">
            <v>Melodie Coles</v>
          </cell>
          <cell r="V4181">
            <v>44845</v>
          </cell>
          <cell r="W4181">
            <v>25569</v>
          </cell>
          <cell r="AC4181">
            <v>44878</v>
          </cell>
        </row>
        <row r="4182">
          <cell r="I4182" t="str">
            <v>EDI</v>
          </cell>
          <cell r="L4182">
            <v>1360</v>
          </cell>
          <cell r="N4182" t="str">
            <v>Production</v>
          </cell>
          <cell r="O4182" t="str">
            <v>No</v>
          </cell>
          <cell r="Q4182" t="str">
            <v>Cancelled</v>
          </cell>
          <cell r="R4182">
            <v>44770.590127314812</v>
          </cell>
          <cell r="S4182" t="str">
            <v>Haytham Mohamed</v>
          </cell>
          <cell r="T4182">
            <v>44781</v>
          </cell>
          <cell r="U4182" t="str">
            <v>Miranda Naeem</v>
          </cell>
          <cell r="V4182">
            <v>44805</v>
          </cell>
          <cell r="W4182">
            <v>44859</v>
          </cell>
          <cell r="Y4182">
            <v>44780</v>
          </cell>
          <cell r="AC4182">
            <v>44855</v>
          </cell>
        </row>
        <row r="4183">
          <cell r="I4183" t="str">
            <v>EDI</v>
          </cell>
          <cell r="L4183">
            <v>1459</v>
          </cell>
          <cell r="N4183" t="str">
            <v>Production</v>
          </cell>
          <cell r="O4183" t="str">
            <v>No</v>
          </cell>
          <cell r="Q4183" t="str">
            <v>Cancelled</v>
          </cell>
          <cell r="R4183">
            <v>44768.801030092603</v>
          </cell>
          <cell r="S4183" t="str">
            <v>Omnia Abdelaziz</v>
          </cell>
          <cell r="T4183">
            <v>44892</v>
          </cell>
          <cell r="U4183" t="str">
            <v>Miranda Naeem</v>
          </cell>
          <cell r="V4183">
            <v>44837</v>
          </cell>
          <cell r="W4183">
            <v>44859</v>
          </cell>
          <cell r="Y4183">
            <v>44805</v>
          </cell>
          <cell r="AC4183">
            <v>44843</v>
          </cell>
        </row>
        <row r="4184">
          <cell r="I4184" t="str">
            <v>EDI</v>
          </cell>
          <cell r="L4184">
            <v>1328</v>
          </cell>
          <cell r="N4184" t="str">
            <v>Production</v>
          </cell>
          <cell r="O4184" t="str">
            <v>No</v>
          </cell>
          <cell r="Q4184" t="str">
            <v>Live</v>
          </cell>
          <cell r="R4184">
            <v>44768.753935185188</v>
          </cell>
          <cell r="S4184" t="str">
            <v>Andrew Ramy</v>
          </cell>
          <cell r="T4184">
            <v>44775</v>
          </cell>
          <cell r="U4184" t="str">
            <v>Denise Stubenvoll</v>
          </cell>
          <cell r="V4184">
            <v>44819</v>
          </cell>
          <cell r="W4184">
            <v>44839</v>
          </cell>
          <cell r="Y4184">
            <v>44775</v>
          </cell>
          <cell r="AC4184">
            <v>44838</v>
          </cell>
        </row>
        <row r="4185">
          <cell r="I4185" t="str">
            <v>EDI</v>
          </cell>
          <cell r="L4185">
            <v>1336</v>
          </cell>
          <cell r="N4185" t="str">
            <v>Production</v>
          </cell>
          <cell r="O4185" t="str">
            <v>No</v>
          </cell>
          <cell r="Q4185" t="str">
            <v>Live</v>
          </cell>
          <cell r="R4185">
            <v>44768.752164351848</v>
          </cell>
          <cell r="S4185" t="str">
            <v>Mina George</v>
          </cell>
          <cell r="T4185">
            <v>44889</v>
          </cell>
          <cell r="U4185" t="str">
            <v>Denise Stubenvoll</v>
          </cell>
          <cell r="V4185">
            <v>44797</v>
          </cell>
          <cell r="W4185">
            <v>44902</v>
          </cell>
          <cell r="Y4185">
            <v>44777</v>
          </cell>
          <cell r="AC4185">
            <v>44901</v>
          </cell>
        </row>
        <row r="4186">
          <cell r="I4186" t="str">
            <v>EDI</v>
          </cell>
          <cell r="L4186">
            <v>1501</v>
          </cell>
          <cell r="N4186" t="str">
            <v>Production</v>
          </cell>
          <cell r="O4186" t="str">
            <v>Everything Benefits</v>
          </cell>
          <cell r="P4186" t="str">
            <v>Production</v>
          </cell>
          <cell r="Q4186" t="str">
            <v>Live</v>
          </cell>
          <cell r="R4186">
            <v>44767.803194444437</v>
          </cell>
          <cell r="S4186" t="str">
            <v>Nada Ashraf</v>
          </cell>
          <cell r="T4186">
            <v>44815</v>
          </cell>
          <cell r="U4186" t="str">
            <v>Melonie Skeen</v>
          </cell>
          <cell r="W4186">
            <v>44830</v>
          </cell>
          <cell r="AC4186">
            <v>44830</v>
          </cell>
        </row>
        <row r="4187">
          <cell r="I4187" t="str">
            <v>EDI</v>
          </cell>
          <cell r="L4187">
            <v>1304</v>
          </cell>
          <cell r="N4187" t="str">
            <v>Production</v>
          </cell>
          <cell r="O4187" t="str">
            <v>No</v>
          </cell>
          <cell r="Q4187" t="str">
            <v>Cancelled</v>
          </cell>
          <cell r="R4187">
            <v>44767.664166666669</v>
          </cell>
          <cell r="S4187" t="str">
            <v>Mina George</v>
          </cell>
          <cell r="T4187">
            <v>44889</v>
          </cell>
          <cell r="U4187" t="str">
            <v>Vicky Wright</v>
          </cell>
          <cell r="V4187">
            <v>44795</v>
          </cell>
          <cell r="W4187">
            <v>44992</v>
          </cell>
          <cell r="Y4187">
            <v>44770</v>
          </cell>
          <cell r="AC4187">
            <v>44987</v>
          </cell>
        </row>
        <row r="4188">
          <cell r="I4188" t="str">
            <v>EDI</v>
          </cell>
          <cell r="L4188">
            <v>1361</v>
          </cell>
          <cell r="N4188" t="str">
            <v>Production</v>
          </cell>
          <cell r="O4188" t="str">
            <v>No</v>
          </cell>
          <cell r="Q4188" t="str">
            <v>Cancelled</v>
          </cell>
          <cell r="R4188">
            <v>44767.599085648151</v>
          </cell>
          <cell r="S4188" t="str">
            <v>Joseph Atef Old Account</v>
          </cell>
          <cell r="T4188">
            <v>44782</v>
          </cell>
          <cell r="U4188" t="str">
            <v>Miranda Naeem</v>
          </cell>
          <cell r="V4188">
            <v>25569</v>
          </cell>
          <cell r="W4188">
            <v>44866</v>
          </cell>
          <cell r="Y4188">
            <v>44781</v>
          </cell>
          <cell r="AC4188">
            <v>44866</v>
          </cell>
        </row>
        <row r="4189">
          <cell r="I4189" t="str">
            <v>EDI</v>
          </cell>
          <cell r="L4189">
            <v>1321</v>
          </cell>
          <cell r="N4189" t="str">
            <v>Production</v>
          </cell>
          <cell r="O4189" t="str">
            <v>No</v>
          </cell>
          <cell r="Q4189" t="str">
            <v>Live</v>
          </cell>
          <cell r="R4189">
            <v>44767.507685185177</v>
          </cell>
          <cell r="S4189" t="str">
            <v>Andrew Ramy</v>
          </cell>
          <cell r="T4189">
            <v>44771</v>
          </cell>
          <cell r="U4189" t="str">
            <v>Denise Stubenvoll</v>
          </cell>
          <cell r="V4189">
            <v>44825</v>
          </cell>
          <cell r="W4189">
            <v>25569</v>
          </cell>
          <cell r="Y4189">
            <v>44770</v>
          </cell>
          <cell r="AC4189">
            <v>44862</v>
          </cell>
        </row>
        <row r="4190">
          <cell r="I4190" t="str">
            <v>EDI</v>
          </cell>
          <cell r="L4190">
            <v>1335</v>
          </cell>
          <cell r="N4190" t="str">
            <v>Mapping</v>
          </cell>
          <cell r="O4190" t="str">
            <v>No</v>
          </cell>
          <cell r="Q4190" t="str">
            <v>Cancelled</v>
          </cell>
          <cell r="R4190">
            <v>44764.84778935185</v>
          </cell>
          <cell r="S4190" t="str">
            <v>Joseph Atef Old Account</v>
          </cell>
          <cell r="T4190">
            <v>44770</v>
          </cell>
          <cell r="Y4190">
            <v>44768</v>
          </cell>
        </row>
        <row r="4191">
          <cell r="I4191" t="str">
            <v>EDI</v>
          </cell>
          <cell r="L4191">
            <v>1315</v>
          </cell>
          <cell r="N4191" t="str">
            <v>Production</v>
          </cell>
          <cell r="O4191" t="str">
            <v>No</v>
          </cell>
          <cell r="Q4191" t="str">
            <v>Cancelled</v>
          </cell>
          <cell r="R4191">
            <v>44763.71671296296</v>
          </cell>
          <cell r="S4191" t="str">
            <v>Omar Elmahalwy</v>
          </cell>
          <cell r="T4191">
            <v>44889</v>
          </cell>
          <cell r="U4191" t="str">
            <v>Miranda Naeem</v>
          </cell>
          <cell r="V4191">
            <v>44776</v>
          </cell>
          <cell r="W4191">
            <v>44901</v>
          </cell>
          <cell r="Y4191">
            <v>44774</v>
          </cell>
          <cell r="AC4191">
            <v>44894</v>
          </cell>
        </row>
        <row r="4192">
          <cell r="I4192" t="str">
            <v>EDI</v>
          </cell>
          <cell r="L4192">
            <v>1472</v>
          </cell>
          <cell r="N4192" t="str">
            <v>Production</v>
          </cell>
          <cell r="O4192" t="str">
            <v>No</v>
          </cell>
          <cell r="Q4192" t="str">
            <v>Cancelled</v>
          </cell>
          <cell r="R4192">
            <v>44763.71671296296</v>
          </cell>
          <cell r="S4192" t="str">
            <v>Aya Fathy</v>
          </cell>
          <cell r="T4192">
            <v>44809</v>
          </cell>
          <cell r="U4192" t="str">
            <v>Miranda Naeem</v>
          </cell>
          <cell r="V4192">
            <v>25569</v>
          </cell>
          <cell r="W4192">
            <v>44861</v>
          </cell>
          <cell r="Y4192">
            <v>44808</v>
          </cell>
          <cell r="AC4192">
            <v>44859</v>
          </cell>
        </row>
        <row r="4193">
          <cell r="I4193" t="str">
            <v>EDI</v>
          </cell>
          <cell r="L4193">
            <v>1373</v>
          </cell>
          <cell r="N4193" t="str">
            <v>Production</v>
          </cell>
          <cell r="O4193" t="str">
            <v>No</v>
          </cell>
          <cell r="Q4193" t="str">
            <v>Cancelled</v>
          </cell>
          <cell r="R4193">
            <v>44763.531412037039</v>
          </cell>
          <cell r="S4193" t="str">
            <v>Mina George Old Account</v>
          </cell>
          <cell r="T4193">
            <v>44787</v>
          </cell>
          <cell r="U4193" t="str">
            <v>Denise Stubenvoll</v>
          </cell>
          <cell r="W4193">
            <v>25569</v>
          </cell>
          <cell r="Y4193">
            <v>44787</v>
          </cell>
          <cell r="AC4193">
            <v>44833</v>
          </cell>
        </row>
        <row r="4194">
          <cell r="I4194" t="str">
            <v>EDI</v>
          </cell>
          <cell r="L4194">
            <v>1497</v>
          </cell>
          <cell r="N4194" t="str">
            <v>Production</v>
          </cell>
          <cell r="O4194" t="str">
            <v>Everything Benefits</v>
          </cell>
          <cell r="P4194" t="str">
            <v>Production</v>
          </cell>
          <cell r="Q4194" t="str">
            <v>Cancelled</v>
          </cell>
          <cell r="R4194">
            <v>44762.778784722221</v>
          </cell>
          <cell r="S4194" t="str">
            <v>Zeyad Khaled</v>
          </cell>
          <cell r="T4194">
            <v>44815</v>
          </cell>
          <cell r="U4194" t="str">
            <v>Melonie Skeen</v>
          </cell>
          <cell r="V4194">
            <v>44823</v>
          </cell>
          <cell r="W4194">
            <v>44932</v>
          </cell>
          <cell r="Y4194">
            <v>44815</v>
          </cell>
          <cell r="AC4194">
            <v>44938</v>
          </cell>
        </row>
        <row r="4195">
          <cell r="I4195" t="str">
            <v>EDI</v>
          </cell>
          <cell r="L4195">
            <v>1259</v>
          </cell>
          <cell r="N4195" t="str">
            <v>Production</v>
          </cell>
          <cell r="O4195" t="str">
            <v>No</v>
          </cell>
          <cell r="Q4195" t="str">
            <v>Cancelled</v>
          </cell>
          <cell r="R4195">
            <v>44757.604594907411</v>
          </cell>
          <cell r="S4195" t="str">
            <v>Aya Fathy</v>
          </cell>
          <cell r="T4195">
            <v>44762</v>
          </cell>
          <cell r="U4195" t="str">
            <v>Miranda Naeem</v>
          </cell>
          <cell r="V4195">
            <v>44826</v>
          </cell>
          <cell r="W4195">
            <v>44862</v>
          </cell>
          <cell r="Y4195">
            <v>44761</v>
          </cell>
          <cell r="AC4195">
            <v>44854</v>
          </cell>
        </row>
        <row r="4196">
          <cell r="I4196" t="str">
            <v>EDI</v>
          </cell>
          <cell r="L4196">
            <v>1302</v>
          </cell>
          <cell r="N4196" t="str">
            <v>Testing</v>
          </cell>
          <cell r="O4196" t="str">
            <v>No</v>
          </cell>
          <cell r="Q4196" t="str">
            <v>Cancelled</v>
          </cell>
          <cell r="R4196">
            <v>44757.604594907411</v>
          </cell>
          <cell r="S4196" t="str">
            <v>Aya Fathy</v>
          </cell>
          <cell r="T4196">
            <v>44770</v>
          </cell>
          <cell r="U4196" t="str">
            <v>Miranda Naeem</v>
          </cell>
          <cell r="V4196">
            <v>44798</v>
          </cell>
          <cell r="Y4196">
            <v>44768</v>
          </cell>
        </row>
        <row r="4197">
          <cell r="I4197" t="str">
            <v>EDI</v>
          </cell>
          <cell r="L4197">
            <v>1261</v>
          </cell>
          <cell r="N4197" t="str">
            <v>Production</v>
          </cell>
          <cell r="O4197" t="str">
            <v>No</v>
          </cell>
          <cell r="Q4197" t="str">
            <v>Live</v>
          </cell>
          <cell r="R4197">
            <v>44757.604583333326</v>
          </cell>
          <cell r="S4197" t="str">
            <v>Andrew Ramy</v>
          </cell>
          <cell r="T4197">
            <v>44762</v>
          </cell>
          <cell r="U4197" t="str">
            <v>Miranda Naeem</v>
          </cell>
          <cell r="V4197">
            <v>44832</v>
          </cell>
          <cell r="W4197">
            <v>44953</v>
          </cell>
          <cell r="Y4197">
            <v>44761</v>
          </cell>
          <cell r="AC4197">
            <v>44949</v>
          </cell>
        </row>
        <row r="4198">
          <cell r="I4198" t="str">
            <v>EDI</v>
          </cell>
          <cell r="L4198">
            <v>2121</v>
          </cell>
          <cell r="N4198" t="str">
            <v>Production</v>
          </cell>
          <cell r="O4198" t="str">
            <v>No</v>
          </cell>
          <cell r="Q4198" t="str">
            <v>Live</v>
          </cell>
          <cell r="R4198">
            <v>44757.604583333326</v>
          </cell>
          <cell r="S4198" t="str">
            <v>Aya Fathy</v>
          </cell>
          <cell r="T4198">
            <v>45078</v>
          </cell>
          <cell r="U4198" t="str">
            <v>Miranda Naeem</v>
          </cell>
          <cell r="V4198">
            <v>45089</v>
          </cell>
          <cell r="W4198">
            <v>45121</v>
          </cell>
          <cell r="Y4198">
            <v>45078</v>
          </cell>
          <cell r="AC4198">
            <v>45116</v>
          </cell>
        </row>
        <row r="4199">
          <cell r="I4199" t="str">
            <v>EDI</v>
          </cell>
          <cell r="L4199">
            <v>1340</v>
          </cell>
          <cell r="N4199" t="str">
            <v>Production</v>
          </cell>
          <cell r="O4199" t="str">
            <v>No</v>
          </cell>
          <cell r="Q4199" t="str">
            <v>Cancelled</v>
          </cell>
          <cell r="R4199">
            <v>44756.862638888888</v>
          </cell>
          <cell r="S4199" t="str">
            <v>Omar Elmahalwy</v>
          </cell>
          <cell r="T4199">
            <v>44889</v>
          </cell>
          <cell r="V4199">
            <v>44836</v>
          </cell>
          <cell r="W4199">
            <v>44944</v>
          </cell>
          <cell r="Y4199">
            <v>44777</v>
          </cell>
          <cell r="AC4199">
            <v>44942</v>
          </cell>
        </row>
        <row r="4200">
          <cell r="I4200" t="str">
            <v>EDI</v>
          </cell>
          <cell r="L4200">
            <v>1231</v>
          </cell>
          <cell r="N4200" t="str">
            <v>Production</v>
          </cell>
          <cell r="O4200" t="str">
            <v>No</v>
          </cell>
          <cell r="Q4200" t="str">
            <v>Live</v>
          </cell>
          <cell r="R4200">
            <v>44756.680763888893</v>
          </cell>
          <cell r="S4200" t="str">
            <v>Mina George Old Account</v>
          </cell>
          <cell r="T4200">
            <v>44756</v>
          </cell>
          <cell r="U4200" t="str">
            <v>Miranda Naeem</v>
          </cell>
          <cell r="V4200">
            <v>44768</v>
          </cell>
          <cell r="W4200">
            <v>44775</v>
          </cell>
          <cell r="AC4200">
            <v>44769</v>
          </cell>
        </row>
        <row r="4201">
          <cell r="I4201" t="str">
            <v>EDI</v>
          </cell>
          <cell r="L4201">
            <v>1257</v>
          </cell>
          <cell r="N4201" t="str">
            <v>Production</v>
          </cell>
          <cell r="O4201" t="str">
            <v>No</v>
          </cell>
          <cell r="Q4201" t="str">
            <v>Live</v>
          </cell>
          <cell r="R4201">
            <v>44756.640185185177</v>
          </cell>
          <cell r="S4201" t="str">
            <v>Omar Elmahalwy Old Account</v>
          </cell>
          <cell r="T4201">
            <v>44762</v>
          </cell>
          <cell r="U4201" t="str">
            <v>Billy Smith</v>
          </cell>
          <cell r="V4201">
            <v>44763</v>
          </cell>
          <cell r="W4201">
            <v>44769</v>
          </cell>
          <cell r="Y4201">
            <v>44761</v>
          </cell>
          <cell r="AC4201">
            <v>44767</v>
          </cell>
        </row>
        <row r="4202">
          <cell r="I4202" t="str">
            <v>EDI</v>
          </cell>
          <cell r="L4202">
            <v>1439</v>
          </cell>
          <cell r="N4202" t="str">
            <v>Production</v>
          </cell>
          <cell r="O4202" t="str">
            <v>No</v>
          </cell>
          <cell r="Q4202" t="str">
            <v>Live</v>
          </cell>
          <cell r="R4202">
            <v>44756.640185185177</v>
          </cell>
          <cell r="S4202" t="str">
            <v>Omar Elmahalwy Old Account</v>
          </cell>
          <cell r="T4202">
            <v>44769</v>
          </cell>
          <cell r="U4202" t="str">
            <v>Billy Smith</v>
          </cell>
          <cell r="V4202">
            <v>44805</v>
          </cell>
          <cell r="W4202">
            <v>44835</v>
          </cell>
          <cell r="Y4202">
            <v>44768</v>
          </cell>
          <cell r="AC4202">
            <v>44824</v>
          </cell>
        </row>
        <row r="4203">
          <cell r="I4203" t="str">
            <v>EDI</v>
          </cell>
          <cell r="L4203">
            <v>1294</v>
          </cell>
          <cell r="N4203" t="str">
            <v>Production</v>
          </cell>
          <cell r="O4203" t="str">
            <v>No</v>
          </cell>
          <cell r="Q4203" t="str">
            <v>Cancelled</v>
          </cell>
          <cell r="R4203">
            <v>44754.776064814818</v>
          </cell>
          <cell r="S4203" t="str">
            <v>Joseph Atef</v>
          </cell>
          <cell r="T4203">
            <v>44888</v>
          </cell>
          <cell r="U4203" t="str">
            <v>Denise Stubenvoll</v>
          </cell>
          <cell r="V4203">
            <v>44844</v>
          </cell>
          <cell r="W4203">
            <v>44944</v>
          </cell>
          <cell r="Y4203">
            <v>44765</v>
          </cell>
          <cell r="AC4203">
            <v>44938</v>
          </cell>
        </row>
        <row r="4204">
          <cell r="I4204" t="str">
            <v>EDI</v>
          </cell>
          <cell r="L4204">
            <v>1397</v>
          </cell>
          <cell r="N4204" t="str">
            <v>Production</v>
          </cell>
          <cell r="O4204" t="str">
            <v>No</v>
          </cell>
          <cell r="Q4204" t="str">
            <v>Live</v>
          </cell>
          <cell r="R4204">
            <v>44754.75513888889</v>
          </cell>
          <cell r="S4204" t="str">
            <v>Aya Fathy</v>
          </cell>
          <cell r="T4204">
            <v>44817</v>
          </cell>
          <cell r="U4204" t="str">
            <v>Denise Stubenvoll</v>
          </cell>
          <cell r="V4204">
            <v>44810</v>
          </cell>
          <cell r="W4204">
            <v>44853</v>
          </cell>
          <cell r="Y4204">
            <v>44769</v>
          </cell>
          <cell r="AC4204">
            <v>44847</v>
          </cell>
        </row>
        <row r="4205">
          <cell r="I4205" t="str">
            <v>EDI</v>
          </cell>
          <cell r="L4205">
            <v>1333</v>
          </cell>
          <cell r="N4205" t="str">
            <v>Production</v>
          </cell>
          <cell r="O4205" t="str">
            <v>No</v>
          </cell>
          <cell r="Q4205" t="str">
            <v>Live</v>
          </cell>
          <cell r="R4205">
            <v>44754.755127314813</v>
          </cell>
          <cell r="S4205" t="str">
            <v>Mina Adel</v>
          </cell>
          <cell r="T4205">
            <v>44888</v>
          </cell>
          <cell r="U4205" t="str">
            <v>Miranda Naeem</v>
          </cell>
          <cell r="V4205">
            <v>44803</v>
          </cell>
          <cell r="W4205">
            <v>45124</v>
          </cell>
          <cell r="AC4205">
            <v>45119</v>
          </cell>
        </row>
        <row r="4206">
          <cell r="I4206" t="str">
            <v>EDI</v>
          </cell>
          <cell r="L4206">
            <v>1258</v>
          </cell>
          <cell r="N4206" t="str">
            <v>Production</v>
          </cell>
          <cell r="O4206" t="str">
            <v>No</v>
          </cell>
          <cell r="Q4206" t="str">
            <v>Live</v>
          </cell>
          <cell r="R4206">
            <v>44754.755127314813</v>
          </cell>
          <cell r="S4206" t="str">
            <v>Mina Adel</v>
          </cell>
          <cell r="T4206">
            <v>44888</v>
          </cell>
          <cell r="U4206" t="str">
            <v>Miranda Naeem</v>
          </cell>
          <cell r="V4206">
            <v>44803</v>
          </cell>
          <cell r="W4206">
            <v>25569</v>
          </cell>
          <cell r="Y4206">
            <v>44761</v>
          </cell>
          <cell r="AC4206">
            <v>45299</v>
          </cell>
        </row>
        <row r="4207">
          <cell r="I4207" t="str">
            <v>EDI</v>
          </cell>
          <cell r="L4207">
            <v>1287</v>
          </cell>
          <cell r="N4207" t="str">
            <v>Production</v>
          </cell>
          <cell r="O4207" t="str">
            <v>No</v>
          </cell>
          <cell r="Q4207" t="str">
            <v>Live</v>
          </cell>
          <cell r="R4207">
            <v>44754.755127314813</v>
          </cell>
          <cell r="S4207" t="str">
            <v>Mina Adel Old Account</v>
          </cell>
          <cell r="T4207">
            <v>44817</v>
          </cell>
          <cell r="U4207" t="str">
            <v>Denise Stubenvoll</v>
          </cell>
          <cell r="V4207">
            <v>44792</v>
          </cell>
          <cell r="W4207">
            <v>44853</v>
          </cell>
          <cell r="Y4207">
            <v>44763</v>
          </cell>
          <cell r="AC4207">
            <v>44847</v>
          </cell>
        </row>
        <row r="4208">
          <cell r="I4208" t="str">
            <v>EDI</v>
          </cell>
          <cell r="L4208">
            <v>1250</v>
          </cell>
          <cell r="N4208" t="str">
            <v>Production</v>
          </cell>
          <cell r="O4208" t="str">
            <v>No</v>
          </cell>
          <cell r="Q4208" t="str">
            <v>Live</v>
          </cell>
          <cell r="R4208">
            <v>44750.710092592592</v>
          </cell>
          <cell r="S4208" t="str">
            <v>Mina George Old Account</v>
          </cell>
          <cell r="T4208">
            <v>44761</v>
          </cell>
          <cell r="V4208">
            <v>44783</v>
          </cell>
          <cell r="W4208">
            <v>25569</v>
          </cell>
          <cell r="Y4208">
            <v>44761</v>
          </cell>
          <cell r="AC4208">
            <v>44797</v>
          </cell>
        </row>
        <row r="4209">
          <cell r="I4209" t="str">
            <v>EDI</v>
          </cell>
          <cell r="L4209">
            <v>1223</v>
          </cell>
          <cell r="N4209" t="str">
            <v>Production</v>
          </cell>
          <cell r="O4209" t="str">
            <v>No</v>
          </cell>
          <cell r="Q4209" t="str">
            <v>Live</v>
          </cell>
          <cell r="R4209">
            <v>44749.653703703712</v>
          </cell>
          <cell r="S4209" t="str">
            <v>Mina Adel Old Account</v>
          </cell>
          <cell r="T4209">
            <v>44753</v>
          </cell>
          <cell r="U4209" t="str">
            <v>Miranda Naeem</v>
          </cell>
          <cell r="V4209">
            <v>44767</v>
          </cell>
          <cell r="W4209">
            <v>25569</v>
          </cell>
          <cell r="AC4209">
            <v>44854</v>
          </cell>
        </row>
        <row r="4210">
          <cell r="I4210" t="str">
            <v>EDI</v>
          </cell>
          <cell r="L4210">
            <v>1289</v>
          </cell>
          <cell r="N4210" t="str">
            <v>Production</v>
          </cell>
          <cell r="O4210" t="str">
            <v>No</v>
          </cell>
          <cell r="Q4210" t="str">
            <v>Live</v>
          </cell>
          <cell r="R4210">
            <v>44748.846886574072</v>
          </cell>
          <cell r="S4210" t="str">
            <v>Mina George Old Account</v>
          </cell>
          <cell r="T4210">
            <v>44766</v>
          </cell>
          <cell r="U4210" t="str">
            <v>Miranda Naeem</v>
          </cell>
          <cell r="V4210">
            <v>44777</v>
          </cell>
          <cell r="W4210">
            <v>44796</v>
          </cell>
          <cell r="Y4210">
            <v>44765</v>
          </cell>
          <cell r="AC4210">
            <v>44792</v>
          </cell>
        </row>
        <row r="4211">
          <cell r="I4211" t="str">
            <v>EDI</v>
          </cell>
          <cell r="L4211">
            <v>1297</v>
          </cell>
          <cell r="N4211" t="str">
            <v>Production</v>
          </cell>
          <cell r="O4211" t="str">
            <v>No</v>
          </cell>
          <cell r="Q4211" t="str">
            <v>Live</v>
          </cell>
          <cell r="R4211">
            <v>44748.846886574072</v>
          </cell>
          <cell r="S4211" t="str">
            <v>Andrew Ramy</v>
          </cell>
          <cell r="T4211">
            <v>44769</v>
          </cell>
          <cell r="U4211" t="str">
            <v>Miranda Naeem</v>
          </cell>
          <cell r="V4211">
            <v>44783</v>
          </cell>
          <cell r="W4211">
            <v>25569</v>
          </cell>
          <cell r="Y4211">
            <v>44768</v>
          </cell>
          <cell r="AC4211">
            <v>44831</v>
          </cell>
        </row>
        <row r="4212">
          <cell r="I4212" t="str">
            <v>EDI</v>
          </cell>
          <cell r="L4212">
            <v>1283</v>
          </cell>
          <cell r="N4212" t="str">
            <v>Production</v>
          </cell>
          <cell r="O4212" t="str">
            <v>No</v>
          </cell>
          <cell r="Q4212" t="str">
            <v>Live</v>
          </cell>
          <cell r="R4212">
            <v>44748.846875000003</v>
          </cell>
          <cell r="S4212" t="str">
            <v>Mina Adel</v>
          </cell>
          <cell r="T4212">
            <v>44888</v>
          </cell>
          <cell r="U4212" t="str">
            <v>Miranda Naeem</v>
          </cell>
          <cell r="V4212">
            <v>44824</v>
          </cell>
          <cell r="W4212">
            <v>44943</v>
          </cell>
          <cell r="Y4212">
            <v>44762</v>
          </cell>
          <cell r="AC4212">
            <v>44938</v>
          </cell>
        </row>
        <row r="4213">
          <cell r="I4213" t="str">
            <v>EDI</v>
          </cell>
          <cell r="L4213">
            <v>1281</v>
          </cell>
          <cell r="N4213" t="str">
            <v>Production</v>
          </cell>
          <cell r="O4213" t="str">
            <v>No</v>
          </cell>
          <cell r="Q4213" t="str">
            <v>Cancelled</v>
          </cell>
          <cell r="R4213">
            <v>44748.808969907397</v>
          </cell>
          <cell r="S4213" t="str">
            <v>Aya Fathy</v>
          </cell>
          <cell r="T4213">
            <v>44766</v>
          </cell>
          <cell r="U4213" t="str">
            <v>Vicky Wright</v>
          </cell>
          <cell r="V4213">
            <v>44770</v>
          </cell>
          <cell r="W4213">
            <v>25569</v>
          </cell>
          <cell r="Y4213">
            <v>44762</v>
          </cell>
          <cell r="AC4213">
            <v>44852</v>
          </cell>
        </row>
        <row r="4214">
          <cell r="I4214" t="str">
            <v>EDI</v>
          </cell>
          <cell r="L4214">
            <v>1267</v>
          </cell>
          <cell r="N4214" t="str">
            <v>Production</v>
          </cell>
          <cell r="O4214" t="str">
            <v>No</v>
          </cell>
          <cell r="Q4214" t="str">
            <v>Live</v>
          </cell>
          <cell r="R4214">
            <v>44748.784548611111</v>
          </cell>
          <cell r="S4214" t="str">
            <v>Aya Fathy</v>
          </cell>
          <cell r="T4214">
            <v>44763</v>
          </cell>
          <cell r="U4214" t="str">
            <v>Billy Smith</v>
          </cell>
          <cell r="V4214">
            <v>44774</v>
          </cell>
          <cell r="W4214">
            <v>44818</v>
          </cell>
          <cell r="Y4214">
            <v>44762</v>
          </cell>
          <cell r="AC4214">
            <v>44811</v>
          </cell>
        </row>
        <row r="4215">
          <cell r="I4215" t="str">
            <v>EDI</v>
          </cell>
          <cell r="N4215" t="str">
            <v>Requirements Gathering</v>
          </cell>
          <cell r="O4215" t="str">
            <v>No</v>
          </cell>
          <cell r="Q4215" t="str">
            <v>Cancelled</v>
          </cell>
          <cell r="R4215">
            <v>44748.665520833332</v>
          </cell>
          <cell r="S4215" t="str">
            <v>Sandra Adel</v>
          </cell>
          <cell r="T4215">
            <v>44748</v>
          </cell>
          <cell r="U4215" t="str">
            <v>Miranda Naeem</v>
          </cell>
        </row>
        <row r="4216">
          <cell r="I4216" t="str">
            <v>EDI</v>
          </cell>
          <cell r="N4216" t="str">
            <v>Pending Start</v>
          </cell>
          <cell r="O4216" t="str">
            <v>No</v>
          </cell>
          <cell r="Q4216" t="str">
            <v>Cancelled</v>
          </cell>
          <cell r="R4216">
            <v>44748.664467592593</v>
          </cell>
          <cell r="U4216" t="str">
            <v>Miranda Naeem</v>
          </cell>
        </row>
        <row r="4217">
          <cell r="I4217" t="str">
            <v>EDI</v>
          </cell>
          <cell r="L4217">
            <v>1212</v>
          </cell>
          <cell r="N4217" t="str">
            <v>Production</v>
          </cell>
          <cell r="O4217" t="str">
            <v>No</v>
          </cell>
          <cell r="Q4217" t="str">
            <v>Cancelled</v>
          </cell>
          <cell r="R4217">
            <v>44747.854560185187</v>
          </cell>
          <cell r="S4217" t="str">
            <v>Mina Adel Old Account</v>
          </cell>
          <cell r="T4217">
            <v>44748</v>
          </cell>
          <cell r="U4217" t="str">
            <v>Miranda Naeem</v>
          </cell>
          <cell r="V4217">
            <v>44749</v>
          </cell>
          <cell r="W4217">
            <v>44754</v>
          </cell>
          <cell r="AC4217">
            <v>44749</v>
          </cell>
        </row>
        <row r="4218">
          <cell r="I4218" t="str">
            <v>EDI</v>
          </cell>
          <cell r="L4218">
            <v>1180</v>
          </cell>
          <cell r="N4218" t="str">
            <v>Testing</v>
          </cell>
          <cell r="O4218" t="str">
            <v>eBenefits Network</v>
          </cell>
          <cell r="P4218" t="str">
            <v>Migration Testing</v>
          </cell>
          <cell r="Q4218" t="str">
            <v>Cancelled</v>
          </cell>
          <cell r="R4218">
            <v>44745.403773148151</v>
          </cell>
          <cell r="S4218" t="str">
            <v>Salma Yamani</v>
          </cell>
          <cell r="T4218">
            <v>44745</v>
          </cell>
          <cell r="U4218" t="str">
            <v>Billy Smith</v>
          </cell>
          <cell r="V4218">
            <v>44854</v>
          </cell>
        </row>
        <row r="4219">
          <cell r="I4219" t="str">
            <v>EDI</v>
          </cell>
          <cell r="L4219">
            <v>1181</v>
          </cell>
          <cell r="N4219" t="str">
            <v>Testing</v>
          </cell>
          <cell r="O4219" t="str">
            <v>eBenefits Network</v>
          </cell>
          <cell r="P4219" t="str">
            <v>Migration Testing</v>
          </cell>
          <cell r="Q4219" t="str">
            <v>Cancelled</v>
          </cell>
          <cell r="R4219">
            <v>44745.402986111112</v>
          </cell>
          <cell r="S4219" t="str">
            <v>Salma Yamani</v>
          </cell>
          <cell r="T4219">
            <v>44745</v>
          </cell>
          <cell r="U4219" t="str">
            <v>Billy Smith</v>
          </cell>
          <cell r="V4219">
            <v>44854</v>
          </cell>
        </row>
        <row r="4220">
          <cell r="I4220" t="str">
            <v>EDI</v>
          </cell>
          <cell r="L4220">
            <v>1349</v>
          </cell>
          <cell r="N4220" t="str">
            <v>Production</v>
          </cell>
          <cell r="O4220" t="str">
            <v>No</v>
          </cell>
          <cell r="Q4220" t="str">
            <v>Live</v>
          </cell>
          <cell r="R4220">
            <v>44741.847708333327</v>
          </cell>
          <cell r="S4220" t="str">
            <v>Joseph Atef Old Account</v>
          </cell>
          <cell r="T4220">
            <v>44774</v>
          </cell>
          <cell r="U4220" t="str">
            <v>Denise Stubenvoll</v>
          </cell>
          <cell r="V4220">
            <v>44836</v>
          </cell>
          <cell r="W4220">
            <v>44888</v>
          </cell>
          <cell r="Y4220">
            <v>44774</v>
          </cell>
          <cell r="AC4220">
            <v>44886</v>
          </cell>
        </row>
        <row r="4221">
          <cell r="I4221" t="str">
            <v>EDI</v>
          </cell>
          <cell r="L4221">
            <v>1237</v>
          </cell>
          <cell r="N4221" t="str">
            <v>Production</v>
          </cell>
          <cell r="O4221" t="str">
            <v>No</v>
          </cell>
          <cell r="Q4221" t="str">
            <v>Cancelled</v>
          </cell>
          <cell r="R4221">
            <v>44741.846851851849</v>
          </cell>
          <cell r="S4221" t="str">
            <v>Aya Fathy</v>
          </cell>
          <cell r="T4221">
            <v>44756</v>
          </cell>
          <cell r="U4221" t="str">
            <v>Denise Stubenvoll</v>
          </cell>
          <cell r="V4221">
            <v>44763</v>
          </cell>
          <cell r="W4221">
            <v>44769</v>
          </cell>
          <cell r="Y4221">
            <v>44749</v>
          </cell>
          <cell r="AC4221">
            <v>44768</v>
          </cell>
        </row>
        <row r="4222">
          <cell r="I4222" t="str">
            <v>EDI</v>
          </cell>
          <cell r="L4222">
            <v>1285</v>
          </cell>
          <cell r="N4222" t="str">
            <v>Production</v>
          </cell>
          <cell r="O4222" t="str">
            <v>No</v>
          </cell>
          <cell r="Q4222" t="str">
            <v>Cancelled</v>
          </cell>
          <cell r="R4222">
            <v>44740.842268518521</v>
          </cell>
          <cell r="S4222" t="str">
            <v>Andrew Ramy</v>
          </cell>
          <cell r="T4222">
            <v>44766</v>
          </cell>
          <cell r="U4222" t="str">
            <v>Miranda Naeem</v>
          </cell>
          <cell r="V4222">
            <v>44797</v>
          </cell>
          <cell r="W4222">
            <v>44915</v>
          </cell>
          <cell r="Y4222">
            <v>44766</v>
          </cell>
          <cell r="AC4222">
            <v>44910</v>
          </cell>
        </row>
        <row r="4223">
          <cell r="I4223" t="str">
            <v>EDI</v>
          </cell>
          <cell r="L4223">
            <v>1318</v>
          </cell>
          <cell r="N4223" t="str">
            <v>Production</v>
          </cell>
          <cell r="O4223" t="str">
            <v>Everything Benefits</v>
          </cell>
          <cell r="P4223" t="str">
            <v>Production</v>
          </cell>
          <cell r="Q4223" t="str">
            <v>Live</v>
          </cell>
          <cell r="R4223">
            <v>44740.707314814812</v>
          </cell>
          <cell r="S4223" t="str">
            <v>Alaa Yehia</v>
          </cell>
          <cell r="T4223">
            <v>44774</v>
          </cell>
          <cell r="U4223" t="str">
            <v>Melodie Coles</v>
          </cell>
          <cell r="V4223">
            <v>44781</v>
          </cell>
          <cell r="W4223">
            <v>45173</v>
          </cell>
          <cell r="AC4223">
            <v>45172</v>
          </cell>
        </row>
        <row r="4224">
          <cell r="I4224" t="str">
            <v>EDI</v>
          </cell>
          <cell r="L4224">
            <v>1277</v>
          </cell>
          <cell r="N4224" t="str">
            <v>Production</v>
          </cell>
          <cell r="O4224" t="str">
            <v>Everything Benefits</v>
          </cell>
          <cell r="P4224" t="str">
            <v>Production</v>
          </cell>
          <cell r="Q4224" t="str">
            <v>Cancelled</v>
          </cell>
          <cell r="R4224">
            <v>44740.707314814812</v>
          </cell>
          <cell r="S4224" t="str">
            <v>Zeyad Khaled</v>
          </cell>
          <cell r="T4224">
            <v>44766</v>
          </cell>
          <cell r="U4224" t="str">
            <v>Jene Hamm</v>
          </cell>
          <cell r="V4224">
            <v>44879</v>
          </cell>
          <cell r="W4224">
            <v>45103</v>
          </cell>
          <cell r="Y4224">
            <v>44742</v>
          </cell>
          <cell r="AC4224">
            <v>45102</v>
          </cell>
        </row>
        <row r="4225">
          <cell r="I4225" t="str">
            <v>EDI</v>
          </cell>
          <cell r="L4225">
            <v>1249</v>
          </cell>
          <cell r="N4225" t="str">
            <v>Production</v>
          </cell>
          <cell r="O4225" t="str">
            <v>Everything Benefits</v>
          </cell>
          <cell r="P4225" t="str">
            <v>Production</v>
          </cell>
          <cell r="Q4225" t="str">
            <v>Cancelled</v>
          </cell>
          <cell r="R4225">
            <v>44740.635011574072</v>
          </cell>
          <cell r="S4225" t="str">
            <v>Kareem Osama</v>
          </cell>
          <cell r="T4225">
            <v>44761</v>
          </cell>
          <cell r="U4225" t="str">
            <v>Melodie Coles</v>
          </cell>
          <cell r="V4225">
            <v>44844</v>
          </cell>
          <cell r="W4225">
            <v>44865</v>
          </cell>
          <cell r="Y4225">
            <v>44747</v>
          </cell>
          <cell r="AC4225">
            <v>44864</v>
          </cell>
        </row>
        <row r="4226">
          <cell r="I4226" t="str">
            <v>EDI</v>
          </cell>
          <cell r="L4226">
            <v>1251</v>
          </cell>
          <cell r="N4226" t="str">
            <v>Production</v>
          </cell>
          <cell r="O4226" t="str">
            <v>Everything Benefits</v>
          </cell>
          <cell r="P4226" t="str">
            <v>Production</v>
          </cell>
          <cell r="Q4226" t="str">
            <v>Cancelled</v>
          </cell>
          <cell r="R4226">
            <v>44740.635011574072</v>
          </cell>
          <cell r="S4226" t="str">
            <v>Zeyad Khaled</v>
          </cell>
          <cell r="T4226">
            <v>44761</v>
          </cell>
          <cell r="U4226" t="str">
            <v>Melodie Coles</v>
          </cell>
          <cell r="V4226">
            <v>44773</v>
          </cell>
          <cell r="W4226">
            <v>44823</v>
          </cell>
          <cell r="Y4226">
            <v>44759</v>
          </cell>
          <cell r="AC4226">
            <v>44822</v>
          </cell>
        </row>
        <row r="4227">
          <cell r="I4227" t="str">
            <v>EDI</v>
          </cell>
          <cell r="L4227">
            <v>1058</v>
          </cell>
          <cell r="N4227" t="str">
            <v>Production</v>
          </cell>
          <cell r="O4227" t="str">
            <v>Everything Benefits</v>
          </cell>
          <cell r="P4227" t="str">
            <v>Production</v>
          </cell>
          <cell r="Q4227" t="str">
            <v>Cancelled</v>
          </cell>
          <cell r="R4227">
            <v>44740.635011574072</v>
          </cell>
          <cell r="S4227" t="str">
            <v>Tarek Medhat</v>
          </cell>
          <cell r="T4227">
            <v>44741</v>
          </cell>
          <cell r="U4227" t="str">
            <v>Melodie Coles</v>
          </cell>
          <cell r="V4227">
            <v>44781</v>
          </cell>
          <cell r="W4227">
            <v>44809</v>
          </cell>
          <cell r="AC4227">
            <v>44817</v>
          </cell>
        </row>
        <row r="4228">
          <cell r="I4228" t="str">
            <v>EDI</v>
          </cell>
          <cell r="L4228">
            <v>1196</v>
          </cell>
          <cell r="N4228" t="str">
            <v>Production</v>
          </cell>
          <cell r="O4228" t="str">
            <v>No</v>
          </cell>
          <cell r="Q4228" t="str">
            <v>Cancelled</v>
          </cell>
          <cell r="R4228">
            <v>44739.60396990741</v>
          </cell>
          <cell r="S4228" t="str">
            <v>Mohamed Samy</v>
          </cell>
          <cell r="T4228">
            <v>44745</v>
          </cell>
          <cell r="U4228" t="str">
            <v>Miranda Naeem</v>
          </cell>
          <cell r="V4228">
            <v>44760</v>
          </cell>
          <cell r="W4228">
            <v>44768</v>
          </cell>
          <cell r="Y4228">
            <v>44742</v>
          </cell>
          <cell r="AC4228">
            <v>44760</v>
          </cell>
        </row>
        <row r="4229">
          <cell r="I4229" t="str">
            <v>EDI</v>
          </cell>
          <cell r="L4229">
            <v>1383</v>
          </cell>
          <cell r="N4229" t="str">
            <v>Production</v>
          </cell>
          <cell r="O4229" t="str">
            <v>No</v>
          </cell>
          <cell r="Q4229" t="str">
            <v>Live</v>
          </cell>
          <cell r="R4229">
            <v>44736.620358796303</v>
          </cell>
          <cell r="S4229" t="str">
            <v>Omar Elmahalwy</v>
          </cell>
          <cell r="T4229">
            <v>44889</v>
          </cell>
          <cell r="U4229" t="str">
            <v>Miranda Naeem</v>
          </cell>
          <cell r="V4229">
            <v>44929</v>
          </cell>
          <cell r="W4229">
            <v>44979</v>
          </cell>
          <cell r="Y4229">
            <v>44788</v>
          </cell>
          <cell r="AC4229">
            <v>44958</v>
          </cell>
        </row>
        <row r="4230">
          <cell r="I4230" t="str">
            <v>EDI</v>
          </cell>
          <cell r="L4230">
            <v>1207</v>
          </cell>
          <cell r="N4230" t="str">
            <v>Production</v>
          </cell>
          <cell r="O4230" t="str">
            <v>No</v>
          </cell>
          <cell r="Q4230" t="str">
            <v>Cancelled</v>
          </cell>
          <cell r="R4230">
            <v>44735.860949074071</v>
          </cell>
          <cell r="S4230" t="str">
            <v>Mohamed Samy</v>
          </cell>
          <cell r="T4230">
            <v>44747</v>
          </cell>
          <cell r="V4230">
            <v>44759</v>
          </cell>
          <cell r="W4230">
            <v>44762</v>
          </cell>
          <cell r="Y4230">
            <v>44745</v>
          </cell>
          <cell r="AC4230">
            <v>44759</v>
          </cell>
        </row>
        <row r="4231">
          <cell r="I4231" t="str">
            <v>EDI</v>
          </cell>
          <cell r="L4231">
            <v>1206</v>
          </cell>
          <cell r="N4231" t="str">
            <v>Production</v>
          </cell>
          <cell r="O4231" t="str">
            <v>No</v>
          </cell>
          <cell r="Q4231" t="str">
            <v>Cancelled</v>
          </cell>
          <cell r="R4231">
            <v>44735.658784722233</v>
          </cell>
          <cell r="S4231" t="str">
            <v>Haytham Mohamed</v>
          </cell>
          <cell r="T4231">
            <v>44746</v>
          </cell>
          <cell r="U4231" t="str">
            <v>Miranda Naeem</v>
          </cell>
          <cell r="V4231">
            <v>44750</v>
          </cell>
          <cell r="W4231">
            <v>44796</v>
          </cell>
          <cell r="Y4231">
            <v>44745</v>
          </cell>
          <cell r="AC4231">
            <v>44795</v>
          </cell>
        </row>
        <row r="4232">
          <cell r="I4232" t="str">
            <v>EDI</v>
          </cell>
          <cell r="L4232">
            <v>1238</v>
          </cell>
          <cell r="N4232" t="str">
            <v>Production</v>
          </cell>
          <cell r="O4232" t="str">
            <v>No</v>
          </cell>
          <cell r="Q4232" t="str">
            <v>Live</v>
          </cell>
          <cell r="R4232">
            <v>44735.546574074076</v>
          </cell>
          <cell r="S4232" t="str">
            <v>Omar Elmahalwy Old Account</v>
          </cell>
          <cell r="T4232">
            <v>44759</v>
          </cell>
          <cell r="U4232" t="str">
            <v>Billy Smith</v>
          </cell>
          <cell r="V4232">
            <v>44771</v>
          </cell>
          <cell r="W4232">
            <v>44804</v>
          </cell>
          <cell r="Y4232">
            <v>44754</v>
          </cell>
          <cell r="AC4232">
            <v>44798</v>
          </cell>
        </row>
        <row r="4233">
          <cell r="I4233" t="str">
            <v>EDI</v>
          </cell>
          <cell r="L4233">
            <v>1418</v>
          </cell>
          <cell r="N4233" t="str">
            <v>Testing</v>
          </cell>
          <cell r="O4233" t="str">
            <v>No</v>
          </cell>
          <cell r="Q4233" t="str">
            <v>Cancelled</v>
          </cell>
          <cell r="R4233">
            <v>44734.825185185182</v>
          </cell>
          <cell r="S4233" t="str">
            <v>Andrew Ramy</v>
          </cell>
          <cell r="T4233">
            <v>44796</v>
          </cell>
          <cell r="U4233" t="str">
            <v>Hans De Grouw</v>
          </cell>
          <cell r="V4233">
            <v>44978</v>
          </cell>
          <cell r="Y4233">
            <v>44795</v>
          </cell>
        </row>
        <row r="4234">
          <cell r="I4234" t="str">
            <v>EDI</v>
          </cell>
          <cell r="L4234">
            <v>1575</v>
          </cell>
          <cell r="N4234" t="str">
            <v>Production</v>
          </cell>
          <cell r="O4234" t="str">
            <v>No</v>
          </cell>
          <cell r="Q4234" t="str">
            <v>Cancelled</v>
          </cell>
          <cell r="R4234">
            <v>44734.825185185182</v>
          </cell>
          <cell r="S4234" t="str">
            <v>Omnia Abdelaziz</v>
          </cell>
          <cell r="T4234">
            <v>44892</v>
          </cell>
          <cell r="U4234" t="str">
            <v>Hans De Grouw</v>
          </cell>
          <cell r="V4234">
            <v>44941</v>
          </cell>
          <cell r="W4234">
            <v>45176</v>
          </cell>
          <cell r="Y4234">
            <v>44826</v>
          </cell>
          <cell r="AC4234">
            <v>45169</v>
          </cell>
        </row>
        <row r="4235">
          <cell r="I4235" t="str">
            <v>EDI</v>
          </cell>
          <cell r="L4235">
            <v>1217</v>
          </cell>
          <cell r="N4235" t="str">
            <v>Testing</v>
          </cell>
          <cell r="O4235" t="str">
            <v>No</v>
          </cell>
          <cell r="Q4235" t="str">
            <v>Cancelled</v>
          </cell>
          <cell r="R4235">
            <v>44734.7422337963</v>
          </cell>
          <cell r="S4235" t="str">
            <v>Omar Elmahalwy Old Account</v>
          </cell>
          <cell r="T4235">
            <v>44749</v>
          </cell>
          <cell r="U4235" t="str">
            <v>Miranda Naeem</v>
          </cell>
          <cell r="V4235">
            <v>25569</v>
          </cell>
          <cell r="Y4235">
            <v>44749</v>
          </cell>
        </row>
        <row r="4236">
          <cell r="I4236" t="str">
            <v>EDI</v>
          </cell>
          <cell r="N4236" t="str">
            <v>Production</v>
          </cell>
          <cell r="O4236" t="str">
            <v>No</v>
          </cell>
          <cell r="Q4236" t="str">
            <v>Cancelled</v>
          </cell>
          <cell r="R4236">
            <v>44733.761053240742</v>
          </cell>
          <cell r="S4236" t="str">
            <v>Dina Medhat</v>
          </cell>
          <cell r="T4236">
            <v>44734</v>
          </cell>
          <cell r="U4236" t="str">
            <v>Elizabeth Kahle</v>
          </cell>
          <cell r="AC4236">
            <v>44734</v>
          </cell>
        </row>
        <row r="4237">
          <cell r="I4237" t="str">
            <v>EDI</v>
          </cell>
          <cell r="L4237">
            <v>78</v>
          </cell>
          <cell r="N4237" t="str">
            <v>Production</v>
          </cell>
          <cell r="O4237" t="str">
            <v>No</v>
          </cell>
          <cell r="Q4237" t="str">
            <v>Cancelled</v>
          </cell>
          <cell r="R4237">
            <v>44733.604050925933</v>
          </cell>
          <cell r="S4237" t="str">
            <v>Dina Medhat</v>
          </cell>
          <cell r="T4237">
            <v>44733</v>
          </cell>
          <cell r="U4237" t="str">
            <v>Elizabeth Kahle</v>
          </cell>
          <cell r="W4237">
            <v>25569</v>
          </cell>
          <cell r="AC4237">
            <v>44734</v>
          </cell>
        </row>
        <row r="4238">
          <cell r="I4238" t="str">
            <v>EDI</v>
          </cell>
          <cell r="L4238">
            <v>1209</v>
          </cell>
          <cell r="N4238" t="str">
            <v>Production</v>
          </cell>
          <cell r="O4238" t="str">
            <v>No</v>
          </cell>
          <cell r="Q4238" t="str">
            <v>Live</v>
          </cell>
          <cell r="R4238">
            <v>44732.642071759263</v>
          </cell>
          <cell r="S4238" t="str">
            <v>Joseph Atef</v>
          </cell>
          <cell r="T4238">
            <v>44888</v>
          </cell>
          <cell r="U4238" t="str">
            <v>Miranda Naeem</v>
          </cell>
          <cell r="V4238">
            <v>44949</v>
          </cell>
          <cell r="W4238">
            <v>25569</v>
          </cell>
          <cell r="Y4238">
            <v>44742</v>
          </cell>
          <cell r="AC4238">
            <v>44991</v>
          </cell>
        </row>
        <row r="4239">
          <cell r="I4239" t="str">
            <v>EDI</v>
          </cell>
          <cell r="L4239">
            <v>1227</v>
          </cell>
          <cell r="N4239" t="str">
            <v>Production</v>
          </cell>
          <cell r="O4239" t="str">
            <v>No</v>
          </cell>
          <cell r="Q4239" t="str">
            <v>Live</v>
          </cell>
          <cell r="R4239">
            <v>44732.642071759263</v>
          </cell>
          <cell r="S4239" t="str">
            <v>Andrew Ramy</v>
          </cell>
          <cell r="T4239">
            <v>44756</v>
          </cell>
          <cell r="U4239" t="str">
            <v>Miranda Naeem</v>
          </cell>
          <cell r="V4239">
            <v>44858</v>
          </cell>
          <cell r="W4239">
            <v>25569</v>
          </cell>
          <cell r="Y4239">
            <v>44750</v>
          </cell>
          <cell r="AC4239">
            <v>44970</v>
          </cell>
        </row>
        <row r="4240">
          <cell r="I4240" t="str">
            <v>EDI</v>
          </cell>
          <cell r="L4240">
            <v>1202</v>
          </cell>
          <cell r="N4240" t="str">
            <v>Production</v>
          </cell>
          <cell r="O4240" t="str">
            <v>No</v>
          </cell>
          <cell r="Q4240" t="str">
            <v>Live</v>
          </cell>
          <cell r="R4240">
            <v>44732.642071759263</v>
          </cell>
          <cell r="S4240" t="str">
            <v>Mina George Old Account</v>
          </cell>
          <cell r="T4240">
            <v>44745</v>
          </cell>
          <cell r="U4240" t="str">
            <v>Miranda Naeem</v>
          </cell>
          <cell r="V4240">
            <v>44766</v>
          </cell>
          <cell r="W4240">
            <v>44775</v>
          </cell>
          <cell r="Y4240">
            <v>44741</v>
          </cell>
          <cell r="AC4240">
            <v>44769</v>
          </cell>
        </row>
        <row r="4241">
          <cell r="I4241" t="str">
            <v>EDI</v>
          </cell>
          <cell r="L4241">
            <v>1869</v>
          </cell>
          <cell r="N4241" t="str">
            <v>Testing</v>
          </cell>
          <cell r="O4241" t="str">
            <v>No</v>
          </cell>
          <cell r="Q4241" t="str">
            <v>Cancelled</v>
          </cell>
          <cell r="R4241">
            <v>44728.730787037042</v>
          </cell>
          <cell r="S4241" t="str">
            <v>Mirna Azmy</v>
          </cell>
          <cell r="T4241">
            <v>44964</v>
          </cell>
          <cell r="U4241" t="str">
            <v>Vicky Wright</v>
          </cell>
          <cell r="Y4241">
            <v>44963</v>
          </cell>
        </row>
        <row r="4242">
          <cell r="I4242" t="str">
            <v>EDI</v>
          </cell>
          <cell r="L4242">
            <v>1208</v>
          </cell>
          <cell r="N4242" t="str">
            <v>Mapping</v>
          </cell>
          <cell r="O4242" t="str">
            <v>No</v>
          </cell>
          <cell r="Q4242" t="str">
            <v>Cancelled</v>
          </cell>
          <cell r="R4242">
            <v>44728.730787037042</v>
          </cell>
          <cell r="S4242" t="str">
            <v>Joseph Atef</v>
          </cell>
          <cell r="T4242">
            <v>44888</v>
          </cell>
          <cell r="U4242" t="str">
            <v>Hans De Grouw</v>
          </cell>
          <cell r="Y4242">
            <v>44739</v>
          </cell>
        </row>
        <row r="4243">
          <cell r="I4243" t="str">
            <v>EDI</v>
          </cell>
          <cell r="L4243">
            <v>1205</v>
          </cell>
          <cell r="N4243" t="str">
            <v>Production</v>
          </cell>
          <cell r="O4243" t="str">
            <v>No</v>
          </cell>
          <cell r="Q4243" t="str">
            <v>Cancelled</v>
          </cell>
          <cell r="R4243">
            <v>44728.730775462973</v>
          </cell>
          <cell r="S4243" t="str">
            <v>Mohamed Samy</v>
          </cell>
          <cell r="T4243">
            <v>44746</v>
          </cell>
          <cell r="U4243" t="str">
            <v>Miranda Naeem</v>
          </cell>
          <cell r="V4243">
            <v>44767</v>
          </cell>
          <cell r="W4243">
            <v>44782</v>
          </cell>
          <cell r="Y4243">
            <v>44745</v>
          </cell>
          <cell r="AC4243">
            <v>44773</v>
          </cell>
        </row>
        <row r="4244">
          <cell r="I4244" t="str">
            <v>EDI</v>
          </cell>
          <cell r="L4244">
            <v>1178</v>
          </cell>
          <cell r="N4244" t="str">
            <v>Production</v>
          </cell>
          <cell r="O4244" t="str">
            <v>eBenefits Network</v>
          </cell>
          <cell r="P4244" t="str">
            <v>Production</v>
          </cell>
          <cell r="Q4244" t="str">
            <v>Cancelled</v>
          </cell>
          <cell r="R4244">
            <v>44728.576226851852</v>
          </cell>
          <cell r="S4244" t="str">
            <v>Fady Maged Old Account</v>
          </cell>
          <cell r="T4244">
            <v>44733</v>
          </cell>
          <cell r="U4244" t="str">
            <v>Melodie Coles</v>
          </cell>
          <cell r="V4244">
            <v>44743</v>
          </cell>
          <cell r="W4244">
            <v>44866</v>
          </cell>
          <cell r="AC4244">
            <v>44864</v>
          </cell>
        </row>
        <row r="4245">
          <cell r="I4245" t="str">
            <v>EDI</v>
          </cell>
          <cell r="L4245">
            <v>1221</v>
          </cell>
          <cell r="N4245" t="str">
            <v>Testing</v>
          </cell>
          <cell r="O4245" t="str">
            <v>eBenefits Network</v>
          </cell>
          <cell r="P4245" t="str">
            <v>Migration Testing</v>
          </cell>
          <cell r="Q4245" t="str">
            <v>Cancelled</v>
          </cell>
          <cell r="R4245">
            <v>44728.571863425917</v>
          </cell>
          <cell r="S4245" t="str">
            <v>Fady Maged Old Account</v>
          </cell>
          <cell r="T4245">
            <v>44749</v>
          </cell>
          <cell r="U4245" t="str">
            <v>Melodie Coles</v>
          </cell>
          <cell r="V4245">
            <v>44751</v>
          </cell>
        </row>
        <row r="4246">
          <cell r="I4246" t="str">
            <v>EDI</v>
          </cell>
          <cell r="L4246">
            <v>1194</v>
          </cell>
          <cell r="N4246" t="str">
            <v>Production</v>
          </cell>
          <cell r="O4246" t="str">
            <v>eBenefits Network</v>
          </cell>
          <cell r="P4246" t="str">
            <v>Production</v>
          </cell>
          <cell r="Q4246" t="str">
            <v>Cancelled</v>
          </cell>
          <cell r="R4246">
            <v>44728.563784722217</v>
          </cell>
          <cell r="S4246" t="str">
            <v>Amira Elshora Old Account</v>
          </cell>
          <cell r="T4246">
            <v>44739</v>
          </cell>
          <cell r="U4246" t="str">
            <v>Melodie Coles</v>
          </cell>
          <cell r="V4246">
            <v>44746</v>
          </cell>
          <cell r="W4246">
            <v>44831</v>
          </cell>
          <cell r="AC4246">
            <v>44829</v>
          </cell>
        </row>
        <row r="4247">
          <cell r="I4247" t="str">
            <v>EDI</v>
          </cell>
          <cell r="L4247">
            <v>1193</v>
          </cell>
          <cell r="N4247" t="str">
            <v>Production</v>
          </cell>
          <cell r="O4247" t="str">
            <v>eBenefits Network</v>
          </cell>
          <cell r="P4247" t="str">
            <v>Production</v>
          </cell>
          <cell r="Q4247" t="str">
            <v>Live</v>
          </cell>
          <cell r="R4247">
            <v>44728.560949074083</v>
          </cell>
          <cell r="S4247" t="str">
            <v>Amira Elshora</v>
          </cell>
          <cell r="T4247">
            <v>44888</v>
          </cell>
          <cell r="U4247" t="str">
            <v>Melodie Coles</v>
          </cell>
          <cell r="V4247">
            <v>44745</v>
          </cell>
          <cell r="W4247">
            <v>45034</v>
          </cell>
          <cell r="AC4247">
            <v>45034</v>
          </cell>
        </row>
        <row r="4248">
          <cell r="I4248" t="str">
            <v>EDI</v>
          </cell>
          <cell r="L4248">
            <v>1213</v>
          </cell>
          <cell r="N4248" t="str">
            <v>Testing</v>
          </cell>
          <cell r="O4248" t="str">
            <v>eBenefits Network</v>
          </cell>
          <cell r="P4248" t="str">
            <v>Migration Testing</v>
          </cell>
          <cell r="Q4248" t="str">
            <v>Cancelled</v>
          </cell>
          <cell r="R4248">
            <v>44728.557187500002</v>
          </cell>
          <cell r="S4248" t="str">
            <v>Fady Maged Old Account</v>
          </cell>
          <cell r="T4248">
            <v>44749</v>
          </cell>
          <cell r="U4248" t="str">
            <v>Melodie Coles</v>
          </cell>
          <cell r="V4248">
            <v>44752</v>
          </cell>
        </row>
        <row r="4249">
          <cell r="I4249" t="str">
            <v>Forms</v>
          </cell>
          <cell r="L4249" t="str">
            <v>[1177]</v>
          </cell>
          <cell r="N4249" t="str">
            <v>Dataset Validation</v>
          </cell>
          <cell r="O4249" t="str">
            <v>No</v>
          </cell>
          <cell r="Q4249" t="str">
            <v>Cancelled</v>
          </cell>
          <cell r="R4249">
            <v>44728.529780092591</v>
          </cell>
          <cell r="T4249">
            <v>44728</v>
          </cell>
          <cell r="U4249" t="str">
            <v>Vicky Wright</v>
          </cell>
        </row>
        <row r="4250">
          <cell r="I4250" t="str">
            <v>Forms</v>
          </cell>
          <cell r="N4250" t="str">
            <v>Dataset Validation</v>
          </cell>
          <cell r="O4250" t="str">
            <v>No</v>
          </cell>
          <cell r="Q4250" t="str">
            <v>Cancelled</v>
          </cell>
          <cell r="R4250">
            <v>44728.527106481481</v>
          </cell>
          <cell r="T4250">
            <v>44728</v>
          </cell>
          <cell r="U4250" t="str">
            <v>Vicky Wright</v>
          </cell>
        </row>
        <row r="4251">
          <cell r="I4251" t="str">
            <v>Forms</v>
          </cell>
          <cell r="N4251" t="str">
            <v>Dataset Validation</v>
          </cell>
          <cell r="O4251" t="str">
            <v>No</v>
          </cell>
          <cell r="Q4251" t="str">
            <v>Cancelled</v>
          </cell>
          <cell r="R4251">
            <v>44728.520787037043</v>
          </cell>
          <cell r="T4251">
            <v>44728</v>
          </cell>
          <cell r="U4251" t="str">
            <v>Vicky Wright</v>
          </cell>
        </row>
        <row r="4252">
          <cell r="I4252" t="str">
            <v>Forms</v>
          </cell>
          <cell r="N4252" t="str">
            <v>Dataset Validation</v>
          </cell>
          <cell r="O4252" t="str">
            <v>No</v>
          </cell>
          <cell r="Q4252" t="str">
            <v>Cancelled</v>
          </cell>
          <cell r="R4252">
            <v>44728.520775462966</v>
          </cell>
          <cell r="T4252">
            <v>44728</v>
          </cell>
          <cell r="U4252" t="str">
            <v>Vicky Wright</v>
          </cell>
        </row>
        <row r="4253">
          <cell r="I4253" t="str">
            <v>Forms</v>
          </cell>
          <cell r="L4253" t="str">
            <v>[1123]</v>
          </cell>
          <cell r="N4253" t="str">
            <v>Production</v>
          </cell>
          <cell r="O4253" t="str">
            <v>No</v>
          </cell>
          <cell r="Q4253" t="str">
            <v>Blocked</v>
          </cell>
          <cell r="R4253">
            <v>44728.517546296287</v>
          </cell>
          <cell r="U4253" t="str">
            <v>Testing User</v>
          </cell>
          <cell r="AC4253">
            <v>45839</v>
          </cell>
        </row>
        <row r="4254">
          <cell r="I4254" t="str">
            <v>EDI</v>
          </cell>
          <cell r="L4254">
            <v>1153</v>
          </cell>
          <cell r="N4254" t="str">
            <v>Mapping</v>
          </cell>
          <cell r="O4254" t="str">
            <v>No</v>
          </cell>
          <cell r="Q4254" t="str">
            <v>Cancelled</v>
          </cell>
          <cell r="R4254">
            <v>44726.546365740738</v>
          </cell>
          <cell r="S4254" t="str">
            <v>Mina Adel</v>
          </cell>
          <cell r="T4254">
            <v>44888</v>
          </cell>
          <cell r="U4254" t="str">
            <v>Denise Stubenvoll</v>
          </cell>
          <cell r="Y4254">
            <v>44734</v>
          </cell>
        </row>
        <row r="4255">
          <cell r="I4255" t="str">
            <v>EDI</v>
          </cell>
          <cell r="L4255">
            <v>1299</v>
          </cell>
          <cell r="N4255" t="str">
            <v>Production</v>
          </cell>
          <cell r="O4255" t="str">
            <v>No</v>
          </cell>
          <cell r="Q4255" t="str">
            <v>Cancelled</v>
          </cell>
          <cell r="R4255">
            <v>44725.860289351847</v>
          </cell>
          <cell r="S4255" t="str">
            <v>Aya Fathy</v>
          </cell>
          <cell r="T4255">
            <v>44769</v>
          </cell>
          <cell r="U4255" t="str">
            <v>Miranda Naeem</v>
          </cell>
          <cell r="V4255">
            <v>25569</v>
          </cell>
          <cell r="W4255">
            <v>44922</v>
          </cell>
          <cell r="Y4255">
            <v>44768</v>
          </cell>
          <cell r="AC4255">
            <v>44917</v>
          </cell>
        </row>
        <row r="4256">
          <cell r="I4256" t="str">
            <v>EDI</v>
          </cell>
          <cell r="L4256">
            <v>1135</v>
          </cell>
          <cell r="N4256" t="str">
            <v>Production</v>
          </cell>
          <cell r="O4256" t="str">
            <v>No</v>
          </cell>
          <cell r="Q4256" t="str">
            <v>Live</v>
          </cell>
          <cell r="R4256">
            <v>44725.851759259262</v>
          </cell>
          <cell r="S4256" t="str">
            <v>Mina Adel Old Account</v>
          </cell>
          <cell r="T4256">
            <v>44728</v>
          </cell>
          <cell r="U4256" t="str">
            <v>Miranda Naeem</v>
          </cell>
          <cell r="V4256">
            <v>25569</v>
          </cell>
          <cell r="W4256">
            <v>25569</v>
          </cell>
          <cell r="Y4256">
            <v>44728</v>
          </cell>
          <cell r="AC4256">
            <v>44854</v>
          </cell>
        </row>
        <row r="4257">
          <cell r="I4257" t="str">
            <v>EDI</v>
          </cell>
          <cell r="L4257">
            <v>1266</v>
          </cell>
          <cell r="N4257" t="str">
            <v>Production</v>
          </cell>
          <cell r="O4257" t="str">
            <v>Everything Benefits</v>
          </cell>
          <cell r="P4257" t="str">
            <v>Production</v>
          </cell>
          <cell r="Q4257" t="str">
            <v>Live</v>
          </cell>
          <cell r="R4257">
            <v>44725.779178240737</v>
          </cell>
          <cell r="S4257" t="str">
            <v>Tarek Medhat</v>
          </cell>
          <cell r="T4257">
            <v>44763</v>
          </cell>
          <cell r="U4257" t="str">
            <v>Melodie Coles</v>
          </cell>
          <cell r="V4257">
            <v>44774</v>
          </cell>
          <cell r="W4257">
            <v>25569</v>
          </cell>
          <cell r="Y4257">
            <v>44736</v>
          </cell>
          <cell r="AC4257">
            <v>45095</v>
          </cell>
        </row>
        <row r="4258">
          <cell r="I4258" t="str">
            <v>EDI</v>
          </cell>
          <cell r="L4258">
            <v>1106</v>
          </cell>
          <cell r="N4258" t="str">
            <v>Production</v>
          </cell>
          <cell r="O4258" t="str">
            <v>Everything Benefits</v>
          </cell>
          <cell r="P4258" t="str">
            <v>Production</v>
          </cell>
          <cell r="Q4258" t="str">
            <v>Cancelled</v>
          </cell>
          <cell r="R4258">
            <v>44721.794085648151</v>
          </cell>
          <cell r="S4258" t="str">
            <v>Mina Kamil</v>
          </cell>
          <cell r="T4258">
            <v>44889</v>
          </cell>
          <cell r="U4258" t="str">
            <v>Jene Hamm</v>
          </cell>
          <cell r="V4258">
            <v>45049</v>
          </cell>
          <cell r="W4258">
            <v>45090</v>
          </cell>
          <cell r="AC4258">
            <v>45088</v>
          </cell>
        </row>
        <row r="4259">
          <cell r="I4259" t="str">
            <v>EDI</v>
          </cell>
          <cell r="N4259" t="str">
            <v>Requirements Gathering</v>
          </cell>
          <cell r="O4259" t="str">
            <v>No</v>
          </cell>
          <cell r="Q4259" t="str">
            <v>Cancelled</v>
          </cell>
          <cell r="R4259">
            <v>44721.754421296297</v>
          </cell>
          <cell r="S4259" t="str">
            <v>Sandra Adel</v>
          </cell>
          <cell r="T4259">
            <v>44724</v>
          </cell>
          <cell r="U4259" t="str">
            <v>Miranda Naeem</v>
          </cell>
        </row>
        <row r="4260">
          <cell r="I4260" t="str">
            <v>EDI</v>
          </cell>
          <cell r="L4260">
            <v>1176</v>
          </cell>
          <cell r="N4260" t="str">
            <v>Production</v>
          </cell>
          <cell r="O4260" t="str">
            <v>No</v>
          </cell>
          <cell r="Q4260" t="str">
            <v>Live</v>
          </cell>
          <cell r="R4260">
            <v>44721.725300925929</v>
          </cell>
          <cell r="S4260" t="str">
            <v>Aya Fathy</v>
          </cell>
          <cell r="T4260">
            <v>44741</v>
          </cell>
          <cell r="U4260" t="str">
            <v>Miranda Naeem</v>
          </cell>
          <cell r="V4260">
            <v>44761</v>
          </cell>
          <cell r="W4260">
            <v>44822</v>
          </cell>
          <cell r="Y4260">
            <v>44740</v>
          </cell>
          <cell r="AC4260">
            <v>44813</v>
          </cell>
        </row>
        <row r="4261">
          <cell r="I4261" t="str">
            <v>EDI</v>
          </cell>
          <cell r="L4261">
            <v>1174</v>
          </cell>
          <cell r="N4261" t="str">
            <v>Production</v>
          </cell>
          <cell r="O4261" t="str">
            <v>No</v>
          </cell>
          <cell r="Q4261" t="str">
            <v>Cancelled</v>
          </cell>
          <cell r="R4261">
            <v>44721.725289351853</v>
          </cell>
          <cell r="S4261" t="str">
            <v>Andrew Ramy</v>
          </cell>
          <cell r="T4261">
            <v>44741</v>
          </cell>
          <cell r="U4261" t="str">
            <v>Miranda Naeem</v>
          </cell>
          <cell r="V4261">
            <v>44748</v>
          </cell>
          <cell r="W4261">
            <v>25569</v>
          </cell>
          <cell r="Y4261">
            <v>44740</v>
          </cell>
          <cell r="AC4261">
            <v>44823</v>
          </cell>
        </row>
        <row r="4262">
          <cell r="I4262" t="str">
            <v>EDI</v>
          </cell>
          <cell r="L4262">
            <v>1244</v>
          </cell>
          <cell r="N4262" t="str">
            <v>Production</v>
          </cell>
          <cell r="O4262" t="str">
            <v>No</v>
          </cell>
          <cell r="Q4262" t="str">
            <v>Cancelled</v>
          </cell>
          <cell r="R4262">
            <v>44721.725289351853</v>
          </cell>
          <cell r="S4262" t="str">
            <v>Andrew Ramy</v>
          </cell>
          <cell r="T4262">
            <v>44759</v>
          </cell>
          <cell r="U4262" t="str">
            <v>Miranda Naeem</v>
          </cell>
          <cell r="V4262">
            <v>44783</v>
          </cell>
          <cell r="W4262">
            <v>25569</v>
          </cell>
          <cell r="Y4262">
            <v>44756</v>
          </cell>
          <cell r="AC4262">
            <v>44815</v>
          </cell>
        </row>
        <row r="4263">
          <cell r="I4263" t="str">
            <v>EDI</v>
          </cell>
          <cell r="L4263">
            <v>1554</v>
          </cell>
          <cell r="N4263" t="str">
            <v>Production</v>
          </cell>
          <cell r="O4263" t="str">
            <v>No</v>
          </cell>
          <cell r="Q4263" t="str">
            <v>Cancelled</v>
          </cell>
          <cell r="R4263">
            <v>44721.707037037027</v>
          </cell>
          <cell r="S4263" t="str">
            <v>Mina George</v>
          </cell>
          <cell r="T4263">
            <v>44889</v>
          </cell>
          <cell r="U4263" t="str">
            <v>Miranda Naeem</v>
          </cell>
          <cell r="V4263">
            <v>44846</v>
          </cell>
          <cell r="W4263">
            <v>44915</v>
          </cell>
          <cell r="Y4263">
            <v>44822</v>
          </cell>
          <cell r="AC4263">
            <v>44909</v>
          </cell>
        </row>
        <row r="4264">
          <cell r="I4264" t="str">
            <v>EDI</v>
          </cell>
          <cell r="L4264">
            <v>1588</v>
          </cell>
          <cell r="N4264" t="str">
            <v>Production</v>
          </cell>
          <cell r="O4264" t="str">
            <v>No</v>
          </cell>
          <cell r="Q4264" t="str">
            <v>Cancelled</v>
          </cell>
          <cell r="R4264">
            <v>44721.707037037027</v>
          </cell>
          <cell r="S4264" t="str">
            <v>Omar Elmahalwy</v>
          </cell>
          <cell r="T4264">
            <v>44889</v>
          </cell>
          <cell r="U4264" t="str">
            <v>Miranda Naeem</v>
          </cell>
          <cell r="V4264">
            <v>44860</v>
          </cell>
          <cell r="W4264">
            <v>44908</v>
          </cell>
          <cell r="Y4264">
            <v>44831</v>
          </cell>
          <cell r="AC4264">
            <v>44901</v>
          </cell>
        </row>
        <row r="4265">
          <cell r="I4265" t="str">
            <v>EDI</v>
          </cell>
          <cell r="L4265">
            <v>1243</v>
          </cell>
          <cell r="N4265" t="str">
            <v>Production</v>
          </cell>
          <cell r="O4265" t="str">
            <v>No</v>
          </cell>
          <cell r="Q4265" t="str">
            <v>Cancelled</v>
          </cell>
          <cell r="R4265">
            <v>44721.707037037027</v>
          </cell>
          <cell r="S4265" t="str">
            <v>Joseph Atef Old Account</v>
          </cell>
          <cell r="T4265">
            <v>44756</v>
          </cell>
          <cell r="U4265" t="str">
            <v>Miranda Naeem</v>
          </cell>
          <cell r="V4265">
            <v>44808</v>
          </cell>
          <cell r="W4265">
            <v>44880</v>
          </cell>
          <cell r="Y4265">
            <v>44756</v>
          </cell>
          <cell r="AC4265">
            <v>44879</v>
          </cell>
        </row>
        <row r="4266">
          <cell r="I4266" t="str">
            <v>EDI</v>
          </cell>
          <cell r="L4266">
            <v>1240</v>
          </cell>
          <cell r="N4266" t="str">
            <v>Production</v>
          </cell>
          <cell r="O4266" t="str">
            <v>No</v>
          </cell>
          <cell r="Q4266" t="str">
            <v>Live</v>
          </cell>
          <cell r="R4266">
            <v>44720.870023148149</v>
          </cell>
          <cell r="S4266" t="str">
            <v>Mina Adel</v>
          </cell>
          <cell r="T4266">
            <v>44888</v>
          </cell>
          <cell r="U4266" t="str">
            <v>Miranda Naeem</v>
          </cell>
          <cell r="V4266">
            <v>44819</v>
          </cell>
          <cell r="W4266">
            <v>45017</v>
          </cell>
          <cell r="Y4266">
            <v>44749</v>
          </cell>
          <cell r="AC4266">
            <v>45008</v>
          </cell>
        </row>
        <row r="4267">
          <cell r="I4267" t="str">
            <v>EDI</v>
          </cell>
          <cell r="L4267">
            <v>1113</v>
          </cell>
          <cell r="N4267" t="str">
            <v>Production</v>
          </cell>
          <cell r="O4267" t="str">
            <v>No</v>
          </cell>
          <cell r="Q4267" t="str">
            <v>Cancelled</v>
          </cell>
          <cell r="R4267">
            <v>44720.739490740743</v>
          </cell>
          <cell r="S4267" t="str">
            <v>Ahmed Sami Old Account</v>
          </cell>
          <cell r="T4267">
            <v>44724</v>
          </cell>
          <cell r="U4267" t="str">
            <v>Denise Stubenvoll</v>
          </cell>
          <cell r="V4267">
            <v>44733</v>
          </cell>
          <cell r="W4267">
            <v>44804</v>
          </cell>
          <cell r="Y4267">
            <v>44724</v>
          </cell>
          <cell r="AC4267">
            <v>44804</v>
          </cell>
        </row>
        <row r="4268">
          <cell r="I4268" t="str">
            <v>EDI</v>
          </cell>
          <cell r="L4268">
            <v>1414</v>
          </cell>
          <cell r="N4268" t="str">
            <v>Production</v>
          </cell>
          <cell r="O4268" t="str">
            <v>No</v>
          </cell>
          <cell r="Q4268" t="str">
            <v>Cancelled</v>
          </cell>
          <cell r="R4268">
            <v>44720.691504629627</v>
          </cell>
          <cell r="S4268" t="str">
            <v>Mina George</v>
          </cell>
          <cell r="T4268">
            <v>44889</v>
          </cell>
          <cell r="U4268" t="str">
            <v>Miranda Naeem</v>
          </cell>
          <cell r="V4268">
            <v>44872</v>
          </cell>
          <cell r="W4268">
            <v>25569</v>
          </cell>
          <cell r="Y4268">
            <v>44794</v>
          </cell>
          <cell r="AC4268">
            <v>44915</v>
          </cell>
        </row>
        <row r="4269">
          <cell r="I4269" t="str">
            <v>EDI</v>
          </cell>
          <cell r="L4269">
            <v>1377</v>
          </cell>
          <cell r="N4269" t="str">
            <v>Production</v>
          </cell>
          <cell r="O4269" t="str">
            <v>No</v>
          </cell>
          <cell r="Q4269" t="str">
            <v>Cancelled</v>
          </cell>
          <cell r="R4269">
            <v>44719.951805555553</v>
          </cell>
          <cell r="S4269" t="str">
            <v>Ahmed Sami Old Account</v>
          </cell>
          <cell r="T4269">
            <v>44775</v>
          </cell>
          <cell r="U4269" t="str">
            <v>Miranda Naeem</v>
          </cell>
          <cell r="V4269">
            <v>44810</v>
          </cell>
          <cell r="W4269">
            <v>25569</v>
          </cell>
          <cell r="Y4269">
            <v>44775</v>
          </cell>
          <cell r="AC4269">
            <v>44837</v>
          </cell>
        </row>
        <row r="4270">
          <cell r="I4270" t="str">
            <v>EDI</v>
          </cell>
          <cell r="L4270">
            <v>1282</v>
          </cell>
          <cell r="N4270" t="str">
            <v>Production</v>
          </cell>
          <cell r="O4270" t="str">
            <v>No</v>
          </cell>
          <cell r="Q4270" t="str">
            <v>Cancelled</v>
          </cell>
          <cell r="R4270">
            <v>44719.951192129629</v>
          </cell>
          <cell r="S4270" t="str">
            <v>Joseph Atef</v>
          </cell>
          <cell r="T4270">
            <v>44888</v>
          </cell>
          <cell r="U4270" t="str">
            <v>Miranda Naeem</v>
          </cell>
          <cell r="V4270">
            <v>44801</v>
          </cell>
          <cell r="W4270">
            <v>25569</v>
          </cell>
          <cell r="Y4270">
            <v>44761</v>
          </cell>
          <cell r="AC4270">
            <v>44966</v>
          </cell>
        </row>
        <row r="4271">
          <cell r="I4271" t="str">
            <v>EDI</v>
          </cell>
          <cell r="L4271">
            <v>1293</v>
          </cell>
          <cell r="N4271" t="str">
            <v>Testing</v>
          </cell>
          <cell r="O4271" t="str">
            <v>No</v>
          </cell>
          <cell r="Q4271" t="str">
            <v>Cancelled</v>
          </cell>
          <cell r="R4271">
            <v>44719.951192129629</v>
          </cell>
          <cell r="S4271" t="str">
            <v>Omar Elmahalwy</v>
          </cell>
          <cell r="T4271">
            <v>44889</v>
          </cell>
          <cell r="U4271" t="str">
            <v>Miranda Naeem</v>
          </cell>
          <cell r="V4271">
            <v>44851</v>
          </cell>
          <cell r="Y4271">
            <v>44763</v>
          </cell>
        </row>
        <row r="4272">
          <cell r="I4272" t="str">
            <v>EDI</v>
          </cell>
          <cell r="L4272">
            <v>1226</v>
          </cell>
          <cell r="N4272" t="str">
            <v>Production</v>
          </cell>
          <cell r="O4272" t="str">
            <v>No</v>
          </cell>
          <cell r="Q4272" t="str">
            <v>Cancelled</v>
          </cell>
          <cell r="R4272">
            <v>44719.951192129629</v>
          </cell>
          <cell r="S4272" t="str">
            <v>Mina George</v>
          </cell>
          <cell r="T4272">
            <v>44889</v>
          </cell>
          <cell r="U4272" t="str">
            <v>Miranda Naeem</v>
          </cell>
          <cell r="V4272">
            <v>44841</v>
          </cell>
          <cell r="W4272">
            <v>44922</v>
          </cell>
          <cell r="Y4272">
            <v>44750</v>
          </cell>
          <cell r="AC4272">
            <v>44918</v>
          </cell>
        </row>
        <row r="4273">
          <cell r="I4273" t="str">
            <v>EDI</v>
          </cell>
          <cell r="L4273">
            <v>1215</v>
          </cell>
          <cell r="N4273" t="str">
            <v>Production</v>
          </cell>
          <cell r="O4273" t="str">
            <v>No</v>
          </cell>
          <cell r="Q4273" t="str">
            <v>Cancelled</v>
          </cell>
          <cell r="R4273">
            <v>44719.951180555552</v>
          </cell>
          <cell r="S4273" t="str">
            <v>Mina George Old Account</v>
          </cell>
          <cell r="T4273">
            <v>44749</v>
          </cell>
          <cell r="U4273" t="str">
            <v>Miranda Naeem</v>
          </cell>
          <cell r="V4273">
            <v>44784</v>
          </cell>
          <cell r="W4273">
            <v>44803</v>
          </cell>
          <cell r="Y4273">
            <v>44749</v>
          </cell>
          <cell r="AC4273">
            <v>44797</v>
          </cell>
        </row>
        <row r="4274">
          <cell r="I4274" t="str">
            <v>EDI</v>
          </cell>
          <cell r="L4274">
            <v>1103</v>
          </cell>
          <cell r="N4274" t="str">
            <v>Testing</v>
          </cell>
          <cell r="O4274" t="str">
            <v>No</v>
          </cell>
          <cell r="Q4274" t="str">
            <v>Cancelled</v>
          </cell>
          <cell r="R4274">
            <v>44719.951180555552</v>
          </cell>
          <cell r="S4274" t="str">
            <v>Haytham Mohamed</v>
          </cell>
          <cell r="T4274">
            <v>44724</v>
          </cell>
          <cell r="U4274" t="str">
            <v>Miranda Naeem</v>
          </cell>
          <cell r="V4274">
            <v>44788</v>
          </cell>
          <cell r="Y4274">
            <v>44724</v>
          </cell>
        </row>
        <row r="4275">
          <cell r="I4275" t="str">
            <v>EDI</v>
          </cell>
          <cell r="L4275">
            <v>1184</v>
          </cell>
          <cell r="N4275" t="str">
            <v>Production</v>
          </cell>
          <cell r="O4275" t="str">
            <v>No</v>
          </cell>
          <cell r="Q4275" t="str">
            <v>Cancelled</v>
          </cell>
          <cell r="R4275">
            <v>44719.951180555552</v>
          </cell>
          <cell r="S4275" t="str">
            <v>Omar Elmahalwy Old Account</v>
          </cell>
          <cell r="T4275">
            <v>44745</v>
          </cell>
          <cell r="U4275" t="str">
            <v>Miranda Naeem</v>
          </cell>
          <cell r="V4275">
            <v>44775</v>
          </cell>
          <cell r="W4275">
            <v>25569</v>
          </cell>
          <cell r="Y4275">
            <v>44742</v>
          </cell>
          <cell r="AC4275">
            <v>44853</v>
          </cell>
        </row>
        <row r="4276">
          <cell r="I4276" t="str">
            <v>EDI</v>
          </cell>
          <cell r="L4276">
            <v>1088</v>
          </cell>
          <cell r="N4276" t="str">
            <v>Production</v>
          </cell>
          <cell r="O4276" t="str">
            <v>No</v>
          </cell>
          <cell r="Q4276" t="str">
            <v>Live</v>
          </cell>
          <cell r="R4276">
            <v>44718.760625000003</v>
          </cell>
          <cell r="S4276" t="str">
            <v>Haytham Mohamed</v>
          </cell>
          <cell r="T4276">
            <v>44817</v>
          </cell>
          <cell r="U4276" t="str">
            <v>Denise Stubenvoll</v>
          </cell>
          <cell r="V4276">
            <v>44809</v>
          </cell>
          <cell r="W4276">
            <v>44839</v>
          </cell>
          <cell r="Y4276">
            <v>44719</v>
          </cell>
          <cell r="AC4276">
            <v>44834</v>
          </cell>
        </row>
        <row r="4277">
          <cell r="I4277" t="str">
            <v>EDI</v>
          </cell>
          <cell r="L4277">
            <v>1292</v>
          </cell>
          <cell r="N4277" t="str">
            <v>Production</v>
          </cell>
          <cell r="O4277" t="str">
            <v>No</v>
          </cell>
          <cell r="Q4277" t="str">
            <v>Live</v>
          </cell>
          <cell r="R4277">
            <v>44718.608078703714</v>
          </cell>
          <cell r="S4277" t="str">
            <v>Ahmed Sami</v>
          </cell>
          <cell r="T4277">
            <v>44895</v>
          </cell>
          <cell r="U4277" t="str">
            <v>Denise Stubenvoll</v>
          </cell>
          <cell r="V4277">
            <v>44789</v>
          </cell>
          <cell r="W4277">
            <v>44930</v>
          </cell>
          <cell r="Y4277">
            <v>44761</v>
          </cell>
          <cell r="AC4277">
            <v>44928</v>
          </cell>
        </row>
        <row r="4278">
          <cell r="I4278" t="str">
            <v>EDI</v>
          </cell>
          <cell r="L4278">
            <v>1260</v>
          </cell>
          <cell r="N4278" t="str">
            <v>Production</v>
          </cell>
          <cell r="O4278" t="str">
            <v>No</v>
          </cell>
          <cell r="Q4278" t="str">
            <v>Live</v>
          </cell>
          <cell r="R4278">
            <v>44718.608078703714</v>
          </cell>
          <cell r="S4278" t="str">
            <v>Haytham Mohamed</v>
          </cell>
          <cell r="T4278">
            <v>44762</v>
          </cell>
          <cell r="U4278" t="str">
            <v>Denise Stubenvoll</v>
          </cell>
          <cell r="V4278">
            <v>44794</v>
          </cell>
          <cell r="W4278">
            <v>44839</v>
          </cell>
          <cell r="Y4278">
            <v>44761</v>
          </cell>
          <cell r="AC4278">
            <v>44838</v>
          </cell>
        </row>
        <row r="4279">
          <cell r="I4279" t="str">
            <v>EDI</v>
          </cell>
          <cell r="L4279">
            <v>1146</v>
          </cell>
          <cell r="N4279" t="str">
            <v>Production</v>
          </cell>
          <cell r="O4279" t="str">
            <v>No</v>
          </cell>
          <cell r="Q4279" t="str">
            <v>Live</v>
          </cell>
          <cell r="R4279">
            <v>44718.608078703714</v>
          </cell>
          <cell r="S4279" t="str">
            <v>Ahmed Sami Old Account</v>
          </cell>
          <cell r="T4279">
            <v>44728</v>
          </cell>
          <cell r="U4279" t="str">
            <v>Denise Stubenvoll</v>
          </cell>
          <cell r="V4279">
            <v>44747</v>
          </cell>
          <cell r="W4279">
            <v>44790</v>
          </cell>
          <cell r="Y4279">
            <v>44727</v>
          </cell>
          <cell r="AC4279">
            <v>44783</v>
          </cell>
        </row>
        <row r="4280">
          <cell r="I4280" t="str">
            <v>EDI</v>
          </cell>
          <cell r="L4280">
            <v>1092</v>
          </cell>
          <cell r="N4280" t="str">
            <v>Production</v>
          </cell>
          <cell r="O4280" t="str">
            <v>No</v>
          </cell>
          <cell r="Q4280" t="str">
            <v>Cancelled</v>
          </cell>
          <cell r="R4280">
            <v>44715.831365740742</v>
          </cell>
          <cell r="S4280" t="str">
            <v>Mina George</v>
          </cell>
          <cell r="T4280">
            <v>44889</v>
          </cell>
          <cell r="U4280" t="str">
            <v>Denise Stubenvoll</v>
          </cell>
          <cell r="V4280">
            <v>44805</v>
          </cell>
          <cell r="W4280">
            <v>44944</v>
          </cell>
          <cell r="Y4280">
            <v>44720</v>
          </cell>
          <cell r="AC4280">
            <v>44937</v>
          </cell>
        </row>
        <row r="4281">
          <cell r="I4281" t="str">
            <v>EDI</v>
          </cell>
          <cell r="L4281">
            <v>1086</v>
          </cell>
          <cell r="N4281" t="str">
            <v>Production</v>
          </cell>
          <cell r="O4281" t="str">
            <v>No</v>
          </cell>
          <cell r="Q4281" t="str">
            <v>Cancelled</v>
          </cell>
          <cell r="R4281">
            <v>44715.552766203713</v>
          </cell>
          <cell r="S4281" t="str">
            <v>Haytham Mohamed</v>
          </cell>
          <cell r="T4281">
            <v>44719</v>
          </cell>
          <cell r="U4281" t="str">
            <v>Billy Smith</v>
          </cell>
          <cell r="V4281">
            <v>44788</v>
          </cell>
          <cell r="W4281">
            <v>44811</v>
          </cell>
          <cell r="Y4281">
            <v>44719</v>
          </cell>
          <cell r="AC4281">
            <v>44804</v>
          </cell>
        </row>
        <row r="4282">
          <cell r="I4282" t="str">
            <v>EDI</v>
          </cell>
          <cell r="L4282">
            <v>1090</v>
          </cell>
          <cell r="N4282" t="str">
            <v>Production</v>
          </cell>
          <cell r="O4282" t="str">
            <v>No</v>
          </cell>
          <cell r="Q4282" t="str">
            <v>Cancelled</v>
          </cell>
          <cell r="R4282">
            <v>44715.552766203713</v>
          </cell>
          <cell r="S4282" t="str">
            <v>Aya Fathy</v>
          </cell>
          <cell r="T4282">
            <v>44720</v>
          </cell>
          <cell r="U4282" t="str">
            <v>Billy Smith</v>
          </cell>
          <cell r="V4282">
            <v>44754</v>
          </cell>
          <cell r="W4282">
            <v>44819</v>
          </cell>
          <cell r="Y4282">
            <v>44720</v>
          </cell>
          <cell r="AC4282">
            <v>44811</v>
          </cell>
        </row>
        <row r="4283">
          <cell r="I4283" t="str">
            <v>EDI</v>
          </cell>
          <cell r="L4283">
            <v>1136</v>
          </cell>
          <cell r="N4283" t="str">
            <v>Production</v>
          </cell>
          <cell r="O4283" t="str">
            <v>No</v>
          </cell>
          <cell r="Q4283" t="str">
            <v>Cancelled</v>
          </cell>
          <cell r="R4283">
            <v>44715.552766203713</v>
          </cell>
          <cell r="S4283" t="str">
            <v>Aya Fathy</v>
          </cell>
          <cell r="T4283">
            <v>44732</v>
          </cell>
          <cell r="U4283" t="str">
            <v>Billy Smith</v>
          </cell>
          <cell r="V4283">
            <v>44759</v>
          </cell>
          <cell r="W4283">
            <v>44804</v>
          </cell>
          <cell r="Y4283">
            <v>44732</v>
          </cell>
          <cell r="AC4283">
            <v>44801</v>
          </cell>
        </row>
        <row r="4284">
          <cell r="I4284" t="str">
            <v>EDI</v>
          </cell>
          <cell r="L4284">
            <v>1154</v>
          </cell>
          <cell r="N4284" t="str">
            <v>Production</v>
          </cell>
          <cell r="O4284" t="str">
            <v>No</v>
          </cell>
          <cell r="Q4284" t="str">
            <v>Cancelled</v>
          </cell>
          <cell r="R4284">
            <v>44715.552766203713</v>
          </cell>
          <cell r="S4284" t="str">
            <v>Haytham Mohamed</v>
          </cell>
          <cell r="T4284">
            <v>44728</v>
          </cell>
          <cell r="U4284" t="str">
            <v>Billy Smith</v>
          </cell>
          <cell r="V4284">
            <v>44801</v>
          </cell>
          <cell r="W4284">
            <v>44826</v>
          </cell>
          <cell r="Y4284">
            <v>44728</v>
          </cell>
          <cell r="AC4284">
            <v>44822</v>
          </cell>
        </row>
        <row r="4285">
          <cell r="I4285" t="str">
            <v>EDI</v>
          </cell>
          <cell r="N4285" t="str">
            <v>Requirements Gathering</v>
          </cell>
          <cell r="O4285" t="str">
            <v>No</v>
          </cell>
          <cell r="Q4285" t="str">
            <v>Cancelled</v>
          </cell>
          <cell r="R4285">
            <v>44714.846446759257</v>
          </cell>
          <cell r="S4285" t="str">
            <v>Sandra Adel</v>
          </cell>
          <cell r="T4285">
            <v>44717</v>
          </cell>
          <cell r="U4285" t="str">
            <v>Miranda Naeem</v>
          </cell>
        </row>
        <row r="4286">
          <cell r="I4286" t="str">
            <v>EDI</v>
          </cell>
          <cell r="L4286">
            <v>1192</v>
          </cell>
          <cell r="N4286" t="str">
            <v>Production</v>
          </cell>
          <cell r="O4286" t="str">
            <v>No</v>
          </cell>
          <cell r="Q4286" t="str">
            <v>Cancelled</v>
          </cell>
          <cell r="R4286">
            <v>44714.846435185187</v>
          </cell>
          <cell r="S4286" t="str">
            <v>Haytham Mohamed</v>
          </cell>
          <cell r="T4286">
            <v>44745</v>
          </cell>
          <cell r="U4286" t="str">
            <v>Miranda Naeem</v>
          </cell>
          <cell r="V4286">
            <v>44747</v>
          </cell>
          <cell r="W4286">
            <v>25569</v>
          </cell>
          <cell r="Y4286">
            <v>44741</v>
          </cell>
          <cell r="AC4286">
            <v>44804</v>
          </cell>
        </row>
        <row r="4287">
          <cell r="I4287" t="str">
            <v>EDI</v>
          </cell>
          <cell r="L4287">
            <v>1127</v>
          </cell>
          <cell r="N4287" t="str">
            <v>Production</v>
          </cell>
          <cell r="O4287" t="str">
            <v>No</v>
          </cell>
          <cell r="Q4287" t="str">
            <v>Cancelled</v>
          </cell>
          <cell r="R4287">
            <v>44714.846435185187</v>
          </cell>
          <cell r="S4287" t="str">
            <v>Aya Fathy</v>
          </cell>
          <cell r="T4287">
            <v>44728</v>
          </cell>
          <cell r="U4287" t="str">
            <v>Miranda Naeem</v>
          </cell>
          <cell r="V4287">
            <v>44813</v>
          </cell>
          <cell r="W4287">
            <v>44888</v>
          </cell>
          <cell r="Y4287">
            <v>44728</v>
          </cell>
          <cell r="AC4287">
            <v>44845</v>
          </cell>
        </row>
        <row r="4288">
          <cell r="I4288" t="str">
            <v>EDI</v>
          </cell>
          <cell r="L4288">
            <v>1399</v>
          </cell>
          <cell r="N4288" t="str">
            <v>Testing</v>
          </cell>
          <cell r="O4288" t="str">
            <v>No</v>
          </cell>
          <cell r="Q4288" t="str">
            <v>Cancelled</v>
          </cell>
          <cell r="R4288">
            <v>44714.846435185187</v>
          </cell>
          <cell r="S4288" t="str">
            <v>Omar Elmahalwy</v>
          </cell>
          <cell r="T4288">
            <v>44889</v>
          </cell>
          <cell r="U4288" t="str">
            <v>Miranda Naeem</v>
          </cell>
          <cell r="V4288">
            <v>44820</v>
          </cell>
          <cell r="Y4288">
            <v>44728</v>
          </cell>
        </row>
        <row r="4289">
          <cell r="I4289" t="str">
            <v>EDI</v>
          </cell>
          <cell r="L4289">
            <v>1156</v>
          </cell>
          <cell r="N4289" t="str">
            <v>Production</v>
          </cell>
          <cell r="O4289" t="str">
            <v>No</v>
          </cell>
          <cell r="Q4289" t="str">
            <v>Live</v>
          </cell>
          <cell r="R4289">
            <v>44714.836157407408</v>
          </cell>
          <cell r="S4289" t="str">
            <v>Aya Fathy</v>
          </cell>
          <cell r="T4289">
            <v>44734</v>
          </cell>
          <cell r="U4289" t="str">
            <v>Miranda Naeem</v>
          </cell>
          <cell r="V4289">
            <v>44750</v>
          </cell>
          <cell r="W4289">
            <v>44761</v>
          </cell>
          <cell r="Y4289">
            <v>44734</v>
          </cell>
          <cell r="AC4289">
            <v>44759</v>
          </cell>
        </row>
        <row r="4290">
          <cell r="I4290" t="str">
            <v>EDI</v>
          </cell>
          <cell r="L4290">
            <v>1147</v>
          </cell>
          <cell r="N4290" t="str">
            <v>Production</v>
          </cell>
          <cell r="O4290" t="str">
            <v>No</v>
          </cell>
          <cell r="Q4290" t="str">
            <v>Cancelled</v>
          </cell>
          <cell r="R4290">
            <v>44714.836157407408</v>
          </cell>
          <cell r="S4290" t="str">
            <v>Andrew Ramy</v>
          </cell>
          <cell r="T4290">
            <v>44734</v>
          </cell>
          <cell r="U4290" t="str">
            <v>Miranda Naeem</v>
          </cell>
          <cell r="V4290">
            <v>44748</v>
          </cell>
          <cell r="W4290">
            <v>44811</v>
          </cell>
          <cell r="Y4290">
            <v>44734</v>
          </cell>
          <cell r="AC4290">
            <v>44811</v>
          </cell>
        </row>
        <row r="4291">
          <cell r="I4291" t="str">
            <v>EDI</v>
          </cell>
          <cell r="L4291">
            <v>1171</v>
          </cell>
          <cell r="N4291" t="str">
            <v>Testing</v>
          </cell>
          <cell r="O4291" t="str">
            <v>No</v>
          </cell>
          <cell r="Q4291" t="str">
            <v>Cancelled</v>
          </cell>
          <cell r="R4291">
            <v>44714.805717592593</v>
          </cell>
          <cell r="S4291" t="str">
            <v>Ahmed Sami</v>
          </cell>
          <cell r="T4291">
            <v>44895</v>
          </cell>
          <cell r="U4291" t="str">
            <v>Miranda Naeem</v>
          </cell>
          <cell r="V4291">
            <v>44767</v>
          </cell>
          <cell r="Y4291">
            <v>44738</v>
          </cell>
        </row>
        <row r="4292">
          <cell r="I4292" t="str">
            <v>EDI</v>
          </cell>
          <cell r="L4292">
            <v>1104</v>
          </cell>
          <cell r="N4292" t="str">
            <v>Production</v>
          </cell>
          <cell r="O4292" t="str">
            <v>No</v>
          </cell>
          <cell r="Q4292" t="str">
            <v>Live</v>
          </cell>
          <cell r="R4292">
            <v>44714.735509259262</v>
          </cell>
          <cell r="S4292" t="str">
            <v>Mina Adel Old Account</v>
          </cell>
          <cell r="T4292">
            <v>44724</v>
          </cell>
          <cell r="U4292" t="str">
            <v>Denise Stubenvoll</v>
          </cell>
          <cell r="V4292">
            <v>44837</v>
          </cell>
          <cell r="W4292">
            <v>44874</v>
          </cell>
          <cell r="Y4292">
            <v>44722</v>
          </cell>
          <cell r="AC4292">
            <v>44871</v>
          </cell>
        </row>
        <row r="4293">
          <cell r="I4293" t="str">
            <v>EDI</v>
          </cell>
          <cell r="L4293">
            <v>1072</v>
          </cell>
          <cell r="N4293" t="str">
            <v>Production</v>
          </cell>
          <cell r="O4293" t="str">
            <v>No</v>
          </cell>
          <cell r="Q4293" t="str">
            <v>Cancelled</v>
          </cell>
          <cell r="R4293">
            <v>44713.669953703713</v>
          </cell>
          <cell r="S4293" t="str">
            <v>Andrew Ramy</v>
          </cell>
          <cell r="T4293">
            <v>44718</v>
          </cell>
          <cell r="U4293" t="str">
            <v>Miranda Naeem</v>
          </cell>
          <cell r="V4293">
            <v>44741</v>
          </cell>
          <cell r="W4293">
            <v>44761</v>
          </cell>
          <cell r="Y4293">
            <v>44717</v>
          </cell>
          <cell r="AC4293">
            <v>44761</v>
          </cell>
        </row>
        <row r="4294">
          <cell r="I4294" t="str">
            <v>EDI</v>
          </cell>
          <cell r="L4294">
            <v>1038</v>
          </cell>
          <cell r="N4294" t="str">
            <v>Production</v>
          </cell>
          <cell r="O4294" t="str">
            <v>Everything Benefits</v>
          </cell>
          <cell r="P4294" t="str">
            <v>Production</v>
          </cell>
          <cell r="Q4294" t="str">
            <v>Cancelled</v>
          </cell>
          <cell r="R4294">
            <v>44711.542025462957</v>
          </cell>
          <cell r="S4294" t="str">
            <v>Mohamed Abdelhamed</v>
          </cell>
          <cell r="T4294">
            <v>44711</v>
          </cell>
          <cell r="U4294" t="str">
            <v>Billy Smith</v>
          </cell>
          <cell r="V4294">
            <v>44721</v>
          </cell>
          <cell r="W4294">
            <v>44781</v>
          </cell>
          <cell r="AC4294">
            <v>44780</v>
          </cell>
        </row>
        <row r="4295">
          <cell r="I4295" t="str">
            <v>EDI</v>
          </cell>
          <cell r="L4295">
            <v>1031</v>
          </cell>
          <cell r="N4295" t="str">
            <v>Testing</v>
          </cell>
          <cell r="O4295" t="str">
            <v>eBenefits Network</v>
          </cell>
          <cell r="P4295" t="str">
            <v>Migration Testing</v>
          </cell>
          <cell r="Q4295" t="str">
            <v>Cancelled</v>
          </cell>
          <cell r="R4295">
            <v>44711.407002314823</v>
          </cell>
          <cell r="S4295" t="str">
            <v>Salma Yamani</v>
          </cell>
          <cell r="T4295">
            <v>44711</v>
          </cell>
          <cell r="U4295" t="str">
            <v>Vicky Wright</v>
          </cell>
          <cell r="V4295">
            <v>44854</v>
          </cell>
        </row>
        <row r="4296">
          <cell r="I4296" t="str">
            <v>EDI</v>
          </cell>
          <cell r="L4296">
            <v>1028</v>
          </cell>
          <cell r="N4296" t="str">
            <v>Production</v>
          </cell>
          <cell r="O4296" t="str">
            <v>No</v>
          </cell>
          <cell r="Q4296" t="str">
            <v>Live</v>
          </cell>
          <cell r="R4296">
            <v>44706.552754629629</v>
          </cell>
          <cell r="S4296" t="str">
            <v>Mina George Old Account</v>
          </cell>
          <cell r="T4296">
            <v>44710</v>
          </cell>
          <cell r="U4296" t="str">
            <v>Billy Smith</v>
          </cell>
          <cell r="V4296">
            <v>44728</v>
          </cell>
          <cell r="W4296">
            <v>25569</v>
          </cell>
          <cell r="Y4296">
            <v>44707</v>
          </cell>
          <cell r="AC4296">
            <v>44738</v>
          </cell>
        </row>
        <row r="4297">
          <cell r="I4297" t="str">
            <v>EDI</v>
          </cell>
          <cell r="L4297">
            <v>957</v>
          </cell>
          <cell r="N4297" t="str">
            <v>Production</v>
          </cell>
          <cell r="O4297" t="str">
            <v>No</v>
          </cell>
          <cell r="Q4297" t="str">
            <v>Cancelled</v>
          </cell>
          <cell r="R4297">
            <v>44705.628877314812</v>
          </cell>
          <cell r="S4297" t="str">
            <v>Dina Medhat</v>
          </cell>
          <cell r="T4297">
            <v>44706</v>
          </cell>
          <cell r="U4297" t="str">
            <v>Cheryl Cabana</v>
          </cell>
          <cell r="V4297">
            <v>44735</v>
          </cell>
          <cell r="W4297">
            <v>44754</v>
          </cell>
          <cell r="AC4297">
            <v>44752</v>
          </cell>
        </row>
        <row r="4298">
          <cell r="I4298" t="str">
            <v>EDI</v>
          </cell>
          <cell r="L4298">
            <v>1002</v>
          </cell>
          <cell r="N4298" t="str">
            <v>Production</v>
          </cell>
          <cell r="O4298" t="str">
            <v>No</v>
          </cell>
          <cell r="Q4298" t="str">
            <v>Cancelled</v>
          </cell>
          <cell r="R4298">
            <v>44704.791134259263</v>
          </cell>
          <cell r="S4298" t="str">
            <v>Dina Medhat</v>
          </cell>
          <cell r="T4298">
            <v>44704</v>
          </cell>
          <cell r="U4298" t="str">
            <v>Heather Cannon</v>
          </cell>
          <cell r="W4298">
            <v>44738</v>
          </cell>
          <cell r="AC4298">
            <v>44752</v>
          </cell>
        </row>
        <row r="4299">
          <cell r="I4299" t="str">
            <v>EDI</v>
          </cell>
          <cell r="L4299">
            <v>1248</v>
          </cell>
          <cell r="N4299" t="str">
            <v>Production</v>
          </cell>
          <cell r="O4299" t="str">
            <v>Everything Benefits</v>
          </cell>
          <cell r="P4299" t="str">
            <v>Production</v>
          </cell>
          <cell r="Q4299" t="str">
            <v>Live</v>
          </cell>
          <cell r="R4299">
            <v>44704.12358796296</v>
          </cell>
          <cell r="S4299" t="str">
            <v>Mohamed Abdelhamed</v>
          </cell>
          <cell r="T4299">
            <v>44761</v>
          </cell>
          <cell r="U4299" t="str">
            <v>Melodie Coles</v>
          </cell>
          <cell r="V4299">
            <v>44767</v>
          </cell>
          <cell r="W4299">
            <v>44788</v>
          </cell>
          <cell r="Y4299">
            <v>44748</v>
          </cell>
          <cell r="AC4299">
            <v>44787</v>
          </cell>
        </row>
        <row r="4300">
          <cell r="I4300" t="str">
            <v>EDI</v>
          </cell>
          <cell r="L4300">
            <v>1228</v>
          </cell>
          <cell r="N4300" t="str">
            <v>Production</v>
          </cell>
          <cell r="O4300" t="str">
            <v>Everything Benefits</v>
          </cell>
          <cell r="P4300" t="str">
            <v>Production</v>
          </cell>
          <cell r="Q4300" t="str">
            <v>Live</v>
          </cell>
          <cell r="R4300">
            <v>44704.123576388891</v>
          </cell>
          <cell r="S4300" t="str">
            <v>Nada Ashraf</v>
          </cell>
          <cell r="T4300">
            <v>44943</v>
          </cell>
          <cell r="U4300" t="str">
            <v>Melodie Coles</v>
          </cell>
          <cell r="V4300">
            <v>44759</v>
          </cell>
          <cell r="W4300">
            <v>45082</v>
          </cell>
          <cell r="Y4300">
            <v>44735</v>
          </cell>
          <cell r="AC4300">
            <v>45081</v>
          </cell>
        </row>
        <row r="4301">
          <cell r="I4301" t="str">
            <v>EDI</v>
          </cell>
          <cell r="L4301">
            <v>1233</v>
          </cell>
          <cell r="N4301" t="str">
            <v>Production</v>
          </cell>
          <cell r="O4301" t="str">
            <v>Everything Benefits</v>
          </cell>
          <cell r="P4301" t="str">
            <v>Production</v>
          </cell>
          <cell r="Q4301" t="str">
            <v>Live</v>
          </cell>
          <cell r="R4301">
            <v>44704.123576388891</v>
          </cell>
          <cell r="S4301" t="str">
            <v>Mahmoud Heidar</v>
          </cell>
          <cell r="T4301">
            <v>44759</v>
          </cell>
          <cell r="U4301" t="str">
            <v>Melodie Coles</v>
          </cell>
          <cell r="V4301">
            <v>44773</v>
          </cell>
          <cell r="W4301">
            <v>44851</v>
          </cell>
          <cell r="Y4301">
            <v>44735</v>
          </cell>
          <cell r="AC4301">
            <v>44850</v>
          </cell>
        </row>
        <row r="4302">
          <cell r="I4302" t="str">
            <v>EDI</v>
          </cell>
          <cell r="L4302">
            <v>1224</v>
          </cell>
          <cell r="N4302" t="str">
            <v>Production</v>
          </cell>
          <cell r="O4302" t="str">
            <v>Everything Benefits</v>
          </cell>
          <cell r="P4302" t="str">
            <v>Production</v>
          </cell>
          <cell r="Q4302" t="str">
            <v>Live</v>
          </cell>
          <cell r="R4302">
            <v>44704.123564814807</v>
          </cell>
          <cell r="S4302" t="str">
            <v>Salma Yamani</v>
          </cell>
          <cell r="T4302">
            <v>44956</v>
          </cell>
          <cell r="U4302" t="str">
            <v>Melodie Coles</v>
          </cell>
          <cell r="V4302">
            <v>44847</v>
          </cell>
          <cell r="W4302">
            <v>45043</v>
          </cell>
          <cell r="Y4302">
            <v>44740</v>
          </cell>
          <cell r="AC4302">
            <v>45036</v>
          </cell>
        </row>
        <row r="4303">
          <cell r="I4303" t="str">
            <v>EDI</v>
          </cell>
          <cell r="L4303">
            <v>1263</v>
          </cell>
          <cell r="N4303" t="str">
            <v>Production</v>
          </cell>
          <cell r="O4303" t="str">
            <v>Everything Benefits</v>
          </cell>
          <cell r="P4303" t="str">
            <v>Production</v>
          </cell>
          <cell r="Q4303" t="str">
            <v>Cancelled</v>
          </cell>
          <cell r="R4303">
            <v>44704.107453703713</v>
          </cell>
          <cell r="S4303" t="str">
            <v>Alaa Yehia</v>
          </cell>
          <cell r="T4303">
            <v>44761</v>
          </cell>
          <cell r="U4303" t="str">
            <v>Melodie Coles</v>
          </cell>
          <cell r="V4303">
            <v>44774</v>
          </cell>
          <cell r="W4303">
            <v>44844</v>
          </cell>
          <cell r="Y4303">
            <v>44749</v>
          </cell>
          <cell r="AC4303">
            <v>44842</v>
          </cell>
        </row>
        <row r="4304">
          <cell r="I4304" t="str">
            <v>EDI</v>
          </cell>
          <cell r="L4304">
            <v>1334</v>
          </cell>
          <cell r="N4304" t="str">
            <v>Production</v>
          </cell>
          <cell r="O4304" t="str">
            <v>Everything Benefits</v>
          </cell>
          <cell r="P4304" t="str">
            <v>Production</v>
          </cell>
          <cell r="Q4304" t="str">
            <v>Live</v>
          </cell>
          <cell r="R4304">
            <v>44704.097037037027</v>
          </cell>
          <cell r="S4304" t="str">
            <v>Tarek Medhat</v>
          </cell>
          <cell r="T4304">
            <v>44777</v>
          </cell>
          <cell r="U4304" t="str">
            <v>Melodie Coles</v>
          </cell>
          <cell r="V4304">
            <v>44802</v>
          </cell>
          <cell r="W4304">
            <v>44823</v>
          </cell>
          <cell r="AC4304">
            <v>44822</v>
          </cell>
        </row>
        <row r="4305">
          <cell r="I4305" t="str">
            <v>EDI</v>
          </cell>
          <cell r="L4305">
            <v>1298</v>
          </cell>
          <cell r="N4305" t="str">
            <v>Testing</v>
          </cell>
          <cell r="O4305" t="str">
            <v>Everything Benefits</v>
          </cell>
          <cell r="P4305" t="str">
            <v>Migration Testing</v>
          </cell>
          <cell r="Q4305" t="str">
            <v>Cancelled</v>
          </cell>
          <cell r="R4305">
            <v>44704.084236111114</v>
          </cell>
          <cell r="S4305" t="str">
            <v>Ahmed Gamal</v>
          </cell>
          <cell r="T4305">
            <v>44769</v>
          </cell>
          <cell r="U4305" t="str">
            <v>Melodie Coles</v>
          </cell>
          <cell r="Y4305">
            <v>44768</v>
          </cell>
        </row>
        <row r="4306">
          <cell r="I4306" t="str">
            <v>EDI</v>
          </cell>
          <cell r="L4306">
            <v>1327</v>
          </cell>
          <cell r="N4306" t="str">
            <v>Testing</v>
          </cell>
          <cell r="O4306" t="str">
            <v>Everything Benefits</v>
          </cell>
          <cell r="P4306" t="str">
            <v>Migration Testing</v>
          </cell>
          <cell r="Q4306" t="str">
            <v>Cancelled</v>
          </cell>
          <cell r="R4306">
            <v>44704.084236111114</v>
          </cell>
          <cell r="S4306" t="str">
            <v>Kareem Osama</v>
          </cell>
          <cell r="T4306">
            <v>44776</v>
          </cell>
          <cell r="U4306" t="str">
            <v>Melodie Coles</v>
          </cell>
        </row>
        <row r="4307">
          <cell r="I4307" t="str">
            <v>EDI</v>
          </cell>
          <cell r="L4307">
            <v>1314</v>
          </cell>
          <cell r="N4307" t="str">
            <v>Production</v>
          </cell>
          <cell r="O4307" t="str">
            <v>Everything Benefits</v>
          </cell>
          <cell r="P4307" t="str">
            <v>Production</v>
          </cell>
          <cell r="Q4307" t="str">
            <v>Cancelled</v>
          </cell>
          <cell r="R4307">
            <v>44704.084236111114</v>
          </cell>
          <cell r="S4307" t="str">
            <v>Karim Tarek</v>
          </cell>
          <cell r="T4307">
            <v>44805</v>
          </cell>
          <cell r="U4307" t="str">
            <v>Melodie Coles</v>
          </cell>
          <cell r="V4307">
            <v>44794</v>
          </cell>
          <cell r="W4307">
            <v>44824</v>
          </cell>
          <cell r="Y4307">
            <v>44768</v>
          </cell>
          <cell r="AC4307">
            <v>44822</v>
          </cell>
        </row>
        <row r="4308">
          <cell r="I4308" t="str">
            <v>EDI</v>
          </cell>
          <cell r="L4308">
            <v>1242</v>
          </cell>
          <cell r="N4308" t="str">
            <v>Production</v>
          </cell>
          <cell r="O4308" t="str">
            <v>Everything Benefits</v>
          </cell>
          <cell r="P4308" t="str">
            <v>Production</v>
          </cell>
          <cell r="Q4308" t="str">
            <v>Cancelled</v>
          </cell>
          <cell r="R4308">
            <v>44704.04650462963</v>
          </cell>
          <cell r="S4308" t="str">
            <v>Mirna Azmy</v>
          </cell>
          <cell r="T4308">
            <v>44759</v>
          </cell>
          <cell r="U4308" t="str">
            <v>Melodie Coles</v>
          </cell>
          <cell r="V4308">
            <v>44868</v>
          </cell>
          <cell r="W4308">
            <v>44885</v>
          </cell>
          <cell r="Y4308">
            <v>44739</v>
          </cell>
          <cell r="AC4308">
            <v>44885</v>
          </cell>
        </row>
        <row r="4309">
          <cell r="I4309" t="str">
            <v>EDI</v>
          </cell>
          <cell r="L4309">
            <v>1225</v>
          </cell>
          <cell r="N4309" t="str">
            <v>Production</v>
          </cell>
          <cell r="O4309" t="str">
            <v>Everything Benefits</v>
          </cell>
          <cell r="P4309" t="str">
            <v>Production</v>
          </cell>
          <cell r="Q4309" t="str">
            <v>Cancelled</v>
          </cell>
          <cell r="R4309">
            <v>44704.04650462963</v>
          </cell>
          <cell r="S4309" t="str">
            <v>Fady Maged Old Account</v>
          </cell>
          <cell r="T4309">
            <v>44750</v>
          </cell>
          <cell r="U4309" t="str">
            <v>Melodie Coles</v>
          </cell>
          <cell r="V4309">
            <v>44757</v>
          </cell>
          <cell r="W4309">
            <v>44781</v>
          </cell>
          <cell r="Y4309">
            <v>44739</v>
          </cell>
          <cell r="AC4309">
            <v>44781</v>
          </cell>
        </row>
        <row r="4310">
          <cell r="I4310" t="str">
            <v>EDI</v>
          </cell>
          <cell r="N4310" t="str">
            <v>Production</v>
          </cell>
          <cell r="O4310" t="str">
            <v>No</v>
          </cell>
          <cell r="Q4310" t="str">
            <v>Cancelled</v>
          </cell>
          <cell r="R4310">
            <v>44703.549849537027</v>
          </cell>
          <cell r="S4310" t="str">
            <v>Dina Medhat</v>
          </cell>
          <cell r="T4310">
            <v>44703</v>
          </cell>
          <cell r="U4310" t="str">
            <v>Billy Smith</v>
          </cell>
          <cell r="AC4310">
            <v>44703</v>
          </cell>
        </row>
        <row r="4311">
          <cell r="I4311" t="str">
            <v>EDI</v>
          </cell>
          <cell r="N4311" t="str">
            <v>Requirements Gathering</v>
          </cell>
          <cell r="O4311" t="str">
            <v>No</v>
          </cell>
          <cell r="Q4311" t="str">
            <v>Cancelled</v>
          </cell>
          <cell r="R4311">
            <v>44700.865254629629</v>
          </cell>
          <cell r="S4311" t="str">
            <v>Sandra Adel</v>
          </cell>
          <cell r="T4311">
            <v>44703</v>
          </cell>
          <cell r="U4311" t="str">
            <v>Miranda Naeem</v>
          </cell>
        </row>
        <row r="4312">
          <cell r="I4312" t="str">
            <v>EDI</v>
          </cell>
          <cell r="L4312">
            <v>1107</v>
          </cell>
          <cell r="N4312" t="str">
            <v>Production</v>
          </cell>
          <cell r="O4312" t="str">
            <v>No</v>
          </cell>
          <cell r="Q4312" t="str">
            <v>Cancelled</v>
          </cell>
          <cell r="R4312">
            <v>44700.865243055552</v>
          </cell>
          <cell r="S4312" t="str">
            <v>Omar Elmahalwy Old Account</v>
          </cell>
          <cell r="T4312">
            <v>44724</v>
          </cell>
          <cell r="U4312" t="str">
            <v>Miranda Naeem</v>
          </cell>
          <cell r="V4312">
            <v>44732</v>
          </cell>
          <cell r="W4312">
            <v>44775</v>
          </cell>
          <cell r="Y4312">
            <v>44721</v>
          </cell>
          <cell r="AC4312">
            <v>44774</v>
          </cell>
        </row>
        <row r="4313">
          <cell r="I4313" t="str">
            <v>EDI</v>
          </cell>
          <cell r="L4313">
            <v>1125</v>
          </cell>
          <cell r="N4313" t="str">
            <v>Testing</v>
          </cell>
          <cell r="O4313" t="str">
            <v>No</v>
          </cell>
          <cell r="Q4313" t="str">
            <v>Cancelled</v>
          </cell>
          <cell r="R4313">
            <v>44700.865243055552</v>
          </cell>
          <cell r="S4313" t="str">
            <v>Mina George</v>
          </cell>
          <cell r="T4313">
            <v>44889</v>
          </cell>
          <cell r="U4313" t="str">
            <v>Miranda Naeem</v>
          </cell>
          <cell r="V4313">
            <v>44740</v>
          </cell>
          <cell r="Y4313">
            <v>44728</v>
          </cell>
        </row>
        <row r="4314">
          <cell r="I4314" t="str">
            <v>EDI</v>
          </cell>
          <cell r="L4314">
            <v>1052</v>
          </cell>
          <cell r="N4314" t="str">
            <v>Production</v>
          </cell>
          <cell r="O4314" t="str">
            <v>No</v>
          </cell>
          <cell r="Q4314" t="str">
            <v>Cancelled</v>
          </cell>
          <cell r="R4314">
            <v>44700.865243055552</v>
          </cell>
          <cell r="S4314" t="str">
            <v>Omar Elmahalwy Old Account</v>
          </cell>
          <cell r="T4314">
            <v>44712</v>
          </cell>
          <cell r="U4314" t="str">
            <v>Miranda Naeem</v>
          </cell>
          <cell r="V4314">
            <v>25569</v>
          </cell>
          <cell r="W4314">
            <v>44866</v>
          </cell>
          <cell r="Y4314">
            <v>44712</v>
          </cell>
          <cell r="AC4314">
            <v>44861</v>
          </cell>
        </row>
        <row r="4315">
          <cell r="I4315" t="str">
            <v>EDI</v>
          </cell>
          <cell r="N4315" t="str">
            <v>Pending Start</v>
          </cell>
          <cell r="O4315" t="str">
            <v>Everything Benefits</v>
          </cell>
          <cell r="P4315" t="str">
            <v>Map Under Review</v>
          </cell>
          <cell r="Q4315" t="str">
            <v>Cancelled</v>
          </cell>
          <cell r="R4315">
            <v>44700.852812500001</v>
          </cell>
          <cell r="U4315" t="str">
            <v>Billy Smith</v>
          </cell>
        </row>
        <row r="4316">
          <cell r="I4316" t="str">
            <v>EDI</v>
          </cell>
          <cell r="L4316">
            <v>1016</v>
          </cell>
          <cell r="N4316" t="str">
            <v>Production</v>
          </cell>
          <cell r="O4316" t="str">
            <v>No</v>
          </cell>
          <cell r="Q4316" t="str">
            <v>Live</v>
          </cell>
          <cell r="R4316">
            <v>44700.843414351853</v>
          </cell>
          <cell r="S4316" t="str">
            <v>Andrew Ramy</v>
          </cell>
          <cell r="T4316">
            <v>44705</v>
          </cell>
          <cell r="U4316" t="str">
            <v>Miranda Naeem</v>
          </cell>
          <cell r="V4316">
            <v>44725</v>
          </cell>
          <cell r="W4316">
            <v>44960</v>
          </cell>
          <cell r="Y4316">
            <v>44705</v>
          </cell>
          <cell r="AC4316">
            <v>44949</v>
          </cell>
        </row>
        <row r="4317">
          <cell r="I4317" t="str">
            <v>EDI</v>
          </cell>
          <cell r="L4317">
            <v>1013</v>
          </cell>
          <cell r="N4317" t="str">
            <v>Production</v>
          </cell>
          <cell r="O4317" t="str">
            <v>No</v>
          </cell>
          <cell r="Q4317" t="str">
            <v>Live</v>
          </cell>
          <cell r="R4317">
            <v>44700.843402777777</v>
          </cell>
          <cell r="S4317" t="str">
            <v>Aya Fathy</v>
          </cell>
          <cell r="T4317">
            <v>44705</v>
          </cell>
          <cell r="U4317" t="str">
            <v>Miranda Naeem</v>
          </cell>
          <cell r="V4317">
            <v>44724</v>
          </cell>
          <cell r="W4317">
            <v>44754</v>
          </cell>
          <cell r="Y4317">
            <v>44705</v>
          </cell>
          <cell r="AC4317">
            <v>44748</v>
          </cell>
        </row>
        <row r="4318">
          <cell r="I4318" t="str">
            <v>EDI</v>
          </cell>
          <cell r="N4318" t="str">
            <v>Requirements Gathering</v>
          </cell>
          <cell r="O4318" t="str">
            <v>No</v>
          </cell>
          <cell r="Q4318" t="str">
            <v>Cancelled</v>
          </cell>
          <cell r="R4318">
            <v>44700.824513888889</v>
          </cell>
          <cell r="S4318" t="str">
            <v>Lourina Edmon Old Account</v>
          </cell>
          <cell r="T4318">
            <v>44888</v>
          </cell>
          <cell r="U4318" t="str">
            <v>Miranda Naeem</v>
          </cell>
        </row>
        <row r="4319">
          <cell r="I4319" t="str">
            <v>EDI</v>
          </cell>
          <cell r="L4319">
            <v>1036</v>
          </cell>
          <cell r="N4319" t="str">
            <v>Production</v>
          </cell>
          <cell r="O4319" t="str">
            <v>No</v>
          </cell>
          <cell r="Q4319" t="str">
            <v>Cancelled</v>
          </cell>
          <cell r="R4319">
            <v>44700.824502314812</v>
          </cell>
          <cell r="S4319" t="str">
            <v>Joseph Atef Old Account</v>
          </cell>
          <cell r="T4319">
            <v>44707</v>
          </cell>
          <cell r="U4319" t="str">
            <v>Miranda Naeem</v>
          </cell>
          <cell r="V4319">
            <v>44760</v>
          </cell>
          <cell r="W4319">
            <v>44768</v>
          </cell>
          <cell r="Y4319">
            <v>44707</v>
          </cell>
          <cell r="AC4319">
            <v>44763</v>
          </cell>
        </row>
        <row r="4320">
          <cell r="I4320" t="str">
            <v>EDI</v>
          </cell>
          <cell r="L4320">
            <v>957</v>
          </cell>
          <cell r="N4320" t="str">
            <v>Production</v>
          </cell>
          <cell r="O4320" t="str">
            <v>No</v>
          </cell>
          <cell r="Q4320" t="str">
            <v>Cancelled</v>
          </cell>
          <cell r="R4320">
            <v>44700.784837962958</v>
          </cell>
          <cell r="S4320" t="str">
            <v>Dina Medhat</v>
          </cell>
          <cell r="T4320">
            <v>44704</v>
          </cell>
          <cell r="U4320" t="str">
            <v>Miranda Naeem</v>
          </cell>
          <cell r="V4320">
            <v>44735</v>
          </cell>
          <cell r="W4320">
            <v>44754</v>
          </cell>
          <cell r="AC4320">
            <v>44752</v>
          </cell>
        </row>
        <row r="4321">
          <cell r="I4321" t="str">
            <v>EDI</v>
          </cell>
          <cell r="L4321">
            <v>957</v>
          </cell>
          <cell r="N4321" t="str">
            <v>Production</v>
          </cell>
          <cell r="O4321" t="str">
            <v>No</v>
          </cell>
          <cell r="Q4321" t="str">
            <v>Cancelled</v>
          </cell>
          <cell r="R4321">
            <v>44700.78329861111</v>
          </cell>
          <cell r="S4321" t="str">
            <v>Dina Medhat</v>
          </cell>
          <cell r="T4321">
            <v>44704</v>
          </cell>
          <cell r="U4321" t="str">
            <v>Miranda Naeem</v>
          </cell>
          <cell r="V4321">
            <v>44735</v>
          </cell>
          <cell r="W4321">
            <v>44754</v>
          </cell>
          <cell r="AC4321">
            <v>44752</v>
          </cell>
        </row>
        <row r="4322">
          <cell r="I4322" t="str">
            <v>EDI</v>
          </cell>
          <cell r="L4322">
            <v>957</v>
          </cell>
          <cell r="N4322" t="str">
            <v>Production</v>
          </cell>
          <cell r="O4322" t="str">
            <v>No</v>
          </cell>
          <cell r="Q4322" t="str">
            <v>Cancelled</v>
          </cell>
          <cell r="R4322">
            <v>44700.781793981478</v>
          </cell>
          <cell r="S4322" t="str">
            <v>Dina Medhat</v>
          </cell>
          <cell r="T4322">
            <v>44704</v>
          </cell>
          <cell r="U4322" t="str">
            <v>Miranda Naeem</v>
          </cell>
          <cell r="V4322">
            <v>44735</v>
          </cell>
          <cell r="W4322">
            <v>44754</v>
          </cell>
          <cell r="AC4322">
            <v>44752</v>
          </cell>
        </row>
        <row r="4323">
          <cell r="I4323" t="str">
            <v>EDI</v>
          </cell>
          <cell r="L4323">
            <v>957</v>
          </cell>
          <cell r="N4323" t="str">
            <v>Production</v>
          </cell>
          <cell r="O4323" t="str">
            <v>No</v>
          </cell>
          <cell r="Q4323" t="str">
            <v>Cancelled</v>
          </cell>
          <cell r="R4323">
            <v>44700.780104166668</v>
          </cell>
          <cell r="S4323" t="str">
            <v>Dina Medhat</v>
          </cell>
          <cell r="T4323">
            <v>44704</v>
          </cell>
          <cell r="U4323" t="str">
            <v>Cheryl Cabana</v>
          </cell>
          <cell r="V4323">
            <v>44735</v>
          </cell>
          <cell r="W4323">
            <v>44754</v>
          </cell>
          <cell r="AC4323">
            <v>44752</v>
          </cell>
        </row>
        <row r="4324">
          <cell r="I4324" t="str">
            <v>EDI</v>
          </cell>
          <cell r="L4324">
            <v>1305</v>
          </cell>
          <cell r="N4324" t="str">
            <v>Production</v>
          </cell>
          <cell r="O4324" t="str">
            <v>No</v>
          </cell>
          <cell r="Q4324" t="str">
            <v>Live</v>
          </cell>
          <cell r="R4324">
            <v>44700.633599537039</v>
          </cell>
          <cell r="S4324" t="str">
            <v>Mina George Old Account</v>
          </cell>
          <cell r="T4324">
            <v>44771</v>
          </cell>
          <cell r="U4324" t="str">
            <v>Vicky Wright</v>
          </cell>
          <cell r="V4324">
            <v>44795</v>
          </cell>
          <cell r="W4324">
            <v>44838</v>
          </cell>
          <cell r="Y4324">
            <v>44770</v>
          </cell>
          <cell r="AC4324">
            <v>44833</v>
          </cell>
        </row>
        <row r="4325">
          <cell r="I4325" t="str">
            <v>EDI</v>
          </cell>
          <cell r="L4325">
            <v>1078</v>
          </cell>
          <cell r="N4325" t="str">
            <v>Production</v>
          </cell>
          <cell r="O4325" t="str">
            <v>No</v>
          </cell>
          <cell r="Q4325" t="str">
            <v>Live</v>
          </cell>
          <cell r="R4325">
            <v>44699.85596064815</v>
          </cell>
          <cell r="S4325" t="str">
            <v>Mina Adel Old Account</v>
          </cell>
          <cell r="T4325">
            <v>44719</v>
          </cell>
          <cell r="U4325" t="str">
            <v>Denise Stubenvoll</v>
          </cell>
          <cell r="V4325">
            <v>44812</v>
          </cell>
          <cell r="W4325">
            <v>44874</v>
          </cell>
          <cell r="Y4325">
            <v>44719</v>
          </cell>
          <cell r="AC4325">
            <v>44865</v>
          </cell>
        </row>
        <row r="4326">
          <cell r="I4326" t="str">
            <v>EDI</v>
          </cell>
          <cell r="L4326">
            <v>1019</v>
          </cell>
          <cell r="N4326" t="str">
            <v>Production</v>
          </cell>
          <cell r="O4326" t="str">
            <v>No</v>
          </cell>
          <cell r="Q4326" t="str">
            <v>Live</v>
          </cell>
          <cell r="R4326">
            <v>44699.85596064815</v>
          </cell>
          <cell r="S4326" t="str">
            <v>Mina George Old Account</v>
          </cell>
          <cell r="T4326">
            <v>44708</v>
          </cell>
          <cell r="U4326" t="str">
            <v>Denise Stubenvoll</v>
          </cell>
          <cell r="V4326">
            <v>44714</v>
          </cell>
          <cell r="W4326">
            <v>44734</v>
          </cell>
          <cell r="Y4326">
            <v>44705</v>
          </cell>
          <cell r="AC4326">
            <v>44728</v>
          </cell>
        </row>
        <row r="4327">
          <cell r="I4327" t="str">
            <v>EDI</v>
          </cell>
          <cell r="N4327" t="str">
            <v>Requirements Gathering</v>
          </cell>
          <cell r="O4327" t="str">
            <v>No</v>
          </cell>
          <cell r="Q4327" t="str">
            <v>Cancelled</v>
          </cell>
          <cell r="R4327">
            <v>44699.85596064815</v>
          </cell>
          <cell r="S4327" t="str">
            <v>Sandra Adel</v>
          </cell>
          <cell r="T4327">
            <v>44700</v>
          </cell>
          <cell r="U4327" t="str">
            <v>Denise Stubenvoll</v>
          </cell>
        </row>
        <row r="4328">
          <cell r="I4328" t="str">
            <v>EDI</v>
          </cell>
          <cell r="L4328">
            <v>1091</v>
          </cell>
          <cell r="N4328" t="str">
            <v>Production</v>
          </cell>
          <cell r="O4328" t="str">
            <v>No</v>
          </cell>
          <cell r="Q4328" t="str">
            <v>Cancelled</v>
          </cell>
          <cell r="R4328">
            <v>44699.723946759259</v>
          </cell>
          <cell r="S4328" t="str">
            <v>Andrew Ramy</v>
          </cell>
          <cell r="T4328">
            <v>44720</v>
          </cell>
          <cell r="U4328" t="str">
            <v>Denise Stubenvoll</v>
          </cell>
          <cell r="V4328">
            <v>44853</v>
          </cell>
          <cell r="W4328">
            <v>44916</v>
          </cell>
          <cell r="Y4328">
            <v>44720</v>
          </cell>
          <cell r="AC4328">
            <v>44910</v>
          </cell>
        </row>
        <row r="4329">
          <cell r="I4329" t="str">
            <v>EDI</v>
          </cell>
          <cell r="L4329">
            <v>1087</v>
          </cell>
          <cell r="N4329" t="str">
            <v>Testing</v>
          </cell>
          <cell r="O4329" t="str">
            <v>No</v>
          </cell>
          <cell r="Q4329" t="str">
            <v>Cancelled</v>
          </cell>
          <cell r="R4329">
            <v>44699.723935185182</v>
          </cell>
          <cell r="S4329" t="str">
            <v>Mina Adel</v>
          </cell>
          <cell r="T4329">
            <v>44888</v>
          </cell>
          <cell r="U4329" t="str">
            <v>Denise Stubenvoll</v>
          </cell>
          <cell r="Y4329">
            <v>44719</v>
          </cell>
        </row>
        <row r="4330">
          <cell r="I4330" t="str">
            <v>EDI</v>
          </cell>
          <cell r="N4330" t="str">
            <v>Requirements Gathering</v>
          </cell>
          <cell r="O4330" t="str">
            <v>No</v>
          </cell>
          <cell r="Q4330" t="str">
            <v>Cancelled</v>
          </cell>
          <cell r="R4330">
            <v>44699.723935185182</v>
          </cell>
          <cell r="S4330" t="str">
            <v>Lourina Edmon Old Account</v>
          </cell>
          <cell r="T4330">
            <v>44888</v>
          </cell>
          <cell r="U4330" t="str">
            <v>Denise Stubenvoll</v>
          </cell>
        </row>
        <row r="4331">
          <cell r="I4331" t="str">
            <v>EDI</v>
          </cell>
          <cell r="L4331">
            <v>906</v>
          </cell>
          <cell r="N4331" t="str">
            <v>Production</v>
          </cell>
          <cell r="O4331" t="str">
            <v>Everything Benefits</v>
          </cell>
          <cell r="P4331" t="str">
            <v>Production</v>
          </cell>
          <cell r="Q4331" t="str">
            <v>Cancelled</v>
          </cell>
          <cell r="R4331">
            <v>44691.504444444443</v>
          </cell>
          <cell r="S4331" t="str">
            <v>Mohamed Abdelhamed</v>
          </cell>
          <cell r="T4331">
            <v>44691</v>
          </cell>
          <cell r="U4331" t="str">
            <v>Melodie Coles</v>
          </cell>
          <cell r="V4331">
            <v>44739</v>
          </cell>
          <cell r="W4331">
            <v>25569</v>
          </cell>
          <cell r="AC4331">
            <v>44790</v>
          </cell>
        </row>
        <row r="4332">
          <cell r="I4332" t="str">
            <v>EDI</v>
          </cell>
          <cell r="L4332">
            <v>926</v>
          </cell>
          <cell r="N4332" t="str">
            <v>Production</v>
          </cell>
          <cell r="O4332" t="str">
            <v>eBenefits Network</v>
          </cell>
          <cell r="P4332" t="str">
            <v>Production</v>
          </cell>
          <cell r="Q4332" t="str">
            <v>Cancelled</v>
          </cell>
          <cell r="R4332">
            <v>44688.822337962964</v>
          </cell>
          <cell r="S4332" t="str">
            <v>Ahmed Gamal</v>
          </cell>
          <cell r="T4332">
            <v>44691</v>
          </cell>
          <cell r="U4332" t="str">
            <v>Billy Smith</v>
          </cell>
          <cell r="W4332">
            <v>44719</v>
          </cell>
          <cell r="AC4332">
            <v>44718</v>
          </cell>
        </row>
        <row r="4333">
          <cell r="I4333" t="str">
            <v>EDI</v>
          </cell>
          <cell r="L4333">
            <v>937</v>
          </cell>
          <cell r="N4333" t="str">
            <v>Production</v>
          </cell>
          <cell r="O4333" t="str">
            <v>eBenefits Network</v>
          </cell>
          <cell r="P4333" t="str">
            <v>Production</v>
          </cell>
          <cell r="Q4333" t="str">
            <v>Cancelled</v>
          </cell>
          <cell r="R4333">
            <v>44688.664780092593</v>
          </cell>
          <cell r="S4333" t="str">
            <v>Amira Elshora Old Account</v>
          </cell>
          <cell r="T4333">
            <v>44691</v>
          </cell>
          <cell r="U4333" t="str">
            <v>Billy Smith</v>
          </cell>
          <cell r="V4333">
            <v>44694</v>
          </cell>
          <cell r="W4333">
            <v>44768</v>
          </cell>
          <cell r="AC4333">
            <v>44727</v>
          </cell>
        </row>
        <row r="4334">
          <cell r="I4334" t="str">
            <v>EDI</v>
          </cell>
          <cell r="L4334">
            <v>954</v>
          </cell>
          <cell r="N4334" t="str">
            <v>Production</v>
          </cell>
          <cell r="O4334" t="str">
            <v>No</v>
          </cell>
          <cell r="Q4334" t="str">
            <v>Live</v>
          </cell>
          <cell r="R4334">
            <v>44687.75341435185</v>
          </cell>
          <cell r="S4334" t="str">
            <v>Aya Fathy</v>
          </cell>
          <cell r="T4334">
            <v>44696</v>
          </cell>
          <cell r="U4334" t="str">
            <v>Denise Stubenvoll</v>
          </cell>
          <cell r="V4334">
            <v>44714</v>
          </cell>
          <cell r="W4334">
            <v>44734</v>
          </cell>
          <cell r="Y4334">
            <v>44689</v>
          </cell>
          <cell r="AC4334">
            <v>44728</v>
          </cell>
        </row>
        <row r="4335">
          <cell r="I4335" t="str">
            <v>EDI</v>
          </cell>
          <cell r="L4335">
            <v>977</v>
          </cell>
          <cell r="N4335" t="str">
            <v>Production</v>
          </cell>
          <cell r="O4335" t="str">
            <v>No</v>
          </cell>
          <cell r="Q4335" t="str">
            <v>Live</v>
          </cell>
          <cell r="R4335">
            <v>44687.75341435185</v>
          </cell>
          <cell r="S4335" t="str">
            <v>Haytham Mohamed</v>
          </cell>
          <cell r="T4335">
            <v>44698</v>
          </cell>
          <cell r="U4335" t="str">
            <v>Denise Stubenvoll</v>
          </cell>
          <cell r="V4335">
            <v>44724</v>
          </cell>
          <cell r="W4335">
            <v>25569</v>
          </cell>
          <cell r="Y4335">
            <v>44690</v>
          </cell>
          <cell r="AC4335">
            <v>44795</v>
          </cell>
        </row>
        <row r="4336">
          <cell r="I4336" t="str">
            <v>EDI</v>
          </cell>
          <cell r="L4336">
            <v>961</v>
          </cell>
          <cell r="N4336" t="str">
            <v>Production</v>
          </cell>
          <cell r="O4336" t="str">
            <v>No</v>
          </cell>
          <cell r="Q4336" t="str">
            <v>Live</v>
          </cell>
          <cell r="R4336">
            <v>44687.75341435185</v>
          </cell>
          <cell r="S4336" t="str">
            <v>Aya Fathy</v>
          </cell>
          <cell r="T4336">
            <v>44697</v>
          </cell>
          <cell r="U4336" t="str">
            <v>Denise Stubenvoll</v>
          </cell>
          <cell r="V4336">
            <v>25569</v>
          </cell>
          <cell r="W4336">
            <v>44881</v>
          </cell>
          <cell r="Y4336">
            <v>44691</v>
          </cell>
          <cell r="AC4336">
            <v>44879</v>
          </cell>
        </row>
        <row r="4337">
          <cell r="I4337" t="str">
            <v>EDI</v>
          </cell>
          <cell r="N4337" t="str">
            <v>Pending Start</v>
          </cell>
          <cell r="O4337" t="str">
            <v>Everything Benefits</v>
          </cell>
          <cell r="P4337" t="str">
            <v>Map Under Review</v>
          </cell>
          <cell r="Q4337" t="str">
            <v>Cancelled</v>
          </cell>
          <cell r="R4337">
            <v>44687.712800925918</v>
          </cell>
          <cell r="U4337" t="str">
            <v>Billy Smith</v>
          </cell>
        </row>
        <row r="4338">
          <cell r="I4338" t="str">
            <v>EDI</v>
          </cell>
          <cell r="N4338" t="str">
            <v>Pending Start</v>
          </cell>
          <cell r="O4338" t="str">
            <v>Everything Benefits</v>
          </cell>
          <cell r="P4338" t="str">
            <v>Map Under Review</v>
          </cell>
          <cell r="Q4338" t="str">
            <v>Cancelled</v>
          </cell>
          <cell r="R4338">
            <v>44687.712789351863</v>
          </cell>
          <cell r="U4338" t="str">
            <v>Billy Smith</v>
          </cell>
        </row>
        <row r="4339">
          <cell r="I4339" t="str">
            <v>EDI</v>
          </cell>
          <cell r="N4339" t="str">
            <v>Pending Start</v>
          </cell>
          <cell r="O4339" t="str">
            <v>Everything Benefits</v>
          </cell>
          <cell r="P4339" t="str">
            <v>Map Under Review</v>
          </cell>
          <cell r="Q4339" t="str">
            <v>Cancelled</v>
          </cell>
          <cell r="R4339">
            <v>44687.712789351863</v>
          </cell>
          <cell r="U4339" t="str">
            <v>Billy Smith</v>
          </cell>
        </row>
        <row r="4340">
          <cell r="I4340" t="str">
            <v>EDI</v>
          </cell>
          <cell r="L4340">
            <v>1480</v>
          </cell>
          <cell r="N4340" t="str">
            <v>Production</v>
          </cell>
          <cell r="O4340" t="str">
            <v>Everything Benefits</v>
          </cell>
          <cell r="P4340" t="str">
            <v>Production</v>
          </cell>
          <cell r="Q4340" t="str">
            <v>Cancelled</v>
          </cell>
          <cell r="R4340">
            <v>44687.679814814823</v>
          </cell>
          <cell r="S4340" t="str">
            <v>Tarek Medhat</v>
          </cell>
          <cell r="T4340">
            <v>44810</v>
          </cell>
          <cell r="U4340" t="str">
            <v>Billy Smith</v>
          </cell>
          <cell r="V4340">
            <v>44819</v>
          </cell>
          <cell r="W4340">
            <v>44833</v>
          </cell>
          <cell r="AC4340">
            <v>44829</v>
          </cell>
        </row>
        <row r="4341">
          <cell r="I4341" t="str">
            <v>EDI</v>
          </cell>
          <cell r="L4341">
            <v>1502</v>
          </cell>
          <cell r="N4341" t="str">
            <v>Production</v>
          </cell>
          <cell r="O4341" t="str">
            <v>Everything Benefits</v>
          </cell>
          <cell r="P4341" t="str">
            <v>Production</v>
          </cell>
          <cell r="Q4341" t="str">
            <v>Cancelled</v>
          </cell>
          <cell r="R4341">
            <v>44687.679814814823</v>
          </cell>
          <cell r="S4341" t="str">
            <v>Mohamed Abdelhamed</v>
          </cell>
          <cell r="T4341">
            <v>44815</v>
          </cell>
          <cell r="U4341" t="str">
            <v>Billy Smith</v>
          </cell>
          <cell r="V4341">
            <v>44815</v>
          </cell>
          <cell r="W4341">
            <v>44963</v>
          </cell>
          <cell r="AC4341">
            <v>44962</v>
          </cell>
        </row>
        <row r="4342">
          <cell r="I4342" t="str">
            <v>EDI</v>
          </cell>
          <cell r="L4342">
            <v>1487</v>
          </cell>
          <cell r="N4342" t="str">
            <v>Production</v>
          </cell>
          <cell r="O4342" t="str">
            <v>Everything Benefits</v>
          </cell>
          <cell r="P4342" t="str">
            <v>Production</v>
          </cell>
          <cell r="Q4342" t="str">
            <v>Cancelled</v>
          </cell>
          <cell r="R4342">
            <v>44687.679803240739</v>
          </cell>
          <cell r="S4342" t="str">
            <v>Mohamed Abdelhamed</v>
          </cell>
          <cell r="T4342">
            <v>44943</v>
          </cell>
          <cell r="U4342" t="str">
            <v>Billy Smith</v>
          </cell>
          <cell r="V4342">
            <v>44812</v>
          </cell>
          <cell r="W4342">
            <v>44959</v>
          </cell>
          <cell r="AC4342">
            <v>44955</v>
          </cell>
        </row>
        <row r="4343">
          <cell r="I4343" t="str">
            <v>EDI</v>
          </cell>
          <cell r="L4343">
            <v>1490</v>
          </cell>
          <cell r="N4343" t="str">
            <v>Testing</v>
          </cell>
          <cell r="O4343" t="str">
            <v>Everything Benefits</v>
          </cell>
          <cell r="P4343" t="str">
            <v>Migration Testing</v>
          </cell>
          <cell r="Q4343" t="str">
            <v>Cancelled</v>
          </cell>
          <cell r="R4343">
            <v>44687.679803240739</v>
          </cell>
          <cell r="S4343" t="str">
            <v>Hazem Rostom</v>
          </cell>
          <cell r="T4343">
            <v>44956</v>
          </cell>
          <cell r="U4343" t="str">
            <v>Billy Smith</v>
          </cell>
          <cell r="V4343">
            <v>44844</v>
          </cell>
          <cell r="Y4343">
            <v>44811</v>
          </cell>
        </row>
        <row r="4344">
          <cell r="I4344" t="str">
            <v>EDI</v>
          </cell>
          <cell r="L4344">
            <v>1517</v>
          </cell>
          <cell r="N4344" t="str">
            <v>Testing</v>
          </cell>
          <cell r="O4344" t="str">
            <v>Everything Benefits</v>
          </cell>
          <cell r="P4344" t="str">
            <v>Migration Testing</v>
          </cell>
          <cell r="Q4344" t="str">
            <v>Cancelled</v>
          </cell>
          <cell r="R4344">
            <v>44687.679791666669</v>
          </cell>
          <cell r="S4344" t="str">
            <v>Tarek Medhat</v>
          </cell>
          <cell r="T4344">
            <v>44956</v>
          </cell>
          <cell r="U4344" t="str">
            <v>Billy Smith</v>
          </cell>
          <cell r="V4344">
            <v>44861</v>
          </cell>
        </row>
        <row r="4345">
          <cell r="I4345" t="str">
            <v>EDI</v>
          </cell>
          <cell r="L4345">
            <v>1506</v>
          </cell>
          <cell r="N4345" t="str">
            <v>Production</v>
          </cell>
          <cell r="O4345" t="str">
            <v>Everything Benefits</v>
          </cell>
          <cell r="P4345" t="str">
            <v>Production</v>
          </cell>
          <cell r="Q4345" t="str">
            <v>Live</v>
          </cell>
          <cell r="R4345">
            <v>44687.675104166658</v>
          </cell>
          <cell r="S4345" t="str">
            <v>Alaa Yehia</v>
          </cell>
          <cell r="T4345">
            <v>44812</v>
          </cell>
          <cell r="U4345" t="str">
            <v>Billy Smith</v>
          </cell>
          <cell r="V4345">
            <v>44827</v>
          </cell>
          <cell r="W4345">
            <v>44921</v>
          </cell>
          <cell r="AC4345">
            <v>44920</v>
          </cell>
        </row>
        <row r="4346">
          <cell r="I4346" t="str">
            <v>EDI</v>
          </cell>
          <cell r="L4346">
            <v>1491</v>
          </cell>
          <cell r="N4346" t="str">
            <v>Production</v>
          </cell>
          <cell r="O4346" t="str">
            <v>Everything Benefits</v>
          </cell>
          <cell r="P4346" t="str">
            <v>Production</v>
          </cell>
          <cell r="Q4346" t="str">
            <v>Cancelled</v>
          </cell>
          <cell r="R4346">
            <v>44687.675104166658</v>
          </cell>
          <cell r="S4346" t="str">
            <v>Mahmoud Ahmed</v>
          </cell>
          <cell r="T4346">
            <v>44812</v>
          </cell>
          <cell r="U4346" t="str">
            <v>Billy Smith</v>
          </cell>
          <cell r="V4346">
            <v>44865</v>
          </cell>
          <cell r="W4346">
            <v>45068</v>
          </cell>
          <cell r="Y4346">
            <v>44812</v>
          </cell>
          <cell r="AC4346">
            <v>45067</v>
          </cell>
        </row>
        <row r="4347">
          <cell r="I4347" t="str">
            <v>EDI</v>
          </cell>
          <cell r="L4347">
            <v>1513</v>
          </cell>
          <cell r="N4347" t="str">
            <v>Production</v>
          </cell>
          <cell r="O4347" t="str">
            <v>Everything Benefits</v>
          </cell>
          <cell r="P4347" t="str">
            <v>Production</v>
          </cell>
          <cell r="Q4347" t="str">
            <v>Cancelled</v>
          </cell>
          <cell r="R4347">
            <v>44687.671770833331</v>
          </cell>
          <cell r="S4347" t="str">
            <v>Tarek Medhat</v>
          </cell>
          <cell r="T4347">
            <v>44816</v>
          </cell>
          <cell r="U4347" t="str">
            <v>Billy Smith</v>
          </cell>
          <cell r="V4347">
            <v>44816</v>
          </cell>
          <cell r="W4347">
            <v>44970</v>
          </cell>
          <cell r="AC4347">
            <v>44969</v>
          </cell>
        </row>
        <row r="4348">
          <cell r="I4348" t="str">
            <v>EDI</v>
          </cell>
          <cell r="L4348">
            <v>1522</v>
          </cell>
          <cell r="N4348" t="str">
            <v>Production</v>
          </cell>
          <cell r="O4348" t="str">
            <v>Everything Benefits</v>
          </cell>
          <cell r="P4348" t="str">
            <v>Production</v>
          </cell>
          <cell r="Q4348" t="str">
            <v>Cancelled</v>
          </cell>
          <cell r="R4348">
            <v>44687.651041666657</v>
          </cell>
          <cell r="S4348" t="str">
            <v>Hazem Rostom</v>
          </cell>
          <cell r="T4348">
            <v>44943</v>
          </cell>
          <cell r="U4348" t="str">
            <v>Billy Smith</v>
          </cell>
          <cell r="V4348">
            <v>44832</v>
          </cell>
          <cell r="W4348">
            <v>44988</v>
          </cell>
          <cell r="AC4348">
            <v>44983</v>
          </cell>
        </row>
        <row r="4349">
          <cell r="I4349" t="str">
            <v>EDI</v>
          </cell>
          <cell r="L4349">
            <v>1521</v>
          </cell>
          <cell r="N4349" t="str">
            <v>Production</v>
          </cell>
          <cell r="O4349" t="str">
            <v>Everything Benefits</v>
          </cell>
          <cell r="P4349" t="str">
            <v>Production</v>
          </cell>
          <cell r="Q4349" t="str">
            <v>Cancelled</v>
          </cell>
          <cell r="R4349">
            <v>44687.650636574072</v>
          </cell>
          <cell r="S4349" t="str">
            <v>Hazem Rostom</v>
          </cell>
          <cell r="T4349">
            <v>44943</v>
          </cell>
          <cell r="U4349" t="str">
            <v>Billy Smith</v>
          </cell>
          <cell r="V4349">
            <v>44826</v>
          </cell>
          <cell r="W4349">
            <v>44988</v>
          </cell>
          <cell r="AC4349">
            <v>44983</v>
          </cell>
        </row>
        <row r="4350">
          <cell r="I4350" t="str">
            <v>EDI</v>
          </cell>
          <cell r="L4350">
            <v>1494</v>
          </cell>
          <cell r="N4350" t="str">
            <v>Production</v>
          </cell>
          <cell r="O4350" t="str">
            <v>Everything Benefits</v>
          </cell>
          <cell r="P4350" t="str">
            <v>Production</v>
          </cell>
          <cell r="Q4350" t="str">
            <v>Live</v>
          </cell>
          <cell r="R4350">
            <v>44687.650289351863</v>
          </cell>
          <cell r="S4350" t="str">
            <v>Nada Ashraf</v>
          </cell>
          <cell r="T4350">
            <v>44812</v>
          </cell>
          <cell r="U4350" t="str">
            <v>Billy Smith</v>
          </cell>
          <cell r="V4350">
            <v>44826</v>
          </cell>
          <cell r="W4350">
            <v>45005</v>
          </cell>
          <cell r="AC4350">
            <v>45004</v>
          </cell>
        </row>
        <row r="4351">
          <cell r="I4351" t="str">
            <v>EDI</v>
          </cell>
          <cell r="L4351">
            <v>1520</v>
          </cell>
          <cell r="N4351" t="str">
            <v>Production</v>
          </cell>
          <cell r="O4351" t="str">
            <v>Everything Benefits</v>
          </cell>
          <cell r="P4351" t="str">
            <v>Production</v>
          </cell>
          <cell r="Q4351" t="str">
            <v>Cancelled</v>
          </cell>
          <cell r="R4351">
            <v>44687.650289351863</v>
          </cell>
          <cell r="S4351" t="str">
            <v>Hazem Rostom</v>
          </cell>
          <cell r="T4351">
            <v>44943</v>
          </cell>
          <cell r="U4351" t="str">
            <v>Billy Smith</v>
          </cell>
          <cell r="V4351">
            <v>44818</v>
          </cell>
          <cell r="W4351">
            <v>44988</v>
          </cell>
          <cell r="AC4351">
            <v>44983</v>
          </cell>
        </row>
        <row r="4352">
          <cell r="I4352" t="str">
            <v>EDI</v>
          </cell>
          <cell r="L4352">
            <v>1481</v>
          </cell>
          <cell r="N4352" t="str">
            <v>Production</v>
          </cell>
          <cell r="O4352" t="str">
            <v>Everything Benefits</v>
          </cell>
          <cell r="P4352" t="str">
            <v>Production</v>
          </cell>
          <cell r="Q4352" t="str">
            <v>Live</v>
          </cell>
          <cell r="R4352">
            <v>44687.645509259259</v>
          </cell>
          <cell r="S4352" t="str">
            <v>Mohamed Abdelhamed</v>
          </cell>
          <cell r="T4352">
            <v>44811</v>
          </cell>
          <cell r="U4352" t="str">
            <v>Billy Smith</v>
          </cell>
          <cell r="W4352">
            <v>44830</v>
          </cell>
          <cell r="AC4352">
            <v>44829</v>
          </cell>
        </row>
        <row r="4353">
          <cell r="I4353" t="str">
            <v>EDI</v>
          </cell>
          <cell r="L4353">
            <v>991</v>
          </cell>
          <cell r="N4353" t="str">
            <v>Production</v>
          </cell>
          <cell r="O4353" t="str">
            <v>No</v>
          </cell>
          <cell r="Q4353" t="str">
            <v>Live</v>
          </cell>
          <cell r="R4353">
            <v>44687.643136574072</v>
          </cell>
          <cell r="S4353" t="str">
            <v>Andrew Ramy</v>
          </cell>
          <cell r="T4353">
            <v>44699</v>
          </cell>
          <cell r="V4353">
            <v>25569</v>
          </cell>
          <cell r="W4353">
            <v>44815</v>
          </cell>
          <cell r="Y4353">
            <v>44699</v>
          </cell>
          <cell r="AC4353">
            <v>44815</v>
          </cell>
        </row>
        <row r="4354">
          <cell r="I4354" t="str">
            <v>EDI</v>
          </cell>
          <cell r="L4354">
            <v>959</v>
          </cell>
          <cell r="N4354" t="str">
            <v>Production</v>
          </cell>
          <cell r="O4354" t="str">
            <v>No</v>
          </cell>
          <cell r="Q4354" t="str">
            <v>Cancelled</v>
          </cell>
          <cell r="R4354">
            <v>44687.643125000002</v>
          </cell>
          <cell r="S4354" t="str">
            <v>Andrew Ramy</v>
          </cell>
          <cell r="T4354">
            <v>44696</v>
          </cell>
          <cell r="V4354">
            <v>44718</v>
          </cell>
          <cell r="W4354">
            <v>44852</v>
          </cell>
          <cell r="Y4354">
            <v>44691</v>
          </cell>
          <cell r="AC4354">
            <v>44849</v>
          </cell>
        </row>
        <row r="4355">
          <cell r="I4355" t="str">
            <v>EDI</v>
          </cell>
          <cell r="L4355">
            <v>1493</v>
          </cell>
          <cell r="N4355" t="str">
            <v>Production</v>
          </cell>
          <cell r="O4355" t="str">
            <v>Everything Benefits</v>
          </cell>
          <cell r="P4355" t="str">
            <v>Production</v>
          </cell>
          <cell r="Q4355" t="str">
            <v>Cancelled</v>
          </cell>
          <cell r="R4355">
            <v>44687.628298611111</v>
          </cell>
          <cell r="S4355" t="str">
            <v>Salma Yamani</v>
          </cell>
          <cell r="T4355">
            <v>44812</v>
          </cell>
          <cell r="U4355" t="str">
            <v>Trish Kalinczok</v>
          </cell>
          <cell r="V4355">
            <v>44837</v>
          </cell>
          <cell r="W4355">
            <v>45215</v>
          </cell>
          <cell r="Y4355">
            <v>44812</v>
          </cell>
          <cell r="AC4355">
            <v>45214</v>
          </cell>
        </row>
        <row r="4356">
          <cell r="I4356" t="str">
            <v>EDI</v>
          </cell>
          <cell r="L4356">
            <v>1492</v>
          </cell>
          <cell r="N4356" t="str">
            <v>Production</v>
          </cell>
          <cell r="O4356" t="str">
            <v>Everything Benefits</v>
          </cell>
          <cell r="P4356" t="str">
            <v>Production</v>
          </cell>
          <cell r="Q4356" t="str">
            <v>Cancelled</v>
          </cell>
          <cell r="R4356">
            <v>44687.628298611111</v>
          </cell>
          <cell r="S4356" t="str">
            <v>Amira Elshora</v>
          </cell>
          <cell r="T4356">
            <v>44888</v>
          </cell>
          <cell r="U4356" t="str">
            <v>Billy Smith</v>
          </cell>
          <cell r="V4356">
            <v>44812</v>
          </cell>
          <cell r="W4356">
            <v>44977</v>
          </cell>
          <cell r="Y4356">
            <v>44811</v>
          </cell>
          <cell r="AC4356">
            <v>44976</v>
          </cell>
        </row>
        <row r="4357">
          <cell r="I4357" t="str">
            <v>EDI</v>
          </cell>
          <cell r="L4357">
            <v>1467</v>
          </cell>
          <cell r="N4357" t="str">
            <v>Testing</v>
          </cell>
          <cell r="O4357" t="str">
            <v>Everything Benefits</v>
          </cell>
          <cell r="P4357" t="str">
            <v>Migration Testing</v>
          </cell>
          <cell r="Q4357" t="str">
            <v>Cancelled</v>
          </cell>
          <cell r="R4357">
            <v>44687.609895833331</v>
          </cell>
          <cell r="S4357" t="str">
            <v>Zeyad Khaled</v>
          </cell>
          <cell r="T4357">
            <v>44808</v>
          </cell>
          <cell r="U4357" t="str">
            <v>Billy Smith</v>
          </cell>
          <cell r="V4357">
            <v>44820</v>
          </cell>
          <cell r="Y4357">
            <v>44808</v>
          </cell>
        </row>
        <row r="4358">
          <cell r="I4358" t="str">
            <v>EDI</v>
          </cell>
          <cell r="L4358">
            <v>1515</v>
          </cell>
          <cell r="N4358" t="str">
            <v>Production</v>
          </cell>
          <cell r="O4358" t="str">
            <v>Everything Benefits</v>
          </cell>
          <cell r="P4358" t="str">
            <v>Production</v>
          </cell>
          <cell r="Q4358" t="str">
            <v>Live</v>
          </cell>
          <cell r="R4358">
            <v>44687.609895833331</v>
          </cell>
          <cell r="S4358" t="str">
            <v>Hazem Rostom</v>
          </cell>
          <cell r="T4358">
            <v>44811</v>
          </cell>
          <cell r="U4358" t="str">
            <v>Billy Smith</v>
          </cell>
          <cell r="W4358">
            <v>44868</v>
          </cell>
          <cell r="AC4358">
            <v>44868</v>
          </cell>
        </row>
        <row r="4359">
          <cell r="I4359" t="str">
            <v>EDI</v>
          </cell>
          <cell r="L4359">
            <v>1527</v>
          </cell>
          <cell r="N4359" t="str">
            <v>Production</v>
          </cell>
          <cell r="O4359" t="str">
            <v>Everything Benefits</v>
          </cell>
          <cell r="P4359" t="str">
            <v>Production</v>
          </cell>
          <cell r="Q4359" t="str">
            <v>Live</v>
          </cell>
          <cell r="R4359">
            <v>44687.609895833331</v>
          </cell>
          <cell r="S4359" t="str">
            <v>Karim Tarek</v>
          </cell>
          <cell r="T4359">
            <v>44879</v>
          </cell>
          <cell r="U4359" t="str">
            <v>Billy Smith</v>
          </cell>
          <cell r="V4359">
            <v>44826</v>
          </cell>
          <cell r="W4359">
            <v>45054</v>
          </cell>
          <cell r="AC4359">
            <v>45053</v>
          </cell>
        </row>
        <row r="4360">
          <cell r="I4360" t="str">
            <v>EDI</v>
          </cell>
          <cell r="L4360">
            <v>1488</v>
          </cell>
          <cell r="N4360" t="str">
            <v>Production</v>
          </cell>
          <cell r="O4360" t="str">
            <v>Everything Benefits</v>
          </cell>
          <cell r="P4360" t="str">
            <v>Production</v>
          </cell>
          <cell r="Q4360" t="str">
            <v>Live</v>
          </cell>
          <cell r="R4360">
            <v>44687.609884259262</v>
          </cell>
          <cell r="S4360" t="str">
            <v>Salma Yamani</v>
          </cell>
          <cell r="T4360">
            <v>44810</v>
          </cell>
          <cell r="U4360" t="str">
            <v>Billy Smith</v>
          </cell>
          <cell r="V4360">
            <v>44851</v>
          </cell>
          <cell r="W4360">
            <v>45054</v>
          </cell>
          <cell r="AC4360">
            <v>45053</v>
          </cell>
        </row>
        <row r="4361">
          <cell r="I4361" t="str">
            <v>EDI</v>
          </cell>
          <cell r="L4361">
            <v>1445</v>
          </cell>
          <cell r="N4361" t="str">
            <v>Production</v>
          </cell>
          <cell r="O4361" t="str">
            <v>Everything Benefits</v>
          </cell>
          <cell r="P4361" t="str">
            <v>Production</v>
          </cell>
          <cell r="Q4361" t="str">
            <v>Cancelled</v>
          </cell>
          <cell r="R4361">
            <v>44687.584618055553</v>
          </cell>
          <cell r="S4361" t="str">
            <v>Amira Elshora</v>
          </cell>
          <cell r="T4361">
            <v>44888</v>
          </cell>
          <cell r="U4361" t="str">
            <v>Trish Kalinczok</v>
          </cell>
          <cell r="V4361">
            <v>44811</v>
          </cell>
          <cell r="W4361">
            <v>45173</v>
          </cell>
          <cell r="Y4361">
            <v>44802</v>
          </cell>
          <cell r="AC4361">
            <v>45172</v>
          </cell>
        </row>
        <row r="4362">
          <cell r="I4362" t="str">
            <v>EDI</v>
          </cell>
          <cell r="L4362">
            <v>1495</v>
          </cell>
          <cell r="N4362" t="str">
            <v>Production</v>
          </cell>
          <cell r="O4362" t="str">
            <v>Everything Benefits</v>
          </cell>
          <cell r="P4362" t="str">
            <v>Production</v>
          </cell>
          <cell r="Q4362" t="str">
            <v>Cancelled</v>
          </cell>
          <cell r="R4362">
            <v>44687.584618055553</v>
          </cell>
          <cell r="S4362" t="str">
            <v>Zeyad Khaled</v>
          </cell>
          <cell r="T4362">
            <v>44810</v>
          </cell>
          <cell r="U4362" t="str">
            <v>Billy Smith</v>
          </cell>
          <cell r="V4362">
            <v>44817</v>
          </cell>
          <cell r="W4362">
            <v>45075</v>
          </cell>
          <cell r="AC4362">
            <v>45074</v>
          </cell>
        </row>
        <row r="4363">
          <cell r="I4363" t="str">
            <v>EDI</v>
          </cell>
          <cell r="L4363">
            <v>1430</v>
          </cell>
          <cell r="N4363" t="str">
            <v>Production</v>
          </cell>
          <cell r="O4363" t="str">
            <v>Everything Benefits</v>
          </cell>
          <cell r="P4363" t="str">
            <v>Production</v>
          </cell>
          <cell r="Q4363" t="str">
            <v>Live</v>
          </cell>
          <cell r="R4363">
            <v>44687.584618055553</v>
          </cell>
          <cell r="S4363" t="str">
            <v>Mohamed Abdelhamed</v>
          </cell>
          <cell r="T4363">
            <v>44801</v>
          </cell>
          <cell r="U4363" t="str">
            <v>Billy Smith</v>
          </cell>
          <cell r="V4363">
            <v>44816</v>
          </cell>
          <cell r="W4363">
            <v>44824</v>
          </cell>
          <cell r="Y4363">
            <v>44801</v>
          </cell>
          <cell r="AC4363">
            <v>44822</v>
          </cell>
        </row>
        <row r="4364">
          <cell r="I4364" t="str">
            <v>EDI</v>
          </cell>
          <cell r="L4364">
            <v>1460</v>
          </cell>
          <cell r="N4364" t="str">
            <v>Production</v>
          </cell>
          <cell r="O4364" t="str">
            <v>Everything Benefits</v>
          </cell>
          <cell r="P4364" t="str">
            <v>Production</v>
          </cell>
          <cell r="Q4364" t="str">
            <v>Live</v>
          </cell>
          <cell r="R4364">
            <v>44687.58</v>
          </cell>
          <cell r="S4364" t="str">
            <v>Salma Yamani</v>
          </cell>
          <cell r="T4364">
            <v>44943</v>
          </cell>
          <cell r="U4364" t="str">
            <v>Billy Smith</v>
          </cell>
          <cell r="V4364">
            <v>44808</v>
          </cell>
          <cell r="W4364">
            <v>45082</v>
          </cell>
          <cell r="Y4364">
            <v>44808</v>
          </cell>
          <cell r="AC4364">
            <v>45081</v>
          </cell>
        </row>
        <row r="4365">
          <cell r="I4365" t="str">
            <v>EDI</v>
          </cell>
          <cell r="L4365">
            <v>1468</v>
          </cell>
          <cell r="N4365" t="str">
            <v>Production</v>
          </cell>
          <cell r="O4365" t="str">
            <v>Everything Benefits</v>
          </cell>
          <cell r="P4365" t="str">
            <v>Production</v>
          </cell>
          <cell r="Q4365" t="str">
            <v>Live</v>
          </cell>
          <cell r="R4365">
            <v>44687.575046296297</v>
          </cell>
          <cell r="S4365" t="str">
            <v>Tarek Medhat</v>
          </cell>
          <cell r="T4365">
            <v>44809</v>
          </cell>
          <cell r="U4365" t="str">
            <v>Trish Kalinczok</v>
          </cell>
          <cell r="V4365">
            <v>44823</v>
          </cell>
          <cell r="W4365">
            <v>45289</v>
          </cell>
          <cell r="AC4365">
            <v>45277</v>
          </cell>
        </row>
        <row r="4366">
          <cell r="I4366" t="str">
            <v>EDI</v>
          </cell>
          <cell r="L4366">
            <v>1479</v>
          </cell>
          <cell r="N4366" t="str">
            <v>Testing</v>
          </cell>
          <cell r="O4366" t="str">
            <v>Everything Benefits</v>
          </cell>
          <cell r="P4366" t="str">
            <v>Phase 3</v>
          </cell>
          <cell r="Q4366" t="str">
            <v>Cancelled</v>
          </cell>
          <cell r="R4366">
            <v>44687.575046296297</v>
          </cell>
          <cell r="S4366" t="str">
            <v>Mahmoud Ahmed</v>
          </cell>
          <cell r="T4366">
            <v>44810</v>
          </cell>
          <cell r="U4366" t="str">
            <v>Billy Smith</v>
          </cell>
          <cell r="V4366">
            <v>44865</v>
          </cell>
        </row>
        <row r="4367">
          <cell r="I4367" t="str">
            <v>EDI</v>
          </cell>
          <cell r="L4367">
            <v>1477</v>
          </cell>
          <cell r="N4367" t="str">
            <v>Testing</v>
          </cell>
          <cell r="O4367" t="str">
            <v>Everything Benefits</v>
          </cell>
          <cell r="P4367" t="str">
            <v>Migration Testing</v>
          </cell>
          <cell r="Q4367" t="str">
            <v>Cancelled</v>
          </cell>
          <cell r="R4367">
            <v>44687.571111111109</v>
          </cell>
          <cell r="S4367" t="str">
            <v>Mina Kamil</v>
          </cell>
          <cell r="T4367">
            <v>44889</v>
          </cell>
          <cell r="U4367" t="str">
            <v>Billy Smith</v>
          </cell>
          <cell r="V4367">
            <v>44948</v>
          </cell>
          <cell r="Y4367">
            <v>44797</v>
          </cell>
        </row>
        <row r="4368">
          <cell r="I4368" t="str">
            <v>EDI</v>
          </cell>
          <cell r="L4368">
            <v>913</v>
          </cell>
          <cell r="N4368" t="str">
            <v>Production</v>
          </cell>
          <cell r="O4368" t="str">
            <v>eBenefits Network</v>
          </cell>
          <cell r="P4368" t="str">
            <v>Production</v>
          </cell>
          <cell r="Q4368" t="str">
            <v>Cancelled</v>
          </cell>
          <cell r="R4368">
            <v>44687.48170138889</v>
          </cell>
          <cell r="S4368" t="str">
            <v>Amira Elshora Old Account</v>
          </cell>
          <cell r="T4368">
            <v>44687</v>
          </cell>
          <cell r="U4368" t="str">
            <v>Billy Smith</v>
          </cell>
          <cell r="V4368">
            <v>44691</v>
          </cell>
          <cell r="W4368">
            <v>44706</v>
          </cell>
          <cell r="AC4368">
            <v>44703</v>
          </cell>
        </row>
        <row r="4369">
          <cell r="I4369" t="str">
            <v>EDI</v>
          </cell>
          <cell r="L4369">
            <v>920</v>
          </cell>
          <cell r="N4369" t="str">
            <v>Production</v>
          </cell>
          <cell r="O4369" t="str">
            <v>eBenefits Network</v>
          </cell>
          <cell r="P4369" t="str">
            <v>Production</v>
          </cell>
          <cell r="Q4369" t="str">
            <v>Cancelled</v>
          </cell>
          <cell r="R4369">
            <v>44687.480856481481</v>
          </cell>
          <cell r="S4369" t="str">
            <v>Amira Elshora Old Account</v>
          </cell>
          <cell r="T4369">
            <v>44687</v>
          </cell>
          <cell r="U4369" t="str">
            <v>Billy Smith</v>
          </cell>
          <cell r="V4369">
            <v>44691</v>
          </cell>
          <cell r="W4369">
            <v>44706</v>
          </cell>
          <cell r="AC4369">
            <v>44703</v>
          </cell>
        </row>
        <row r="4370">
          <cell r="I4370" t="str">
            <v>EDI</v>
          </cell>
          <cell r="L4370">
            <v>1020</v>
          </cell>
          <cell r="N4370" t="str">
            <v>Production</v>
          </cell>
          <cell r="O4370" t="str">
            <v>No</v>
          </cell>
          <cell r="Q4370" t="str">
            <v>Live</v>
          </cell>
          <cell r="R4370">
            <v>44686.562175925923</v>
          </cell>
          <cell r="S4370" t="str">
            <v>Andrew Ramy</v>
          </cell>
          <cell r="T4370">
            <v>44707</v>
          </cell>
          <cell r="U4370" t="str">
            <v>Miranda Naeem</v>
          </cell>
          <cell r="V4370">
            <v>44718</v>
          </cell>
          <cell r="W4370">
            <v>25569</v>
          </cell>
          <cell r="Y4370">
            <v>44706</v>
          </cell>
          <cell r="AC4370">
            <v>44752</v>
          </cell>
        </row>
        <row r="4371">
          <cell r="I4371" t="str">
            <v>EDI</v>
          </cell>
          <cell r="L4371">
            <v>915</v>
          </cell>
          <cell r="N4371" t="str">
            <v>Production</v>
          </cell>
          <cell r="O4371" t="str">
            <v>eBenefits Network</v>
          </cell>
          <cell r="P4371" t="str">
            <v>Production</v>
          </cell>
          <cell r="Q4371" t="str">
            <v>Cancelled</v>
          </cell>
          <cell r="R4371">
            <v>44686.41611111111</v>
          </cell>
          <cell r="S4371" t="str">
            <v>Fady Maged Old Account</v>
          </cell>
          <cell r="T4371">
            <v>44687</v>
          </cell>
          <cell r="U4371" t="str">
            <v>Billy Smith</v>
          </cell>
          <cell r="V4371">
            <v>44692</v>
          </cell>
          <cell r="W4371">
            <v>44707</v>
          </cell>
          <cell r="AC4371">
            <v>44704</v>
          </cell>
        </row>
        <row r="4372">
          <cell r="I4372" t="str">
            <v>EDI</v>
          </cell>
          <cell r="L4372">
            <v>1507</v>
          </cell>
          <cell r="N4372" t="str">
            <v>Production</v>
          </cell>
          <cell r="O4372" t="str">
            <v>Everything Benefits</v>
          </cell>
          <cell r="P4372" t="str">
            <v>Production</v>
          </cell>
          <cell r="Q4372" t="str">
            <v>Cancelled</v>
          </cell>
          <cell r="R4372">
            <v>44685.804629629631</v>
          </cell>
          <cell r="S4372" t="str">
            <v>Alaa Yehia</v>
          </cell>
          <cell r="T4372">
            <v>44812</v>
          </cell>
          <cell r="U4372" t="str">
            <v>Billy Smith</v>
          </cell>
          <cell r="V4372">
            <v>44845</v>
          </cell>
          <cell r="W4372">
            <v>44911</v>
          </cell>
          <cell r="AC4372">
            <v>44909</v>
          </cell>
        </row>
        <row r="4373">
          <cell r="I4373" t="str">
            <v>EDI</v>
          </cell>
          <cell r="L4373">
            <v>1483</v>
          </cell>
          <cell r="N4373" t="str">
            <v>Production</v>
          </cell>
          <cell r="O4373" t="str">
            <v>Everything Benefits</v>
          </cell>
          <cell r="P4373" t="str">
            <v>Production</v>
          </cell>
          <cell r="Q4373" t="str">
            <v>Cancelled</v>
          </cell>
          <cell r="R4373">
            <v>44685.804629629631</v>
          </cell>
          <cell r="S4373" t="str">
            <v>Hazem Rostom</v>
          </cell>
          <cell r="T4373">
            <v>44811</v>
          </cell>
          <cell r="U4373" t="str">
            <v>Billy Smith</v>
          </cell>
          <cell r="V4373">
            <v>44816</v>
          </cell>
          <cell r="W4373">
            <v>44894</v>
          </cell>
          <cell r="AC4373">
            <v>44892</v>
          </cell>
        </row>
        <row r="4374">
          <cell r="I4374" t="str">
            <v>EDI</v>
          </cell>
          <cell r="L4374">
            <v>1462</v>
          </cell>
          <cell r="N4374" t="str">
            <v>Production</v>
          </cell>
          <cell r="O4374" t="str">
            <v>Everything Benefits</v>
          </cell>
          <cell r="P4374" t="str">
            <v>Production</v>
          </cell>
          <cell r="Q4374" t="str">
            <v>Cancelled</v>
          </cell>
          <cell r="R4374">
            <v>44685.804618055547</v>
          </cell>
          <cell r="S4374" t="str">
            <v>Nada Ashraf</v>
          </cell>
          <cell r="T4374">
            <v>44808</v>
          </cell>
          <cell r="U4374" t="str">
            <v>Billy Smith</v>
          </cell>
          <cell r="V4374">
            <v>44826</v>
          </cell>
          <cell r="W4374">
            <v>25569</v>
          </cell>
          <cell r="Y4374">
            <v>44805</v>
          </cell>
          <cell r="AC4374">
            <v>44990</v>
          </cell>
        </row>
        <row r="4375">
          <cell r="I4375" t="str">
            <v>EDI</v>
          </cell>
          <cell r="L4375">
            <v>1505</v>
          </cell>
          <cell r="N4375" t="str">
            <v>Production</v>
          </cell>
          <cell r="O4375" t="str">
            <v>Everything Benefits</v>
          </cell>
          <cell r="P4375" t="str">
            <v>Production</v>
          </cell>
          <cell r="Q4375" t="str">
            <v>Cancelled</v>
          </cell>
          <cell r="R4375">
            <v>44685.804618055547</v>
          </cell>
          <cell r="S4375" t="str">
            <v>Karen Ramy</v>
          </cell>
          <cell r="T4375">
            <v>44815</v>
          </cell>
          <cell r="U4375" t="str">
            <v>Billy Smith</v>
          </cell>
          <cell r="V4375">
            <v>44825</v>
          </cell>
          <cell r="W4375">
            <v>45043</v>
          </cell>
          <cell r="Y4375">
            <v>44812</v>
          </cell>
          <cell r="AC4375">
            <v>45036</v>
          </cell>
        </row>
        <row r="4376">
          <cell r="I4376" t="str">
            <v>EDI</v>
          </cell>
          <cell r="L4376">
            <v>1424</v>
          </cell>
          <cell r="N4376" t="str">
            <v>Production</v>
          </cell>
          <cell r="O4376" t="str">
            <v>Everything Benefits</v>
          </cell>
          <cell r="P4376" t="str">
            <v>Production</v>
          </cell>
          <cell r="Q4376" t="str">
            <v>Live</v>
          </cell>
          <cell r="R4376">
            <v>44685.799710648149</v>
          </cell>
          <cell r="S4376" t="str">
            <v>Salma Yamani</v>
          </cell>
          <cell r="T4376">
            <v>44943</v>
          </cell>
          <cell r="U4376" t="str">
            <v>Billy Smith</v>
          </cell>
          <cell r="V4376">
            <v>44803</v>
          </cell>
          <cell r="W4376">
            <v>44998</v>
          </cell>
          <cell r="Y4376">
            <v>44797</v>
          </cell>
          <cell r="AC4376">
            <v>44997</v>
          </cell>
        </row>
        <row r="4377">
          <cell r="I4377" t="str">
            <v>EDI</v>
          </cell>
          <cell r="L4377">
            <v>1450</v>
          </cell>
          <cell r="N4377" t="str">
            <v>Production</v>
          </cell>
          <cell r="O4377" t="str">
            <v>Everything Benefits</v>
          </cell>
          <cell r="P4377" t="str">
            <v>Production</v>
          </cell>
          <cell r="Q4377" t="str">
            <v>Live</v>
          </cell>
          <cell r="R4377">
            <v>44685.799699074072</v>
          </cell>
          <cell r="S4377" t="str">
            <v>Fady Maged Old Account</v>
          </cell>
          <cell r="T4377">
            <v>44803</v>
          </cell>
          <cell r="U4377" t="str">
            <v>Billy Smith</v>
          </cell>
          <cell r="V4377">
            <v>44815</v>
          </cell>
          <cell r="W4377">
            <v>44865</v>
          </cell>
          <cell r="AC4377">
            <v>44864</v>
          </cell>
        </row>
        <row r="4378">
          <cell r="I4378" t="str">
            <v>EDI</v>
          </cell>
          <cell r="L4378">
            <v>1444</v>
          </cell>
          <cell r="N4378" t="str">
            <v>Production</v>
          </cell>
          <cell r="O4378" t="str">
            <v>Everything Benefits</v>
          </cell>
          <cell r="P4378" t="str">
            <v>Production</v>
          </cell>
          <cell r="Q4378" t="str">
            <v>Live</v>
          </cell>
          <cell r="R4378">
            <v>44685.799699074072</v>
          </cell>
          <cell r="S4378" t="str">
            <v>Karen Ramy</v>
          </cell>
          <cell r="T4378">
            <v>44943</v>
          </cell>
          <cell r="U4378" t="str">
            <v>Billy Smith</v>
          </cell>
          <cell r="V4378">
            <v>44805</v>
          </cell>
          <cell r="W4378">
            <v>25569</v>
          </cell>
          <cell r="Y4378">
            <v>44801</v>
          </cell>
          <cell r="AC4378">
            <v>45081</v>
          </cell>
        </row>
        <row r="4379">
          <cell r="I4379" t="str">
            <v>EDI</v>
          </cell>
          <cell r="L4379">
            <v>1470</v>
          </cell>
          <cell r="N4379" t="str">
            <v>Production</v>
          </cell>
          <cell r="O4379" t="str">
            <v>Everything Benefits</v>
          </cell>
          <cell r="P4379" t="str">
            <v>Production</v>
          </cell>
          <cell r="Q4379" t="str">
            <v>Live</v>
          </cell>
          <cell r="R4379">
            <v>44685.792222222219</v>
          </cell>
          <cell r="S4379" t="str">
            <v>Mina Kamil</v>
          </cell>
          <cell r="T4379">
            <v>44943</v>
          </cell>
          <cell r="U4379" t="str">
            <v>Billy Smith</v>
          </cell>
          <cell r="V4379">
            <v>44816</v>
          </cell>
          <cell r="W4379">
            <v>45075</v>
          </cell>
          <cell r="Y4379">
            <v>44808</v>
          </cell>
          <cell r="AC4379">
            <v>45074</v>
          </cell>
        </row>
        <row r="4380">
          <cell r="I4380" t="str">
            <v>EDI</v>
          </cell>
          <cell r="L4380">
            <v>1478</v>
          </cell>
          <cell r="N4380" t="str">
            <v>Production</v>
          </cell>
          <cell r="O4380" t="str">
            <v>Everything Benefits</v>
          </cell>
          <cell r="P4380" t="str">
            <v>Production</v>
          </cell>
          <cell r="Q4380" t="str">
            <v>Cancelled</v>
          </cell>
          <cell r="R4380">
            <v>44685.792222222219</v>
          </cell>
          <cell r="S4380" t="str">
            <v>Karen Ramy</v>
          </cell>
          <cell r="T4380">
            <v>44810</v>
          </cell>
          <cell r="U4380" t="str">
            <v>Billy Smith</v>
          </cell>
          <cell r="V4380">
            <v>44816</v>
          </cell>
          <cell r="W4380">
            <v>45082</v>
          </cell>
          <cell r="AC4380">
            <v>45081</v>
          </cell>
        </row>
        <row r="4381">
          <cell r="I4381" t="str">
            <v>EDI</v>
          </cell>
          <cell r="L4381">
            <v>1420</v>
          </cell>
          <cell r="N4381" t="str">
            <v>Production</v>
          </cell>
          <cell r="O4381" t="str">
            <v>Everything Benefits</v>
          </cell>
          <cell r="P4381" t="str">
            <v>Production</v>
          </cell>
          <cell r="Q4381" t="str">
            <v>Cancelled</v>
          </cell>
          <cell r="R4381">
            <v>44685.786574074067</v>
          </cell>
          <cell r="S4381" t="str">
            <v>Karim Tarek</v>
          </cell>
          <cell r="T4381">
            <v>44879</v>
          </cell>
          <cell r="U4381" t="str">
            <v>Billy Smith</v>
          </cell>
          <cell r="V4381">
            <v>44801</v>
          </cell>
          <cell r="W4381">
            <v>45040</v>
          </cell>
          <cell r="Y4381">
            <v>44796</v>
          </cell>
          <cell r="AC4381">
            <v>45036</v>
          </cell>
        </row>
        <row r="4382">
          <cell r="I4382" t="str">
            <v>EDI</v>
          </cell>
          <cell r="L4382">
            <v>1458</v>
          </cell>
          <cell r="N4382" t="str">
            <v>Production</v>
          </cell>
          <cell r="O4382" t="str">
            <v>Everything Benefits</v>
          </cell>
          <cell r="P4382" t="str">
            <v>Production</v>
          </cell>
          <cell r="Q4382" t="str">
            <v>Cancelled</v>
          </cell>
          <cell r="R4382">
            <v>44685.786574074067</v>
          </cell>
          <cell r="S4382" t="str">
            <v>Ahmed Gamal</v>
          </cell>
          <cell r="T4382">
            <v>44808</v>
          </cell>
          <cell r="U4382" t="str">
            <v>Billy Smith</v>
          </cell>
          <cell r="V4382">
            <v>44815</v>
          </cell>
          <cell r="W4382">
            <v>44823</v>
          </cell>
          <cell r="AC4382">
            <v>44820</v>
          </cell>
        </row>
        <row r="4383">
          <cell r="I4383" t="str">
            <v>EDI</v>
          </cell>
          <cell r="L4383">
            <v>1451</v>
          </cell>
          <cell r="N4383" t="str">
            <v>Production</v>
          </cell>
          <cell r="O4383" t="str">
            <v>Everything Benefits</v>
          </cell>
          <cell r="P4383" t="str">
            <v>Production</v>
          </cell>
          <cell r="Q4383" t="str">
            <v>Cancelled</v>
          </cell>
          <cell r="R4383">
            <v>44685.786574074067</v>
          </cell>
          <cell r="S4383" t="str">
            <v>Mahmoud Heidar</v>
          </cell>
          <cell r="T4383">
            <v>44803</v>
          </cell>
          <cell r="U4383" t="str">
            <v>Billy Smith</v>
          </cell>
          <cell r="V4383">
            <v>44830</v>
          </cell>
          <cell r="W4383">
            <v>44865</v>
          </cell>
          <cell r="AC4383">
            <v>44864</v>
          </cell>
        </row>
        <row r="4384">
          <cell r="I4384" t="str">
            <v>EDI</v>
          </cell>
          <cell r="L4384">
            <v>1427</v>
          </cell>
          <cell r="N4384" t="str">
            <v>Testing</v>
          </cell>
          <cell r="O4384" t="str">
            <v>Everything Benefits</v>
          </cell>
          <cell r="P4384" t="str">
            <v>Migration Testing</v>
          </cell>
          <cell r="Q4384" t="str">
            <v>Cancelled</v>
          </cell>
          <cell r="R4384">
            <v>44685.782372685193</v>
          </cell>
          <cell r="S4384" t="str">
            <v>Tarek Medhat</v>
          </cell>
          <cell r="T4384">
            <v>44798</v>
          </cell>
          <cell r="U4384" t="str">
            <v>Billy Smith</v>
          </cell>
          <cell r="V4384">
            <v>44809</v>
          </cell>
          <cell r="Y4384">
            <v>44797</v>
          </cell>
        </row>
        <row r="4385">
          <cell r="I4385" t="str">
            <v>EDI</v>
          </cell>
          <cell r="L4385">
            <v>1486</v>
          </cell>
          <cell r="N4385" t="str">
            <v>Production</v>
          </cell>
          <cell r="O4385" t="str">
            <v>Everything Benefits</v>
          </cell>
          <cell r="P4385" t="str">
            <v>Production</v>
          </cell>
          <cell r="Q4385" t="str">
            <v>Cancelled</v>
          </cell>
          <cell r="R4385">
            <v>44685.777951388889</v>
          </cell>
          <cell r="S4385" t="str">
            <v>Mahmoud Ahmed</v>
          </cell>
          <cell r="T4385">
            <v>44811</v>
          </cell>
          <cell r="U4385" t="str">
            <v>Billy Smith</v>
          </cell>
          <cell r="V4385">
            <v>44812</v>
          </cell>
          <cell r="W4385">
            <v>44872</v>
          </cell>
          <cell r="AC4385">
            <v>44871</v>
          </cell>
        </row>
        <row r="4386">
          <cell r="I4386" t="str">
            <v>EDI</v>
          </cell>
          <cell r="L4386">
            <v>1301</v>
          </cell>
          <cell r="N4386" t="str">
            <v>Production</v>
          </cell>
          <cell r="O4386" t="str">
            <v>Everything Benefits</v>
          </cell>
          <cell r="P4386" t="str">
            <v>Production</v>
          </cell>
          <cell r="Q4386" t="str">
            <v>Cancelled</v>
          </cell>
          <cell r="R4386">
            <v>44684.884791666656</v>
          </cell>
          <cell r="S4386" t="str">
            <v>Karen Ramy</v>
          </cell>
          <cell r="T4386">
            <v>44770</v>
          </cell>
          <cell r="U4386" t="str">
            <v>Melodie Coles</v>
          </cell>
          <cell r="V4386">
            <v>44794</v>
          </cell>
          <cell r="W4386">
            <v>25569</v>
          </cell>
          <cell r="Y4386">
            <v>44769</v>
          </cell>
          <cell r="AC4386">
            <v>44856</v>
          </cell>
        </row>
        <row r="4387">
          <cell r="I4387" t="str">
            <v>EDI</v>
          </cell>
          <cell r="L4387">
            <v>1454</v>
          </cell>
          <cell r="N4387" t="str">
            <v>Production</v>
          </cell>
          <cell r="O4387" t="str">
            <v>Everything Benefits</v>
          </cell>
          <cell r="P4387" t="str">
            <v>Production</v>
          </cell>
          <cell r="Q4387" t="str">
            <v>Cancelled</v>
          </cell>
          <cell r="R4387">
            <v>44684.884791666656</v>
          </cell>
          <cell r="S4387" t="str">
            <v>Alaa Yehia</v>
          </cell>
          <cell r="T4387">
            <v>44804</v>
          </cell>
          <cell r="U4387" t="str">
            <v>Melodie Coles</v>
          </cell>
          <cell r="V4387">
            <v>44824</v>
          </cell>
          <cell r="W4387">
            <v>45061</v>
          </cell>
          <cell r="AC4387">
            <v>45053</v>
          </cell>
        </row>
        <row r="4388">
          <cell r="I4388" t="str">
            <v>EDI</v>
          </cell>
          <cell r="L4388">
            <v>1311</v>
          </cell>
          <cell r="N4388" t="str">
            <v>Testing</v>
          </cell>
          <cell r="O4388" t="str">
            <v>Everything Benefits</v>
          </cell>
          <cell r="P4388" t="str">
            <v>Migration Testing</v>
          </cell>
          <cell r="Q4388" t="str">
            <v>Cancelled</v>
          </cell>
          <cell r="R4388">
            <v>44684.884791666656</v>
          </cell>
          <cell r="S4388" t="str">
            <v>Tarek Medhat</v>
          </cell>
          <cell r="T4388">
            <v>44774</v>
          </cell>
          <cell r="U4388" t="str">
            <v>Melodie Coles</v>
          </cell>
          <cell r="V4388">
            <v>44795</v>
          </cell>
          <cell r="Y4388">
            <v>44773</v>
          </cell>
        </row>
        <row r="4389">
          <cell r="I4389" t="str">
            <v>EDI</v>
          </cell>
          <cell r="L4389">
            <v>1295</v>
          </cell>
          <cell r="N4389" t="str">
            <v>Production</v>
          </cell>
          <cell r="O4389" t="str">
            <v>Everything Benefits</v>
          </cell>
          <cell r="P4389" t="str">
            <v>Production</v>
          </cell>
          <cell r="Q4389" t="str">
            <v>Cancelled</v>
          </cell>
          <cell r="R4389">
            <v>44684.868877314817</v>
          </cell>
          <cell r="S4389" t="str">
            <v>Karen Ramy</v>
          </cell>
          <cell r="T4389">
            <v>44767</v>
          </cell>
          <cell r="U4389" t="str">
            <v>Melodie Coles</v>
          </cell>
          <cell r="V4389">
            <v>44809</v>
          </cell>
          <cell r="W4389">
            <v>44830</v>
          </cell>
          <cell r="Y4389">
            <v>44766</v>
          </cell>
          <cell r="AC4389">
            <v>44829</v>
          </cell>
        </row>
        <row r="4390">
          <cell r="I4390" t="str">
            <v>EDI</v>
          </cell>
          <cell r="L4390">
            <v>1350</v>
          </cell>
          <cell r="N4390" t="str">
            <v>Production</v>
          </cell>
          <cell r="O4390" t="str">
            <v>Everything Benefits</v>
          </cell>
          <cell r="P4390" t="str">
            <v>Production</v>
          </cell>
          <cell r="Q4390" t="str">
            <v>Cancelled</v>
          </cell>
          <cell r="R4390">
            <v>44684.868877314817</v>
          </cell>
          <cell r="S4390" t="str">
            <v>Mohamed Abdelhamed</v>
          </cell>
          <cell r="T4390">
            <v>45294</v>
          </cell>
          <cell r="U4390" t="str">
            <v>Trish Kalinczok</v>
          </cell>
          <cell r="V4390">
            <v>44786</v>
          </cell>
          <cell r="W4390">
            <v>45327</v>
          </cell>
          <cell r="AC4390">
            <v>45326</v>
          </cell>
        </row>
        <row r="4391">
          <cell r="I4391" t="str">
            <v>EDI</v>
          </cell>
          <cell r="L4391">
            <v>1348</v>
          </cell>
          <cell r="N4391" t="str">
            <v>Testing</v>
          </cell>
          <cell r="O4391" t="str">
            <v>Everything Benefits</v>
          </cell>
          <cell r="P4391" t="str">
            <v>Migration Testing</v>
          </cell>
          <cell r="Q4391" t="str">
            <v>Cancelled</v>
          </cell>
          <cell r="R4391">
            <v>44684.868877314817</v>
          </cell>
          <cell r="S4391" t="str">
            <v>Karim Tarek</v>
          </cell>
          <cell r="T4391">
            <v>44879</v>
          </cell>
          <cell r="U4391" t="str">
            <v>Melodie Coles</v>
          </cell>
          <cell r="V4391">
            <v>44886</v>
          </cell>
        </row>
        <row r="4392">
          <cell r="I4392" t="str">
            <v>EDI</v>
          </cell>
          <cell r="L4392">
            <v>1344</v>
          </cell>
          <cell r="N4392" t="str">
            <v>Production</v>
          </cell>
          <cell r="O4392" t="str">
            <v>Everything Benefits</v>
          </cell>
          <cell r="P4392" t="str">
            <v>Production</v>
          </cell>
          <cell r="Q4392" t="str">
            <v>Cancelled</v>
          </cell>
          <cell r="R4392">
            <v>44684.856412037043</v>
          </cell>
          <cell r="S4392" t="str">
            <v>Salma Yamani</v>
          </cell>
          <cell r="T4392">
            <v>44780</v>
          </cell>
          <cell r="U4392" t="str">
            <v>Melodie Coles</v>
          </cell>
          <cell r="V4392">
            <v>44836</v>
          </cell>
          <cell r="W4392">
            <v>44851</v>
          </cell>
          <cell r="AC4392">
            <v>44850</v>
          </cell>
        </row>
        <row r="4393">
          <cell r="I4393" t="str">
            <v>EDI</v>
          </cell>
          <cell r="L4393">
            <v>1307</v>
          </cell>
          <cell r="N4393" t="str">
            <v>Production</v>
          </cell>
          <cell r="O4393" t="str">
            <v>Everything Benefits</v>
          </cell>
          <cell r="P4393" t="str">
            <v>Production</v>
          </cell>
          <cell r="Q4393" t="str">
            <v>Cancelled</v>
          </cell>
          <cell r="R4393">
            <v>44684.856412037043</v>
          </cell>
          <cell r="S4393" t="str">
            <v>Omar Gaafar</v>
          </cell>
          <cell r="T4393">
            <v>44783</v>
          </cell>
          <cell r="U4393" t="str">
            <v>Melodie Coles</v>
          </cell>
          <cell r="V4393">
            <v>44790</v>
          </cell>
          <cell r="W4393">
            <v>44872</v>
          </cell>
          <cell r="Y4393">
            <v>44770</v>
          </cell>
          <cell r="AC4393">
            <v>44871</v>
          </cell>
        </row>
        <row r="4394">
          <cell r="I4394" t="str">
            <v>EDI</v>
          </cell>
          <cell r="L4394">
            <v>1323</v>
          </cell>
          <cell r="N4394" t="str">
            <v>Production</v>
          </cell>
          <cell r="O4394" t="str">
            <v>Everything Benefits</v>
          </cell>
          <cell r="P4394" t="str">
            <v>Production</v>
          </cell>
          <cell r="Q4394" t="str">
            <v>Cancelled</v>
          </cell>
          <cell r="R4394">
            <v>44684.856412037043</v>
          </cell>
          <cell r="S4394" t="str">
            <v>Fady Maged Old Account</v>
          </cell>
          <cell r="T4394">
            <v>44774</v>
          </cell>
          <cell r="U4394" t="str">
            <v>Melodie Coles</v>
          </cell>
          <cell r="V4394">
            <v>44775</v>
          </cell>
          <cell r="W4394">
            <v>44809</v>
          </cell>
          <cell r="Y4394">
            <v>44773</v>
          </cell>
          <cell r="AC4394">
            <v>44808</v>
          </cell>
        </row>
        <row r="4395">
          <cell r="I4395" t="str">
            <v>EDI</v>
          </cell>
          <cell r="L4395">
            <v>1254</v>
          </cell>
          <cell r="N4395" t="str">
            <v>Production</v>
          </cell>
          <cell r="O4395" t="str">
            <v>Everything Benefits</v>
          </cell>
          <cell r="P4395" t="str">
            <v>Production</v>
          </cell>
          <cell r="Q4395" t="str">
            <v>Live</v>
          </cell>
          <cell r="R4395">
            <v>44684.839548611111</v>
          </cell>
          <cell r="S4395" t="str">
            <v>Karen Ramy</v>
          </cell>
          <cell r="T4395">
            <v>44761</v>
          </cell>
          <cell r="U4395" t="str">
            <v>Melodie Coles</v>
          </cell>
          <cell r="V4395">
            <v>44794</v>
          </cell>
          <cell r="W4395">
            <v>45026</v>
          </cell>
          <cell r="Y4395">
            <v>44749</v>
          </cell>
          <cell r="AC4395">
            <v>45025</v>
          </cell>
        </row>
        <row r="4396">
          <cell r="I4396" t="str">
            <v>EDI</v>
          </cell>
          <cell r="L4396">
            <v>1245</v>
          </cell>
          <cell r="N4396" t="str">
            <v>Production</v>
          </cell>
          <cell r="O4396" t="str">
            <v>Everything Benefits</v>
          </cell>
          <cell r="P4396" t="str">
            <v>Production</v>
          </cell>
          <cell r="Q4396" t="str">
            <v>Live</v>
          </cell>
          <cell r="R4396">
            <v>44684.839548611111</v>
          </cell>
          <cell r="S4396" t="str">
            <v>Mahmoud Ahmed</v>
          </cell>
          <cell r="T4396">
            <v>44760</v>
          </cell>
          <cell r="U4396" t="str">
            <v>Melodie Coles</v>
          </cell>
          <cell r="V4396">
            <v>44865</v>
          </cell>
          <cell r="W4396">
            <v>45033</v>
          </cell>
          <cell r="Y4396">
            <v>44749</v>
          </cell>
          <cell r="AC4396">
            <v>45029</v>
          </cell>
        </row>
        <row r="4397">
          <cell r="I4397" t="str">
            <v>EDI</v>
          </cell>
          <cell r="L4397">
            <v>1246</v>
          </cell>
          <cell r="N4397" t="str">
            <v>Production</v>
          </cell>
          <cell r="O4397" t="str">
            <v>Everything Benefits</v>
          </cell>
          <cell r="P4397" t="str">
            <v>Production</v>
          </cell>
          <cell r="Q4397" t="str">
            <v>Cancelled</v>
          </cell>
          <cell r="R4397">
            <v>44684.839537037027</v>
          </cell>
          <cell r="S4397" t="str">
            <v>Ahmed Gamal</v>
          </cell>
          <cell r="T4397">
            <v>44761</v>
          </cell>
          <cell r="U4397" t="str">
            <v>Melodie Coles</v>
          </cell>
          <cell r="V4397">
            <v>44819</v>
          </cell>
          <cell r="W4397">
            <v>25569</v>
          </cell>
          <cell r="Y4397">
            <v>44759</v>
          </cell>
          <cell r="AC4397">
            <v>44836</v>
          </cell>
        </row>
        <row r="4398">
          <cell r="I4398" t="str">
            <v>EDI</v>
          </cell>
          <cell r="L4398">
            <v>1457</v>
          </cell>
          <cell r="N4398" t="str">
            <v>Testing</v>
          </cell>
          <cell r="O4398" t="str">
            <v>Everything Benefits</v>
          </cell>
          <cell r="P4398" t="str">
            <v>Migration Testing</v>
          </cell>
          <cell r="Q4398" t="str">
            <v>Cancelled</v>
          </cell>
          <cell r="R4398">
            <v>44684.819652777784</v>
          </cell>
          <cell r="S4398" t="str">
            <v>Mirna Azmy</v>
          </cell>
          <cell r="T4398">
            <v>44804</v>
          </cell>
          <cell r="U4398" t="str">
            <v>Melodie Coles</v>
          </cell>
          <cell r="V4398">
            <v>44875</v>
          </cell>
        </row>
        <row r="4399">
          <cell r="I4399" t="str">
            <v>EDI</v>
          </cell>
          <cell r="L4399">
            <v>1422</v>
          </cell>
          <cell r="N4399" t="str">
            <v>Production</v>
          </cell>
          <cell r="O4399" t="str">
            <v>Everything Benefits</v>
          </cell>
          <cell r="P4399" t="str">
            <v>Production</v>
          </cell>
          <cell r="Q4399" t="str">
            <v>Cancelled</v>
          </cell>
          <cell r="R4399">
            <v>44684.812685185178</v>
          </cell>
          <cell r="S4399" t="str">
            <v>Kareem Osama</v>
          </cell>
          <cell r="T4399">
            <v>44797</v>
          </cell>
          <cell r="U4399" t="str">
            <v>Melodie Coles</v>
          </cell>
          <cell r="V4399">
            <v>44848</v>
          </cell>
          <cell r="W4399">
            <v>44869</v>
          </cell>
          <cell r="Y4399">
            <v>44796</v>
          </cell>
          <cell r="AC4399">
            <v>44864</v>
          </cell>
        </row>
        <row r="4400">
          <cell r="I4400" t="str">
            <v>EDI</v>
          </cell>
          <cell r="L4400">
            <v>1485</v>
          </cell>
          <cell r="N4400" t="str">
            <v>Testing</v>
          </cell>
          <cell r="O4400" t="str">
            <v>Everything Benefits</v>
          </cell>
          <cell r="P4400" t="str">
            <v>Migration Testing</v>
          </cell>
          <cell r="Q4400" t="str">
            <v>Cancelled</v>
          </cell>
          <cell r="R4400">
            <v>44684.812685185178</v>
          </cell>
          <cell r="S4400" t="str">
            <v>Amira Elshora</v>
          </cell>
          <cell r="T4400">
            <v>44888</v>
          </cell>
          <cell r="U4400" t="str">
            <v>Melodie Coles</v>
          </cell>
          <cell r="V4400">
            <v>44811</v>
          </cell>
          <cell r="Y4400">
            <v>44811</v>
          </cell>
        </row>
        <row r="4401">
          <cell r="I4401" t="str">
            <v>EDI</v>
          </cell>
          <cell r="L4401">
            <v>1419</v>
          </cell>
          <cell r="N4401" t="str">
            <v>Testing</v>
          </cell>
          <cell r="O4401" t="str">
            <v>Everything Benefits</v>
          </cell>
          <cell r="P4401" t="str">
            <v>Migration Testing</v>
          </cell>
          <cell r="Q4401" t="str">
            <v>Cancelled</v>
          </cell>
          <cell r="R4401">
            <v>44684.796643518523</v>
          </cell>
          <cell r="S4401" t="str">
            <v>Fady Maged Old Account</v>
          </cell>
          <cell r="T4401">
            <v>44796</v>
          </cell>
          <cell r="U4401" t="str">
            <v>Billy Smith</v>
          </cell>
          <cell r="V4401">
            <v>44797</v>
          </cell>
          <cell r="Y4401">
            <v>44796</v>
          </cell>
        </row>
        <row r="4402">
          <cell r="I4402" t="str">
            <v>EDI</v>
          </cell>
          <cell r="L4402">
            <v>1409</v>
          </cell>
          <cell r="N4402" t="str">
            <v>Production</v>
          </cell>
          <cell r="O4402" t="str">
            <v>Everything Benefits</v>
          </cell>
          <cell r="P4402" t="str">
            <v>Production</v>
          </cell>
          <cell r="Q4402" t="str">
            <v>Live</v>
          </cell>
          <cell r="R4402">
            <v>44684.784884259258</v>
          </cell>
          <cell r="S4402" t="str">
            <v>Kareem Osama</v>
          </cell>
          <cell r="T4402">
            <v>44795</v>
          </cell>
          <cell r="U4402" t="str">
            <v>Billy Smith</v>
          </cell>
          <cell r="W4402">
            <v>44837</v>
          </cell>
          <cell r="Y4402">
            <v>44790</v>
          </cell>
          <cell r="AC4402">
            <v>44836</v>
          </cell>
        </row>
        <row r="4403">
          <cell r="I4403" t="str">
            <v>EDI</v>
          </cell>
          <cell r="L4403">
            <v>1473</v>
          </cell>
          <cell r="N4403" t="str">
            <v>Testing</v>
          </cell>
          <cell r="O4403" t="str">
            <v>Everything Benefits</v>
          </cell>
          <cell r="P4403" t="str">
            <v>Migration Testing</v>
          </cell>
          <cell r="Q4403" t="str">
            <v>Cancelled</v>
          </cell>
          <cell r="R4403">
            <v>44684.784884259258</v>
          </cell>
          <cell r="S4403" t="str">
            <v>Kareem Osama</v>
          </cell>
          <cell r="T4403">
            <v>44870</v>
          </cell>
          <cell r="U4403" t="str">
            <v>Billy Smith</v>
          </cell>
          <cell r="V4403">
            <v>44879</v>
          </cell>
        </row>
        <row r="4404">
          <cell r="I4404" t="str">
            <v>EDI</v>
          </cell>
          <cell r="L4404">
            <v>1466</v>
          </cell>
          <cell r="N4404" t="str">
            <v>Production</v>
          </cell>
          <cell r="O4404" t="str">
            <v>Everything Benefits</v>
          </cell>
          <cell r="P4404" t="str">
            <v>Production</v>
          </cell>
          <cell r="Q4404" t="str">
            <v>Cancelled</v>
          </cell>
          <cell r="R4404">
            <v>44684.779074074067</v>
          </cell>
          <cell r="S4404" t="str">
            <v>Amira Elshora Old Account</v>
          </cell>
          <cell r="T4404">
            <v>44809</v>
          </cell>
          <cell r="U4404" t="str">
            <v>Billy Smith</v>
          </cell>
          <cell r="V4404">
            <v>44810</v>
          </cell>
          <cell r="W4404">
            <v>25569</v>
          </cell>
          <cell r="AC4404">
            <v>44822</v>
          </cell>
        </row>
        <row r="4405">
          <cell r="I4405" t="str">
            <v>EDI</v>
          </cell>
          <cell r="L4405">
            <v>1471</v>
          </cell>
          <cell r="N4405" t="str">
            <v>Production</v>
          </cell>
          <cell r="O4405" t="str">
            <v>Everything Benefits</v>
          </cell>
          <cell r="P4405" t="str">
            <v>Production</v>
          </cell>
          <cell r="Q4405" t="str">
            <v>Cancelled</v>
          </cell>
          <cell r="R4405">
            <v>44684.779074074067</v>
          </cell>
          <cell r="S4405" t="str">
            <v>Mahmoud Heidar</v>
          </cell>
          <cell r="T4405">
            <v>44809</v>
          </cell>
          <cell r="U4405" t="str">
            <v>Billy Smith</v>
          </cell>
          <cell r="V4405">
            <v>44879</v>
          </cell>
          <cell r="W4405">
            <v>45075</v>
          </cell>
          <cell r="AC4405">
            <v>45074</v>
          </cell>
        </row>
        <row r="4406">
          <cell r="I4406" t="str">
            <v>EDI</v>
          </cell>
          <cell r="L4406">
            <v>1415</v>
          </cell>
          <cell r="N4406" t="str">
            <v>Production</v>
          </cell>
          <cell r="O4406" t="str">
            <v>Everything Benefits</v>
          </cell>
          <cell r="P4406" t="str">
            <v>Production</v>
          </cell>
          <cell r="Q4406" t="str">
            <v>Cancelled</v>
          </cell>
          <cell r="R4406">
            <v>44684.779062499998</v>
          </cell>
          <cell r="S4406" t="str">
            <v>Fady Maged Old Account</v>
          </cell>
          <cell r="T4406">
            <v>44795</v>
          </cell>
          <cell r="U4406" t="str">
            <v>Billy Smith</v>
          </cell>
          <cell r="V4406">
            <v>44796</v>
          </cell>
          <cell r="W4406">
            <v>44907</v>
          </cell>
          <cell r="Y4406">
            <v>44794</v>
          </cell>
          <cell r="AC4406">
            <v>44906</v>
          </cell>
        </row>
        <row r="4407">
          <cell r="I4407" t="str">
            <v>EDI</v>
          </cell>
          <cell r="L4407">
            <v>1402</v>
          </cell>
          <cell r="N4407" t="str">
            <v>Production</v>
          </cell>
          <cell r="O4407" t="str">
            <v>Everything Benefits</v>
          </cell>
          <cell r="P4407" t="str">
            <v>Production</v>
          </cell>
          <cell r="Q4407" t="str">
            <v>Cancelled</v>
          </cell>
          <cell r="R4407">
            <v>44684.779062499998</v>
          </cell>
          <cell r="S4407" t="str">
            <v>Tarek Medhat</v>
          </cell>
          <cell r="T4407">
            <v>44794</v>
          </cell>
          <cell r="U4407" t="str">
            <v>Billy Smith</v>
          </cell>
          <cell r="V4407">
            <v>44795</v>
          </cell>
          <cell r="W4407">
            <v>44844</v>
          </cell>
          <cell r="Y4407">
            <v>44794</v>
          </cell>
          <cell r="AC4407">
            <v>44842</v>
          </cell>
        </row>
        <row r="4408">
          <cell r="I4408" t="str">
            <v>EDI</v>
          </cell>
          <cell r="L4408">
            <v>1392</v>
          </cell>
          <cell r="N4408" t="str">
            <v>Testing</v>
          </cell>
          <cell r="O4408" t="str">
            <v>Everything Benefits</v>
          </cell>
          <cell r="P4408" t="str">
            <v>Migration Testing</v>
          </cell>
          <cell r="Q4408" t="str">
            <v>Cancelled</v>
          </cell>
          <cell r="R4408">
            <v>44684.738842592589</v>
          </cell>
          <cell r="S4408" t="str">
            <v>Kareem Osama</v>
          </cell>
          <cell r="T4408">
            <v>44791</v>
          </cell>
          <cell r="U4408" t="str">
            <v>Billy Smith</v>
          </cell>
          <cell r="V4408">
            <v>44844</v>
          </cell>
          <cell r="Y4408">
            <v>44791</v>
          </cell>
        </row>
        <row r="4409">
          <cell r="I4409" t="str">
            <v>EDI</v>
          </cell>
          <cell r="L4409">
            <v>1437</v>
          </cell>
          <cell r="N4409" t="str">
            <v>Testing</v>
          </cell>
          <cell r="O4409" t="str">
            <v>Everything Benefits</v>
          </cell>
          <cell r="P4409" t="str">
            <v>Migration Testing</v>
          </cell>
          <cell r="Q4409" t="str">
            <v>Cancelled</v>
          </cell>
          <cell r="R4409">
            <v>44684.738842592589</v>
          </cell>
          <cell r="S4409" t="str">
            <v>Tarek Medhat</v>
          </cell>
          <cell r="T4409">
            <v>44870</v>
          </cell>
          <cell r="U4409" t="str">
            <v>Billy Smith</v>
          </cell>
          <cell r="V4409">
            <v>44879</v>
          </cell>
          <cell r="Y4409">
            <v>44798</v>
          </cell>
        </row>
        <row r="4410">
          <cell r="I4410" t="str">
            <v>EDI</v>
          </cell>
          <cell r="L4410">
            <v>1475</v>
          </cell>
          <cell r="N4410" t="str">
            <v>Production</v>
          </cell>
          <cell r="O4410" t="str">
            <v>Everything Benefits</v>
          </cell>
          <cell r="P4410" t="str">
            <v>Production</v>
          </cell>
          <cell r="Q4410" t="str">
            <v>Live</v>
          </cell>
          <cell r="R4410">
            <v>44684.73883101852</v>
          </cell>
          <cell r="S4410" t="str">
            <v>Mina Kamil Old Account</v>
          </cell>
          <cell r="T4410">
            <v>44808</v>
          </cell>
          <cell r="U4410" t="str">
            <v>Billy Smith</v>
          </cell>
          <cell r="V4410">
            <v>44839</v>
          </cell>
          <cell r="W4410">
            <v>44865</v>
          </cell>
          <cell r="AC4410">
            <v>44864</v>
          </cell>
        </row>
        <row r="4411">
          <cell r="I4411" t="str">
            <v>EDI</v>
          </cell>
          <cell r="L4411">
            <v>1441</v>
          </cell>
          <cell r="N4411" t="str">
            <v>Production</v>
          </cell>
          <cell r="O4411" t="str">
            <v>Everything Benefits</v>
          </cell>
          <cell r="P4411" t="str">
            <v>Production</v>
          </cell>
          <cell r="Q4411" t="str">
            <v>Cancelled</v>
          </cell>
          <cell r="R4411">
            <v>44684.729467592602</v>
          </cell>
          <cell r="S4411" t="str">
            <v>Karim Tarek</v>
          </cell>
          <cell r="T4411">
            <v>44803</v>
          </cell>
          <cell r="U4411" t="str">
            <v>Billy Smith</v>
          </cell>
          <cell r="V4411">
            <v>44823</v>
          </cell>
          <cell r="W4411">
            <v>44872</v>
          </cell>
          <cell r="AC4411">
            <v>44871</v>
          </cell>
        </row>
        <row r="4412">
          <cell r="I4412" t="str">
            <v>EDI</v>
          </cell>
          <cell r="L4412">
            <v>1401</v>
          </cell>
          <cell r="N4412" t="str">
            <v>Production</v>
          </cell>
          <cell r="O4412" t="str">
            <v>Everything Benefits</v>
          </cell>
          <cell r="P4412" t="str">
            <v>Production</v>
          </cell>
          <cell r="Q4412" t="str">
            <v>Cancelled</v>
          </cell>
          <cell r="R4412">
            <v>44684.729456018518</v>
          </cell>
          <cell r="S4412" t="str">
            <v>Zeyad Khaled</v>
          </cell>
          <cell r="T4412">
            <v>44790</v>
          </cell>
          <cell r="U4412" t="str">
            <v>Billy Smith</v>
          </cell>
          <cell r="V4412">
            <v>44804</v>
          </cell>
          <cell r="W4412">
            <v>44900</v>
          </cell>
          <cell r="Y4412">
            <v>44790</v>
          </cell>
          <cell r="AC4412">
            <v>44899</v>
          </cell>
        </row>
        <row r="4413">
          <cell r="I4413" t="str">
            <v>EDI</v>
          </cell>
          <cell r="L4413">
            <v>1398</v>
          </cell>
          <cell r="N4413" t="str">
            <v>Production</v>
          </cell>
          <cell r="O4413" t="str">
            <v>Everything Benefits</v>
          </cell>
          <cell r="P4413" t="str">
            <v>Production</v>
          </cell>
          <cell r="Q4413" t="str">
            <v>Live</v>
          </cell>
          <cell r="R4413">
            <v>44684.717766203707</v>
          </cell>
          <cell r="S4413" t="str">
            <v>Mina Kamil</v>
          </cell>
          <cell r="T4413">
            <v>44889</v>
          </cell>
          <cell r="U4413" t="str">
            <v>Billy Smith</v>
          </cell>
          <cell r="V4413">
            <v>44879</v>
          </cell>
          <cell r="W4413">
            <v>44956</v>
          </cell>
          <cell r="Y4413">
            <v>44790</v>
          </cell>
          <cell r="AC4413">
            <v>44955</v>
          </cell>
        </row>
        <row r="4414">
          <cell r="I4414" t="str">
            <v>EDI</v>
          </cell>
          <cell r="L4414">
            <v>1384</v>
          </cell>
          <cell r="N4414" t="str">
            <v>Production</v>
          </cell>
          <cell r="O4414" t="str">
            <v>Everything Benefits</v>
          </cell>
          <cell r="P4414" t="str">
            <v>Production</v>
          </cell>
          <cell r="Q4414" t="str">
            <v>Live</v>
          </cell>
          <cell r="R4414">
            <v>44684.717766203707</v>
          </cell>
          <cell r="S4414" t="str">
            <v>Karen Ramy</v>
          </cell>
          <cell r="T4414">
            <v>44789</v>
          </cell>
          <cell r="U4414" t="str">
            <v>Billy Smith</v>
          </cell>
          <cell r="V4414">
            <v>44803</v>
          </cell>
          <cell r="W4414">
            <v>45033</v>
          </cell>
          <cell r="AC4414">
            <v>45029</v>
          </cell>
        </row>
        <row r="4415">
          <cell r="I4415" t="str">
            <v>EDI</v>
          </cell>
          <cell r="L4415">
            <v>1372</v>
          </cell>
          <cell r="N4415" t="str">
            <v>Production</v>
          </cell>
          <cell r="O4415" t="str">
            <v>Everything Benefits</v>
          </cell>
          <cell r="P4415" t="str">
            <v>Production</v>
          </cell>
          <cell r="Q4415" t="str">
            <v>Live</v>
          </cell>
          <cell r="R4415">
            <v>44684.7112037037</v>
          </cell>
          <cell r="S4415" t="str">
            <v>Mirna Azmy</v>
          </cell>
          <cell r="T4415">
            <v>44787</v>
          </cell>
          <cell r="U4415" t="str">
            <v>Billy Smith</v>
          </cell>
          <cell r="V4415">
            <v>44811</v>
          </cell>
          <cell r="W4415">
            <v>44907</v>
          </cell>
          <cell r="AC4415">
            <v>44899</v>
          </cell>
        </row>
        <row r="4416">
          <cell r="I4416" t="str">
            <v>EDI</v>
          </cell>
          <cell r="L4416">
            <v>1371</v>
          </cell>
          <cell r="N4416" t="str">
            <v>Production</v>
          </cell>
          <cell r="O4416" t="str">
            <v>Everything Benefits</v>
          </cell>
          <cell r="P4416" t="str">
            <v>Production</v>
          </cell>
          <cell r="Q4416" t="str">
            <v>Cancelled</v>
          </cell>
          <cell r="R4416">
            <v>44684.708414351851</v>
          </cell>
          <cell r="S4416" t="str">
            <v>Mirna Azmy</v>
          </cell>
          <cell r="T4416">
            <v>44787</v>
          </cell>
          <cell r="U4416" t="str">
            <v>Billy Smith</v>
          </cell>
          <cell r="V4416">
            <v>44851</v>
          </cell>
          <cell r="W4416">
            <v>44894</v>
          </cell>
          <cell r="AC4416">
            <v>44885</v>
          </cell>
        </row>
        <row r="4417">
          <cell r="I4417" t="str">
            <v>EDI</v>
          </cell>
          <cell r="L4417">
            <v>1440</v>
          </cell>
          <cell r="N4417" t="str">
            <v>Production</v>
          </cell>
          <cell r="O4417" t="str">
            <v>Everything Benefits</v>
          </cell>
          <cell r="P4417" t="str">
            <v>Production</v>
          </cell>
          <cell r="Q4417" t="str">
            <v>Cancelled</v>
          </cell>
          <cell r="R4417">
            <v>44684.708402777767</v>
          </cell>
          <cell r="S4417" t="str">
            <v>Tarek Medhat</v>
          </cell>
          <cell r="T4417">
            <v>44802</v>
          </cell>
          <cell r="U4417" t="str">
            <v>Billy Smith</v>
          </cell>
          <cell r="V4417">
            <v>44809</v>
          </cell>
          <cell r="W4417">
            <v>44837</v>
          </cell>
          <cell r="AC4417">
            <v>44836</v>
          </cell>
        </row>
        <row r="4418">
          <cell r="I4418" t="str">
            <v>EDI</v>
          </cell>
          <cell r="L4418">
            <v>1456</v>
          </cell>
          <cell r="N4418" t="str">
            <v>Testing</v>
          </cell>
          <cell r="O4418" t="str">
            <v>Everything Benefits</v>
          </cell>
          <cell r="P4418" t="str">
            <v>Phase 3</v>
          </cell>
          <cell r="Q4418" t="str">
            <v>Cancelled</v>
          </cell>
          <cell r="R4418">
            <v>44684.702986111108</v>
          </cell>
          <cell r="S4418" t="str">
            <v>Mirna Azmy</v>
          </cell>
          <cell r="T4418">
            <v>44804</v>
          </cell>
          <cell r="U4418" t="str">
            <v>Billy Smith</v>
          </cell>
          <cell r="Y4418">
            <v>44803</v>
          </cell>
        </row>
        <row r="4419">
          <cell r="I4419" t="str">
            <v>EDI</v>
          </cell>
          <cell r="L4419">
            <v>1425</v>
          </cell>
          <cell r="N4419" t="str">
            <v>Production</v>
          </cell>
          <cell r="O4419" t="str">
            <v>Everything Benefits</v>
          </cell>
          <cell r="P4419" t="str">
            <v>Production</v>
          </cell>
          <cell r="Q4419" t="str">
            <v>Cancelled</v>
          </cell>
          <cell r="R4419">
            <v>44684.702986111108</v>
          </cell>
          <cell r="S4419" t="str">
            <v>Mirna Azmy</v>
          </cell>
          <cell r="T4419">
            <v>44797</v>
          </cell>
          <cell r="U4419" t="str">
            <v>Billy Smith</v>
          </cell>
          <cell r="V4419">
            <v>44874</v>
          </cell>
          <cell r="W4419">
            <v>44886</v>
          </cell>
          <cell r="Y4419">
            <v>44796</v>
          </cell>
          <cell r="AC4419">
            <v>44885</v>
          </cell>
        </row>
        <row r="4420">
          <cell r="I4420" t="str">
            <v>EDI</v>
          </cell>
          <cell r="L4420">
            <v>1484</v>
          </cell>
          <cell r="N4420" t="str">
            <v>Production</v>
          </cell>
          <cell r="O4420" t="str">
            <v>Everything Benefits</v>
          </cell>
          <cell r="P4420" t="str">
            <v>Production</v>
          </cell>
          <cell r="Q4420" t="str">
            <v>Cancelled</v>
          </cell>
          <cell r="R4420">
            <v>44684.702974537038</v>
          </cell>
          <cell r="S4420" t="str">
            <v>Hazem Rostom</v>
          </cell>
          <cell r="T4420">
            <v>44811</v>
          </cell>
          <cell r="U4420" t="str">
            <v>Billy Smith</v>
          </cell>
          <cell r="V4420">
            <v>44872</v>
          </cell>
          <cell r="W4420">
            <v>44998</v>
          </cell>
          <cell r="AC4420">
            <v>44997</v>
          </cell>
        </row>
        <row r="4421">
          <cell r="I4421" t="str">
            <v>EDI</v>
          </cell>
          <cell r="L4421">
            <v>1386</v>
          </cell>
          <cell r="N4421" t="str">
            <v>Production</v>
          </cell>
          <cell r="O4421" t="str">
            <v>Everything Benefits</v>
          </cell>
          <cell r="P4421" t="str">
            <v>Production</v>
          </cell>
          <cell r="Q4421" t="str">
            <v>Cancelled</v>
          </cell>
          <cell r="R4421">
            <v>44684.693761574083</v>
          </cell>
          <cell r="S4421" t="str">
            <v>Kareem Osama</v>
          </cell>
          <cell r="T4421">
            <v>44790</v>
          </cell>
          <cell r="U4421" t="str">
            <v>Billy Smith</v>
          </cell>
          <cell r="V4421">
            <v>44853</v>
          </cell>
          <cell r="W4421">
            <v>44865</v>
          </cell>
          <cell r="Y4421">
            <v>44789</v>
          </cell>
          <cell r="AC4421">
            <v>44864</v>
          </cell>
        </row>
        <row r="4422">
          <cell r="I4422" t="str">
            <v>EDI</v>
          </cell>
          <cell r="L4422">
            <v>1388</v>
          </cell>
          <cell r="N4422" t="str">
            <v>Production</v>
          </cell>
          <cell r="O4422" t="str">
            <v>Everything Benefits</v>
          </cell>
          <cell r="P4422" t="str">
            <v>Production</v>
          </cell>
          <cell r="Q4422" t="str">
            <v>Cancelled</v>
          </cell>
          <cell r="R4422">
            <v>44684.693749999999</v>
          </cell>
          <cell r="S4422" t="str">
            <v>Hazem Rostom</v>
          </cell>
          <cell r="T4422">
            <v>44790</v>
          </cell>
          <cell r="U4422" t="str">
            <v>Billy Smith</v>
          </cell>
          <cell r="V4422">
            <v>44815</v>
          </cell>
          <cell r="W4422">
            <v>44851</v>
          </cell>
          <cell r="AC4422">
            <v>44850</v>
          </cell>
        </row>
        <row r="4423">
          <cell r="I4423" t="str">
            <v>EDI</v>
          </cell>
          <cell r="L4423">
            <v>1453</v>
          </cell>
          <cell r="N4423" t="str">
            <v>Production</v>
          </cell>
          <cell r="O4423" t="str">
            <v>Everything Benefits</v>
          </cell>
          <cell r="P4423" t="str">
            <v>Production</v>
          </cell>
          <cell r="Q4423" t="str">
            <v>Live</v>
          </cell>
          <cell r="R4423">
            <v>44684.652094907397</v>
          </cell>
          <cell r="S4423" t="str">
            <v>Tarek Medhat</v>
          </cell>
          <cell r="T4423">
            <v>44808</v>
          </cell>
          <cell r="U4423" t="str">
            <v>Trish Kalinczok</v>
          </cell>
          <cell r="V4423">
            <v>44816</v>
          </cell>
          <cell r="W4423">
            <v>45173</v>
          </cell>
          <cell r="Y4423">
            <v>44804</v>
          </cell>
          <cell r="AC4423">
            <v>45172</v>
          </cell>
        </row>
        <row r="4424">
          <cell r="I4424" t="str">
            <v>EDI</v>
          </cell>
          <cell r="L4424">
            <v>1347</v>
          </cell>
          <cell r="N4424" t="str">
            <v>Production</v>
          </cell>
          <cell r="O4424" t="str">
            <v>Everything Benefits</v>
          </cell>
          <cell r="P4424" t="str">
            <v>Production</v>
          </cell>
          <cell r="Q4424" t="str">
            <v>Live</v>
          </cell>
          <cell r="R4424">
            <v>44684.652083333327</v>
          </cell>
          <cell r="S4424" t="str">
            <v>Nada Ashraf</v>
          </cell>
          <cell r="T4424">
            <v>44943</v>
          </cell>
          <cell r="U4424" t="str">
            <v>Melodie Coles</v>
          </cell>
          <cell r="V4424">
            <v>44780</v>
          </cell>
          <cell r="W4424">
            <v>44977</v>
          </cell>
          <cell r="AC4424">
            <v>44976</v>
          </cell>
        </row>
        <row r="4425">
          <cell r="I4425" t="str">
            <v>EDI</v>
          </cell>
          <cell r="L4425">
            <v>1286</v>
          </cell>
          <cell r="N4425" t="str">
            <v>Production</v>
          </cell>
          <cell r="O4425" t="str">
            <v>Everything Benefits</v>
          </cell>
          <cell r="P4425" t="str">
            <v>Production</v>
          </cell>
          <cell r="Q4425" t="str">
            <v>Cancelled</v>
          </cell>
          <cell r="R4425">
            <v>44684.652083333327</v>
          </cell>
          <cell r="S4425" t="str">
            <v>Mina Kamil Old Account</v>
          </cell>
          <cell r="T4425">
            <v>44767</v>
          </cell>
          <cell r="U4425" t="str">
            <v>Melodie Coles</v>
          </cell>
          <cell r="V4425">
            <v>44819</v>
          </cell>
          <cell r="W4425">
            <v>44851</v>
          </cell>
          <cell r="Y4425">
            <v>44766</v>
          </cell>
          <cell r="AC4425">
            <v>44850</v>
          </cell>
        </row>
        <row r="4426">
          <cell r="I4426" t="str">
            <v>EDI</v>
          </cell>
          <cell r="L4426">
            <v>1313</v>
          </cell>
          <cell r="N4426" t="str">
            <v>Production</v>
          </cell>
          <cell r="O4426" t="str">
            <v>Everything Benefits</v>
          </cell>
          <cell r="P4426" t="str">
            <v>Production</v>
          </cell>
          <cell r="Q4426" t="str">
            <v>Live</v>
          </cell>
          <cell r="R4426">
            <v>44684.652083333327</v>
          </cell>
          <cell r="S4426" t="str">
            <v>Mahmoud Ahmed</v>
          </cell>
          <cell r="T4426">
            <v>44773</v>
          </cell>
          <cell r="U4426" t="str">
            <v>Melodie Coles</v>
          </cell>
          <cell r="V4426">
            <v>44781</v>
          </cell>
          <cell r="W4426">
            <v>44830</v>
          </cell>
          <cell r="Y4426">
            <v>44766</v>
          </cell>
          <cell r="AC4426">
            <v>44829</v>
          </cell>
        </row>
        <row r="4427">
          <cell r="I4427" t="str">
            <v>EDI</v>
          </cell>
          <cell r="L4427">
            <v>1352</v>
          </cell>
          <cell r="N4427" t="str">
            <v>Production</v>
          </cell>
          <cell r="O4427" t="str">
            <v>Everything Benefits</v>
          </cell>
          <cell r="P4427" t="str">
            <v>Production</v>
          </cell>
          <cell r="Q4427" t="str">
            <v>Cancelled</v>
          </cell>
          <cell r="R4427">
            <v>44684.637824074067</v>
          </cell>
          <cell r="S4427" t="str">
            <v>Mahmoud Ahmed</v>
          </cell>
          <cell r="T4427">
            <v>44870</v>
          </cell>
          <cell r="U4427" t="str">
            <v>Melodie Coles</v>
          </cell>
          <cell r="V4427">
            <v>44893</v>
          </cell>
          <cell r="W4427">
            <v>25569</v>
          </cell>
          <cell r="Y4427">
            <v>44782</v>
          </cell>
          <cell r="AC4427">
            <v>45025</v>
          </cell>
        </row>
        <row r="4428">
          <cell r="I4428" t="str">
            <v>EDI</v>
          </cell>
          <cell r="L4428">
            <v>1308</v>
          </cell>
          <cell r="N4428" t="str">
            <v>Production</v>
          </cell>
          <cell r="O4428" t="str">
            <v>Everything Benefits</v>
          </cell>
          <cell r="P4428" t="str">
            <v>Production</v>
          </cell>
          <cell r="Q4428" t="str">
            <v>Live</v>
          </cell>
          <cell r="R4428">
            <v>44684.637824074067</v>
          </cell>
          <cell r="S4428" t="str">
            <v>Hazem Rostom</v>
          </cell>
          <cell r="T4428">
            <v>44773</v>
          </cell>
          <cell r="U4428" t="str">
            <v>Melodie Coles</v>
          </cell>
          <cell r="W4428">
            <v>44795</v>
          </cell>
          <cell r="Y4428">
            <v>44759</v>
          </cell>
          <cell r="AC4428">
            <v>44793</v>
          </cell>
        </row>
        <row r="4429">
          <cell r="I4429" t="str">
            <v>EDI</v>
          </cell>
          <cell r="L4429">
            <v>1291</v>
          </cell>
          <cell r="N4429" t="str">
            <v>Production</v>
          </cell>
          <cell r="O4429" t="str">
            <v>Everything Benefits</v>
          </cell>
          <cell r="P4429" t="str">
            <v>Production</v>
          </cell>
          <cell r="Q4429" t="str">
            <v>Cancelled</v>
          </cell>
          <cell r="R4429">
            <v>44684.617905092593</v>
          </cell>
          <cell r="S4429" t="str">
            <v>Karim Tarek</v>
          </cell>
          <cell r="T4429">
            <v>44804</v>
          </cell>
          <cell r="U4429" t="str">
            <v>Melodie Coles</v>
          </cell>
          <cell r="V4429">
            <v>44773</v>
          </cell>
          <cell r="W4429">
            <v>25569</v>
          </cell>
          <cell r="Y4429">
            <v>44759</v>
          </cell>
          <cell r="AC4429">
            <v>44871</v>
          </cell>
        </row>
        <row r="4430">
          <cell r="I4430" t="str">
            <v>EDI</v>
          </cell>
          <cell r="L4430">
            <v>1300</v>
          </cell>
          <cell r="N4430" t="str">
            <v>Production</v>
          </cell>
          <cell r="O4430" t="str">
            <v>Everything Benefits</v>
          </cell>
          <cell r="P4430" t="str">
            <v>Production</v>
          </cell>
          <cell r="Q4430" t="str">
            <v>Live</v>
          </cell>
          <cell r="R4430">
            <v>44684.617905092593</v>
          </cell>
          <cell r="S4430" t="str">
            <v>Karim Tarek</v>
          </cell>
          <cell r="T4430">
            <v>44879</v>
          </cell>
          <cell r="U4430" t="str">
            <v>Melodie Coles</v>
          </cell>
          <cell r="V4430">
            <v>44795</v>
          </cell>
          <cell r="W4430">
            <v>45089</v>
          </cell>
          <cell r="Y4430">
            <v>44759</v>
          </cell>
          <cell r="AC4430">
            <v>45088</v>
          </cell>
        </row>
        <row r="4431">
          <cell r="I4431" t="str">
            <v>EDI</v>
          </cell>
          <cell r="L4431">
            <v>1306</v>
          </cell>
          <cell r="N4431" t="str">
            <v>Production</v>
          </cell>
          <cell r="O4431" t="str">
            <v>Everything Benefits</v>
          </cell>
          <cell r="P4431" t="str">
            <v>Production</v>
          </cell>
          <cell r="Q4431" t="str">
            <v>Cancelled</v>
          </cell>
          <cell r="R4431">
            <v>44684.617905092593</v>
          </cell>
          <cell r="S4431" t="str">
            <v>Tarek Medhat</v>
          </cell>
          <cell r="T4431">
            <v>44773</v>
          </cell>
          <cell r="U4431" t="str">
            <v>Melodie Coles</v>
          </cell>
          <cell r="V4431">
            <v>44773</v>
          </cell>
          <cell r="W4431">
            <v>44809</v>
          </cell>
          <cell r="Y4431">
            <v>44761</v>
          </cell>
          <cell r="AC4431">
            <v>44808</v>
          </cell>
        </row>
        <row r="4432">
          <cell r="I4432" t="str">
            <v>EDI</v>
          </cell>
          <cell r="N4432" t="str">
            <v>Pending Start</v>
          </cell>
          <cell r="O4432" t="str">
            <v>Everything Benefits</v>
          </cell>
          <cell r="P4432" t="str">
            <v>Map Under Review</v>
          </cell>
          <cell r="Q4432" t="str">
            <v>Cancelled</v>
          </cell>
          <cell r="R4432">
            <v>44684.600439814807</v>
          </cell>
          <cell r="U4432" t="str">
            <v>Melodie Coles</v>
          </cell>
        </row>
        <row r="4433">
          <cell r="I4433" t="str">
            <v>EDI</v>
          </cell>
          <cell r="L4433">
            <v>1431</v>
          </cell>
          <cell r="N4433" t="str">
            <v>Production</v>
          </cell>
          <cell r="O4433" t="str">
            <v>Everything Benefits</v>
          </cell>
          <cell r="P4433" t="str">
            <v>Production</v>
          </cell>
          <cell r="Q4433" t="str">
            <v>Live</v>
          </cell>
          <cell r="R4433">
            <v>44684.594756944447</v>
          </cell>
          <cell r="S4433" t="str">
            <v>Tarek Medhat</v>
          </cell>
          <cell r="T4433">
            <v>44801</v>
          </cell>
          <cell r="U4433" t="str">
            <v>Melodie Coles</v>
          </cell>
          <cell r="V4433">
            <v>44804</v>
          </cell>
          <cell r="W4433">
            <v>44846</v>
          </cell>
          <cell r="AC4433">
            <v>44843</v>
          </cell>
        </row>
        <row r="4434">
          <cell r="I4434" t="str">
            <v>EDI</v>
          </cell>
          <cell r="L4434">
            <v>1380</v>
          </cell>
          <cell r="N4434" t="str">
            <v>Production</v>
          </cell>
          <cell r="O4434" t="str">
            <v>Everything Benefits</v>
          </cell>
          <cell r="P4434" t="str">
            <v>Production</v>
          </cell>
          <cell r="Q4434" t="str">
            <v>Cancelled</v>
          </cell>
          <cell r="R4434">
            <v>44684.59474537037</v>
          </cell>
          <cell r="S4434" t="str">
            <v>Mahmoud Heidar</v>
          </cell>
          <cell r="T4434">
            <v>44787</v>
          </cell>
          <cell r="U4434" t="str">
            <v>Melodie Coles</v>
          </cell>
          <cell r="V4434">
            <v>44800</v>
          </cell>
          <cell r="W4434">
            <v>44958</v>
          </cell>
          <cell r="Y4434">
            <v>44782</v>
          </cell>
          <cell r="AC4434">
            <v>44955</v>
          </cell>
        </row>
        <row r="4435">
          <cell r="I4435" t="str">
            <v>EDI</v>
          </cell>
          <cell r="L4435">
            <v>1355</v>
          </cell>
          <cell r="N4435" t="str">
            <v>Production</v>
          </cell>
          <cell r="O4435" t="str">
            <v>Everything Benefits</v>
          </cell>
          <cell r="P4435" t="str">
            <v>Production</v>
          </cell>
          <cell r="Q4435" t="str">
            <v>Cancelled</v>
          </cell>
          <cell r="R4435">
            <v>44684.59474537037</v>
          </cell>
          <cell r="S4435" t="str">
            <v>Mohamed Abdelhamed</v>
          </cell>
          <cell r="T4435">
            <v>44783</v>
          </cell>
          <cell r="U4435" t="str">
            <v>Melodie Coles</v>
          </cell>
          <cell r="V4435">
            <v>44790</v>
          </cell>
          <cell r="W4435">
            <v>44811</v>
          </cell>
          <cell r="Y4435">
            <v>44782</v>
          </cell>
          <cell r="AC4435">
            <v>44808</v>
          </cell>
        </row>
        <row r="4436">
          <cell r="I4436" t="str">
            <v>EDI</v>
          </cell>
          <cell r="L4436">
            <v>1381</v>
          </cell>
          <cell r="N4436" t="str">
            <v>Production</v>
          </cell>
          <cell r="O4436" t="str">
            <v>Everything Benefits</v>
          </cell>
          <cell r="P4436" t="str">
            <v>Production</v>
          </cell>
          <cell r="Q4436" t="str">
            <v>Cancelled</v>
          </cell>
          <cell r="R4436">
            <v>44684.59474537037</v>
          </cell>
          <cell r="S4436" t="str">
            <v>Nada Ashraf</v>
          </cell>
          <cell r="T4436">
            <v>44788</v>
          </cell>
          <cell r="U4436" t="str">
            <v>Melodie Coles</v>
          </cell>
          <cell r="V4436">
            <v>44797</v>
          </cell>
          <cell r="W4436">
            <v>44874</v>
          </cell>
          <cell r="AC4436">
            <v>44871</v>
          </cell>
        </row>
        <row r="4437">
          <cell r="I4437" t="str">
            <v>EDI</v>
          </cell>
          <cell r="L4437">
            <v>1363</v>
          </cell>
          <cell r="N4437" t="str">
            <v>Production</v>
          </cell>
          <cell r="O4437" t="str">
            <v>Everything Benefits</v>
          </cell>
          <cell r="P4437" t="str">
            <v>Production</v>
          </cell>
          <cell r="Q4437" t="str">
            <v>Cancelled</v>
          </cell>
          <cell r="R4437">
            <v>44684.576064814813</v>
          </cell>
          <cell r="S4437" t="str">
            <v>Kareem Osama</v>
          </cell>
          <cell r="T4437">
            <v>44784</v>
          </cell>
          <cell r="U4437" t="str">
            <v>Billy Smith</v>
          </cell>
          <cell r="V4437">
            <v>44859</v>
          </cell>
          <cell r="W4437">
            <v>44901</v>
          </cell>
          <cell r="Y4437">
            <v>44783</v>
          </cell>
          <cell r="AC4437">
            <v>44899</v>
          </cell>
        </row>
        <row r="4438">
          <cell r="I4438" t="str">
            <v>EDI</v>
          </cell>
          <cell r="L4438">
            <v>1362</v>
          </cell>
          <cell r="N4438" t="str">
            <v>Production</v>
          </cell>
          <cell r="O4438" t="str">
            <v>Everything Benefits</v>
          </cell>
          <cell r="P4438" t="str">
            <v>Production</v>
          </cell>
          <cell r="Q4438" t="str">
            <v>Live</v>
          </cell>
          <cell r="R4438">
            <v>44684.576053240737</v>
          </cell>
          <cell r="S4438" t="str">
            <v>Tarek Medhat</v>
          </cell>
          <cell r="T4438">
            <v>44784</v>
          </cell>
          <cell r="U4438" t="str">
            <v>Billy Smith</v>
          </cell>
          <cell r="V4438">
            <v>44802</v>
          </cell>
          <cell r="W4438">
            <v>44823</v>
          </cell>
          <cell r="Y4438">
            <v>44783</v>
          </cell>
          <cell r="AC4438">
            <v>44822</v>
          </cell>
        </row>
        <row r="4439">
          <cell r="I4439" t="str">
            <v>EDI</v>
          </cell>
          <cell r="L4439">
            <v>1365</v>
          </cell>
          <cell r="N4439" t="str">
            <v>Production</v>
          </cell>
          <cell r="O4439" t="str">
            <v>Everything Benefits</v>
          </cell>
          <cell r="P4439" t="str">
            <v>Production</v>
          </cell>
          <cell r="Q4439" t="str">
            <v>Cancelled</v>
          </cell>
          <cell r="R4439">
            <v>44684.576053240737</v>
          </cell>
          <cell r="S4439" t="str">
            <v>Alaa Yehia</v>
          </cell>
          <cell r="T4439">
            <v>44781</v>
          </cell>
          <cell r="U4439" t="str">
            <v>Billy Smith</v>
          </cell>
          <cell r="V4439">
            <v>44802</v>
          </cell>
          <cell r="W4439">
            <v>44956</v>
          </cell>
          <cell r="AC4439">
            <v>44955</v>
          </cell>
        </row>
        <row r="4440">
          <cell r="I4440" t="str">
            <v>EDI</v>
          </cell>
          <cell r="L4440">
            <v>1317</v>
          </cell>
          <cell r="N4440" t="str">
            <v>Production</v>
          </cell>
          <cell r="O4440" t="str">
            <v>Everything Benefits</v>
          </cell>
          <cell r="P4440" t="str">
            <v>Production</v>
          </cell>
          <cell r="Q4440" t="str">
            <v>Cancelled</v>
          </cell>
          <cell r="R4440">
            <v>44684.572002314817</v>
          </cell>
          <cell r="S4440" t="str">
            <v>Mahmoud Heidar</v>
          </cell>
          <cell r="T4440">
            <v>44769</v>
          </cell>
          <cell r="U4440" t="str">
            <v>Melodie Coles</v>
          </cell>
          <cell r="V4440">
            <v>44780</v>
          </cell>
          <cell r="W4440">
            <v>44810</v>
          </cell>
          <cell r="Y4440">
            <v>44761</v>
          </cell>
          <cell r="AC4440">
            <v>44808</v>
          </cell>
        </row>
        <row r="4441">
          <cell r="I4441" t="str">
            <v>EDI</v>
          </cell>
          <cell r="L4441">
            <v>1273</v>
          </cell>
          <cell r="N4441" t="str">
            <v>Production</v>
          </cell>
          <cell r="O4441" t="str">
            <v>Everything Benefits</v>
          </cell>
          <cell r="P4441" t="str">
            <v>Production</v>
          </cell>
          <cell r="Q4441" t="str">
            <v>Cancelled</v>
          </cell>
          <cell r="R4441">
            <v>44684.57199074074</v>
          </cell>
          <cell r="S4441" t="str">
            <v>Karen Ramy</v>
          </cell>
          <cell r="T4441">
            <v>44766</v>
          </cell>
          <cell r="U4441" t="str">
            <v>Melodie Coles</v>
          </cell>
          <cell r="V4441">
            <v>44794</v>
          </cell>
          <cell r="W4441">
            <v>45033</v>
          </cell>
          <cell r="Y4441">
            <v>44749</v>
          </cell>
          <cell r="AC4441">
            <v>45029</v>
          </cell>
        </row>
        <row r="4442">
          <cell r="I4442" t="str">
            <v>EDI</v>
          </cell>
          <cell r="L4442">
            <v>1446</v>
          </cell>
          <cell r="N4442" t="str">
            <v>Testing</v>
          </cell>
          <cell r="O4442" t="str">
            <v>Everything Benefits</v>
          </cell>
          <cell r="P4442" t="str">
            <v>Migration Testing</v>
          </cell>
          <cell r="Q4442" t="str">
            <v>Cancelled</v>
          </cell>
          <cell r="R4442">
            <v>44684.57199074074</v>
          </cell>
          <cell r="S4442" t="str">
            <v>Karen Ramy</v>
          </cell>
          <cell r="T4442">
            <v>44804</v>
          </cell>
          <cell r="U4442" t="str">
            <v>Melodie Coles</v>
          </cell>
          <cell r="V4442">
            <v>44809</v>
          </cell>
          <cell r="Y4442">
            <v>44804</v>
          </cell>
        </row>
        <row r="4443">
          <cell r="I4443" t="str">
            <v>EDI</v>
          </cell>
          <cell r="L4443">
            <v>1247</v>
          </cell>
          <cell r="N4443" t="str">
            <v>Production</v>
          </cell>
          <cell r="O4443" t="str">
            <v>Everything Benefits</v>
          </cell>
          <cell r="P4443" t="str">
            <v>Production</v>
          </cell>
          <cell r="Q4443" t="str">
            <v>Cancelled</v>
          </cell>
          <cell r="R4443">
            <v>44684.564837962957</v>
          </cell>
          <cell r="S4443" t="str">
            <v>Omar Gaafar</v>
          </cell>
          <cell r="T4443">
            <v>44761</v>
          </cell>
          <cell r="U4443" t="str">
            <v>Melodie Coles</v>
          </cell>
          <cell r="V4443">
            <v>44775</v>
          </cell>
          <cell r="W4443">
            <v>44851</v>
          </cell>
          <cell r="Y4443">
            <v>44747</v>
          </cell>
          <cell r="AC4443">
            <v>44850</v>
          </cell>
        </row>
        <row r="4444">
          <cell r="I4444" t="str">
            <v>EDI</v>
          </cell>
          <cell r="L4444">
            <v>1274</v>
          </cell>
          <cell r="N4444" t="str">
            <v>Production</v>
          </cell>
          <cell r="O4444" t="str">
            <v>Everything Benefits</v>
          </cell>
          <cell r="P4444" t="str">
            <v>Production</v>
          </cell>
          <cell r="Q4444" t="str">
            <v>Cancelled</v>
          </cell>
          <cell r="R4444">
            <v>44684.564837962957</v>
          </cell>
          <cell r="S4444" t="str">
            <v>Zeyad Khaled</v>
          </cell>
          <cell r="T4444">
            <v>44762</v>
          </cell>
          <cell r="U4444" t="str">
            <v>Melodie Coles</v>
          </cell>
          <cell r="V4444">
            <v>44775</v>
          </cell>
          <cell r="W4444">
            <v>44781</v>
          </cell>
          <cell r="Y4444">
            <v>44749</v>
          </cell>
          <cell r="AC4444">
            <v>44781</v>
          </cell>
        </row>
        <row r="4445">
          <cell r="I4445" t="str">
            <v>EDI</v>
          </cell>
          <cell r="L4445">
            <v>1272</v>
          </cell>
          <cell r="N4445" t="str">
            <v>Production</v>
          </cell>
          <cell r="O4445" t="str">
            <v>Everything Benefits</v>
          </cell>
          <cell r="P4445" t="str">
            <v>Production</v>
          </cell>
          <cell r="Q4445" t="str">
            <v>Cancelled</v>
          </cell>
          <cell r="R4445">
            <v>44684.564837962957</v>
          </cell>
          <cell r="S4445" t="str">
            <v>Karim Tarek</v>
          </cell>
          <cell r="T4445">
            <v>44879</v>
          </cell>
          <cell r="U4445" t="str">
            <v>Matt Howell</v>
          </cell>
          <cell r="V4445">
            <v>44775</v>
          </cell>
          <cell r="W4445">
            <v>45138</v>
          </cell>
          <cell r="Y4445">
            <v>44760</v>
          </cell>
          <cell r="AC4445">
            <v>45137</v>
          </cell>
        </row>
        <row r="4446">
          <cell r="I4446" t="str">
            <v>EDI</v>
          </cell>
          <cell r="L4446">
            <v>1357</v>
          </cell>
          <cell r="N4446" t="str">
            <v>Production</v>
          </cell>
          <cell r="O4446" t="str">
            <v>Everything Benefits</v>
          </cell>
          <cell r="P4446" t="str">
            <v>Production</v>
          </cell>
          <cell r="Q4446" t="str">
            <v>Cancelled</v>
          </cell>
          <cell r="R4446">
            <v>44684.555150462962</v>
          </cell>
          <cell r="S4446" t="str">
            <v>Tarek Medhat</v>
          </cell>
          <cell r="T4446">
            <v>44783</v>
          </cell>
          <cell r="U4446" t="str">
            <v>Melodie Coles</v>
          </cell>
          <cell r="V4446">
            <v>44795</v>
          </cell>
          <cell r="W4446">
            <v>44809</v>
          </cell>
          <cell r="Y4446">
            <v>44781</v>
          </cell>
          <cell r="AC4446">
            <v>44808</v>
          </cell>
        </row>
        <row r="4447">
          <cell r="I4447" t="str">
            <v>EDI</v>
          </cell>
          <cell r="L4447">
            <v>1359</v>
          </cell>
          <cell r="N4447" t="str">
            <v>Testing</v>
          </cell>
          <cell r="O4447" t="str">
            <v>Everything Benefits</v>
          </cell>
          <cell r="P4447" t="str">
            <v>Migration Testing</v>
          </cell>
          <cell r="Q4447" t="str">
            <v>Cancelled</v>
          </cell>
          <cell r="R4447">
            <v>44684.555150462962</v>
          </cell>
          <cell r="S4447" t="str">
            <v>Karen Ramy</v>
          </cell>
          <cell r="T4447">
            <v>44782</v>
          </cell>
          <cell r="U4447" t="str">
            <v>Melodie Coles</v>
          </cell>
          <cell r="V4447">
            <v>44809</v>
          </cell>
          <cell r="Y4447">
            <v>44781</v>
          </cell>
        </row>
        <row r="4448">
          <cell r="I4448" t="str">
            <v>EDI</v>
          </cell>
          <cell r="L4448">
            <v>1356</v>
          </cell>
          <cell r="N4448" t="str">
            <v>Testing</v>
          </cell>
          <cell r="O4448" t="str">
            <v>Everything Benefits</v>
          </cell>
          <cell r="P4448" t="str">
            <v>Migration Testing</v>
          </cell>
          <cell r="Q4448" t="str">
            <v>Cancelled</v>
          </cell>
          <cell r="R4448">
            <v>44684.555138888893</v>
          </cell>
          <cell r="S4448" t="str">
            <v>Ahmed Gamal</v>
          </cell>
          <cell r="T4448">
            <v>44782</v>
          </cell>
          <cell r="U4448" t="str">
            <v>Melodie Coles</v>
          </cell>
          <cell r="Y4448">
            <v>44781</v>
          </cell>
        </row>
        <row r="4449">
          <cell r="I4449" t="str">
            <v>EDI</v>
          </cell>
          <cell r="L4449">
            <v>1391</v>
          </cell>
          <cell r="N4449" t="str">
            <v>Testing</v>
          </cell>
          <cell r="O4449" t="str">
            <v>Everything Benefits</v>
          </cell>
          <cell r="P4449" t="str">
            <v>Phase 3</v>
          </cell>
          <cell r="Q4449" t="str">
            <v>Cancelled</v>
          </cell>
          <cell r="R4449">
            <v>44684.555138888893</v>
          </cell>
          <cell r="S4449" t="str">
            <v>Omar Gaafar</v>
          </cell>
          <cell r="T4449">
            <v>44791</v>
          </cell>
          <cell r="U4449" t="str">
            <v>Melodie Coles</v>
          </cell>
          <cell r="V4449">
            <v>44802</v>
          </cell>
        </row>
        <row r="4450">
          <cell r="I4450" t="str">
            <v>EDI</v>
          </cell>
          <cell r="L4450">
            <v>1368</v>
          </cell>
          <cell r="N4450" t="str">
            <v>Testing</v>
          </cell>
          <cell r="O4450" t="str">
            <v>Everything Benefits</v>
          </cell>
          <cell r="P4450" t="str">
            <v>Migration Testing</v>
          </cell>
          <cell r="Q4450" t="str">
            <v>Cancelled</v>
          </cell>
          <cell r="R4450">
            <v>44684.555138888893</v>
          </cell>
          <cell r="S4450" t="str">
            <v>Mahmoud Heidar</v>
          </cell>
          <cell r="T4450">
            <v>44782</v>
          </cell>
          <cell r="U4450" t="str">
            <v>Melodie Coles</v>
          </cell>
          <cell r="V4450">
            <v>44790</v>
          </cell>
          <cell r="Y4450">
            <v>44781</v>
          </cell>
        </row>
        <row r="4451">
          <cell r="I4451" t="str">
            <v>EDI</v>
          </cell>
          <cell r="L4451">
            <v>1345</v>
          </cell>
          <cell r="N4451" t="str">
            <v>Production</v>
          </cell>
          <cell r="O4451" t="str">
            <v>Everything Benefits</v>
          </cell>
          <cell r="P4451" t="str">
            <v>Production</v>
          </cell>
          <cell r="Q4451" t="str">
            <v>Live</v>
          </cell>
          <cell r="R4451">
            <v>44684.540567129632</v>
          </cell>
          <cell r="S4451" t="str">
            <v>Karen Ramy</v>
          </cell>
          <cell r="T4451">
            <v>44780</v>
          </cell>
          <cell r="U4451" t="str">
            <v>Melodie Coles</v>
          </cell>
          <cell r="V4451">
            <v>44794</v>
          </cell>
          <cell r="W4451">
            <v>44900</v>
          </cell>
          <cell r="Y4451">
            <v>44777</v>
          </cell>
          <cell r="AC4451">
            <v>44899</v>
          </cell>
        </row>
        <row r="4452">
          <cell r="I4452" t="str">
            <v>EDI</v>
          </cell>
          <cell r="L4452">
            <v>1319</v>
          </cell>
          <cell r="N4452" t="str">
            <v>Testing</v>
          </cell>
          <cell r="O4452" t="str">
            <v>Everything Benefits</v>
          </cell>
          <cell r="P4452" t="str">
            <v>Migration Testing</v>
          </cell>
          <cell r="Q4452" t="str">
            <v>Cancelled</v>
          </cell>
          <cell r="R4452">
            <v>44684.532997685194</v>
          </cell>
          <cell r="S4452" t="str">
            <v>Alaa Yehia</v>
          </cell>
          <cell r="T4452">
            <v>44774</v>
          </cell>
          <cell r="U4452" t="str">
            <v>Melodie Coles</v>
          </cell>
          <cell r="V4452">
            <v>44802</v>
          </cell>
        </row>
        <row r="4453">
          <cell r="I4453" t="str">
            <v>EDI</v>
          </cell>
          <cell r="L4453">
            <v>1256</v>
          </cell>
          <cell r="N4453" t="str">
            <v>Testing</v>
          </cell>
          <cell r="O4453" t="str">
            <v>Everything Benefits</v>
          </cell>
          <cell r="P4453" t="str">
            <v>Migration Testing</v>
          </cell>
          <cell r="Q4453" t="str">
            <v>Cancelled</v>
          </cell>
          <cell r="R4453">
            <v>44684.532986111109</v>
          </cell>
          <cell r="S4453" t="str">
            <v>Tarek Medhat</v>
          </cell>
          <cell r="T4453">
            <v>44762</v>
          </cell>
          <cell r="U4453" t="str">
            <v>Melodie Coles</v>
          </cell>
          <cell r="V4453">
            <v>44762</v>
          </cell>
          <cell r="Y4453">
            <v>44754</v>
          </cell>
        </row>
        <row r="4454">
          <cell r="I4454" t="str">
            <v>EDI</v>
          </cell>
          <cell r="N4454" t="str">
            <v>Resource Assignment</v>
          </cell>
          <cell r="O4454" t="str">
            <v>Everything Benefits</v>
          </cell>
          <cell r="P4454" t="str">
            <v>Phase 1 - Map Built</v>
          </cell>
          <cell r="Q4454" t="str">
            <v>Cancelled</v>
          </cell>
          <cell r="R4454">
            <v>44684.532986111109</v>
          </cell>
          <cell r="S4454" t="str">
            <v>Mohamed Abdelhamed</v>
          </cell>
          <cell r="T4454">
            <v>44768</v>
          </cell>
          <cell r="U4454" t="str">
            <v>Melodie Coles</v>
          </cell>
          <cell r="Y4454">
            <v>44768</v>
          </cell>
        </row>
        <row r="4455">
          <cell r="I4455" t="str">
            <v>EDI</v>
          </cell>
          <cell r="L4455">
            <v>1342</v>
          </cell>
          <cell r="N4455" t="str">
            <v>Production</v>
          </cell>
          <cell r="O4455" t="str">
            <v>Everything Benefits</v>
          </cell>
          <cell r="P4455" t="str">
            <v>Production</v>
          </cell>
          <cell r="Q4455" t="str">
            <v>Live</v>
          </cell>
          <cell r="R4455">
            <v>44684.521273148152</v>
          </cell>
          <cell r="S4455" t="str">
            <v>Nada Ashraf</v>
          </cell>
          <cell r="T4455">
            <v>44777</v>
          </cell>
          <cell r="U4455" t="str">
            <v>Billy Smith</v>
          </cell>
          <cell r="V4455">
            <v>44787</v>
          </cell>
          <cell r="W4455">
            <v>44851</v>
          </cell>
          <cell r="AC4455">
            <v>44850</v>
          </cell>
        </row>
        <row r="4456">
          <cell r="I4456" t="str">
            <v>EDI</v>
          </cell>
          <cell r="L4456">
            <v>1394</v>
          </cell>
          <cell r="N4456" t="str">
            <v>Production</v>
          </cell>
          <cell r="O4456" t="str">
            <v>Everything Benefits</v>
          </cell>
          <cell r="P4456" t="str">
            <v>Production</v>
          </cell>
          <cell r="Q4456" t="str">
            <v>Live</v>
          </cell>
          <cell r="R4456">
            <v>44684.521273148152</v>
          </cell>
          <cell r="S4456" t="str">
            <v>Fady Maged Old Account</v>
          </cell>
          <cell r="T4456">
            <v>44791</v>
          </cell>
          <cell r="U4456" t="str">
            <v>Billy Smith</v>
          </cell>
          <cell r="V4456">
            <v>44794</v>
          </cell>
          <cell r="W4456">
            <v>44893</v>
          </cell>
          <cell r="Y4456">
            <v>44790</v>
          </cell>
          <cell r="AC4456">
            <v>44892</v>
          </cell>
        </row>
        <row r="4457">
          <cell r="I4457" t="str">
            <v>EDI</v>
          </cell>
          <cell r="L4457">
            <v>1474</v>
          </cell>
          <cell r="N4457" t="str">
            <v>Production</v>
          </cell>
          <cell r="O4457" t="str">
            <v>Everything Benefits</v>
          </cell>
          <cell r="P4457" t="str">
            <v>Production</v>
          </cell>
          <cell r="Q4457" t="str">
            <v>Live</v>
          </cell>
          <cell r="R4457">
            <v>44684.512256944443</v>
          </cell>
          <cell r="S4457" t="str">
            <v>Mina Kamil</v>
          </cell>
          <cell r="T4457">
            <v>44889</v>
          </cell>
          <cell r="U4457" t="str">
            <v>Billy Smith</v>
          </cell>
          <cell r="V4457">
            <v>44879</v>
          </cell>
          <cell r="W4457">
            <v>25569</v>
          </cell>
          <cell r="AC4457">
            <v>45102</v>
          </cell>
        </row>
        <row r="4458">
          <cell r="I4458" t="str">
            <v>EDI</v>
          </cell>
          <cell r="L4458">
            <v>1343</v>
          </cell>
          <cell r="N4458" t="str">
            <v>Production</v>
          </cell>
          <cell r="O4458" t="str">
            <v>Everything Benefits</v>
          </cell>
          <cell r="P4458" t="str">
            <v>Production</v>
          </cell>
          <cell r="Q4458" t="str">
            <v>Cancelled</v>
          </cell>
          <cell r="R4458">
            <v>44683.778854166667</v>
          </cell>
          <cell r="S4458" t="str">
            <v>Nada Ashraf</v>
          </cell>
          <cell r="T4458">
            <v>44777</v>
          </cell>
          <cell r="U4458" t="str">
            <v>Billy Smith</v>
          </cell>
          <cell r="V4458">
            <v>44788</v>
          </cell>
          <cell r="W4458">
            <v>44921</v>
          </cell>
          <cell r="AC4458">
            <v>44921</v>
          </cell>
        </row>
        <row r="4459">
          <cell r="I4459" t="str">
            <v>EDI</v>
          </cell>
          <cell r="L4459">
            <v>1338</v>
          </cell>
          <cell r="N4459" t="str">
            <v>Production</v>
          </cell>
          <cell r="O4459" t="str">
            <v>Everything Benefits</v>
          </cell>
          <cell r="P4459" t="str">
            <v>Production</v>
          </cell>
          <cell r="Q4459" t="str">
            <v>Cancelled</v>
          </cell>
          <cell r="R4459">
            <v>44683.770752314813</v>
          </cell>
          <cell r="S4459" t="str">
            <v>Tarek Medhat</v>
          </cell>
          <cell r="T4459">
            <v>44780</v>
          </cell>
          <cell r="U4459" t="str">
            <v>Billy Smith</v>
          </cell>
          <cell r="V4459">
            <v>44785</v>
          </cell>
          <cell r="W4459">
            <v>44855</v>
          </cell>
          <cell r="Y4459">
            <v>44777</v>
          </cell>
          <cell r="AC4459">
            <v>44850</v>
          </cell>
        </row>
        <row r="4460">
          <cell r="I4460" t="str">
            <v>EDI</v>
          </cell>
          <cell r="L4460">
            <v>1332</v>
          </cell>
          <cell r="N4460" t="str">
            <v>Production</v>
          </cell>
          <cell r="O4460" t="str">
            <v>Everything Benefits</v>
          </cell>
          <cell r="P4460" t="str">
            <v>Production</v>
          </cell>
          <cell r="Q4460" t="str">
            <v>Cancelled</v>
          </cell>
          <cell r="R4460">
            <v>44683.770740740743</v>
          </cell>
          <cell r="S4460" t="str">
            <v>Mirna Azmy</v>
          </cell>
          <cell r="T4460">
            <v>44776</v>
          </cell>
          <cell r="U4460" t="str">
            <v>Billy Smith</v>
          </cell>
          <cell r="V4460">
            <v>44817</v>
          </cell>
          <cell r="W4460">
            <v>25569</v>
          </cell>
          <cell r="AC4460">
            <v>44843</v>
          </cell>
        </row>
        <row r="4461">
          <cell r="I4461" t="str">
            <v>EDI</v>
          </cell>
          <cell r="L4461">
            <v>1341</v>
          </cell>
          <cell r="N4461" t="str">
            <v>Production</v>
          </cell>
          <cell r="O4461" t="str">
            <v>Everything Benefits</v>
          </cell>
          <cell r="P4461" t="str">
            <v>Production</v>
          </cell>
          <cell r="Q4461" t="str">
            <v>Cancelled</v>
          </cell>
          <cell r="R4461">
            <v>44683.770740740743</v>
          </cell>
          <cell r="S4461" t="str">
            <v>Mohamed Abdelhamed</v>
          </cell>
          <cell r="T4461">
            <v>44780</v>
          </cell>
          <cell r="U4461" t="str">
            <v>Billy Smith</v>
          </cell>
          <cell r="V4461">
            <v>44781</v>
          </cell>
          <cell r="W4461">
            <v>44816</v>
          </cell>
          <cell r="Y4461">
            <v>44780</v>
          </cell>
          <cell r="AC4461">
            <v>44815</v>
          </cell>
        </row>
        <row r="4462">
          <cell r="I4462" t="str">
            <v>EDI</v>
          </cell>
          <cell r="L4462">
            <v>1370</v>
          </cell>
          <cell r="N4462" t="str">
            <v>Production</v>
          </cell>
          <cell r="O4462" t="str">
            <v>Everything Benefits</v>
          </cell>
          <cell r="P4462" t="str">
            <v>Production</v>
          </cell>
          <cell r="Q4462" t="str">
            <v>Cancelled</v>
          </cell>
          <cell r="R4462">
            <v>44683.770740740743</v>
          </cell>
          <cell r="S4462" t="str">
            <v>Tarek Medhat</v>
          </cell>
          <cell r="T4462">
            <v>44787</v>
          </cell>
          <cell r="U4462" t="str">
            <v>Billy Smith</v>
          </cell>
          <cell r="V4462">
            <v>44790</v>
          </cell>
          <cell r="W4462">
            <v>44873</v>
          </cell>
          <cell r="AC4462">
            <v>44871</v>
          </cell>
        </row>
        <row r="4463">
          <cell r="I4463" t="str">
            <v>EDI</v>
          </cell>
          <cell r="L4463">
            <v>1367</v>
          </cell>
          <cell r="N4463" t="str">
            <v>Production</v>
          </cell>
          <cell r="O4463" t="str">
            <v>Everything Benefits</v>
          </cell>
          <cell r="P4463" t="str">
            <v>Production</v>
          </cell>
          <cell r="Q4463" t="str">
            <v>Cancelled</v>
          </cell>
          <cell r="R4463">
            <v>44683.763796296298</v>
          </cell>
          <cell r="S4463" t="str">
            <v>Fady Maged Old Account</v>
          </cell>
          <cell r="T4463">
            <v>44784</v>
          </cell>
          <cell r="U4463" t="str">
            <v>Billy Smith</v>
          </cell>
          <cell r="V4463">
            <v>44786</v>
          </cell>
          <cell r="W4463">
            <v>44851</v>
          </cell>
          <cell r="Y4463">
            <v>44783</v>
          </cell>
          <cell r="AC4463">
            <v>44850</v>
          </cell>
        </row>
        <row r="4464">
          <cell r="I4464" t="str">
            <v>EDI</v>
          </cell>
          <cell r="L4464">
            <v>1280</v>
          </cell>
          <cell r="N4464" t="str">
            <v>Production</v>
          </cell>
          <cell r="O4464" t="str">
            <v>Everything Benefits</v>
          </cell>
          <cell r="P4464" t="str">
            <v>Production</v>
          </cell>
          <cell r="Q4464" t="str">
            <v>Cancelled</v>
          </cell>
          <cell r="R4464">
            <v>44683.763171296298</v>
          </cell>
          <cell r="S4464" t="str">
            <v>Alaa Yehia</v>
          </cell>
          <cell r="T4464">
            <v>44766</v>
          </cell>
          <cell r="U4464" t="str">
            <v>Billy Smith</v>
          </cell>
          <cell r="V4464">
            <v>44776</v>
          </cell>
          <cell r="W4464">
            <v>44851</v>
          </cell>
          <cell r="Y4464">
            <v>44759</v>
          </cell>
          <cell r="AC4464">
            <v>44849</v>
          </cell>
        </row>
        <row r="4465">
          <cell r="I4465" t="str">
            <v>EDI</v>
          </cell>
          <cell r="L4465">
            <v>1316</v>
          </cell>
          <cell r="N4465" t="str">
            <v>Production</v>
          </cell>
          <cell r="O4465" t="str">
            <v>Everything Benefits</v>
          </cell>
          <cell r="P4465" t="str">
            <v>Production</v>
          </cell>
          <cell r="Q4465" t="str">
            <v>Cancelled</v>
          </cell>
          <cell r="R4465">
            <v>44683.763171296298</v>
          </cell>
          <cell r="S4465" t="str">
            <v>Omar Gaafar</v>
          </cell>
          <cell r="T4465">
            <v>44774</v>
          </cell>
          <cell r="U4465" t="str">
            <v>Billy Smith</v>
          </cell>
          <cell r="V4465">
            <v>44776</v>
          </cell>
          <cell r="W4465">
            <v>44809</v>
          </cell>
          <cell r="Y4465">
            <v>44745</v>
          </cell>
          <cell r="AC4465">
            <v>44808</v>
          </cell>
        </row>
        <row r="4466">
          <cell r="I4466" t="str">
            <v>EDI</v>
          </cell>
          <cell r="L4466">
            <v>1366</v>
          </cell>
          <cell r="N4466" t="str">
            <v>Production</v>
          </cell>
          <cell r="O4466" t="str">
            <v>Everything Benefits</v>
          </cell>
          <cell r="P4466" t="str">
            <v>Production</v>
          </cell>
          <cell r="Q4466" t="str">
            <v>Cancelled</v>
          </cell>
          <cell r="R4466">
            <v>44683.763171296298</v>
          </cell>
          <cell r="S4466" t="str">
            <v>Fady Maged Old Account</v>
          </cell>
          <cell r="T4466">
            <v>44784</v>
          </cell>
          <cell r="U4466" t="str">
            <v>Billy Smith</v>
          </cell>
          <cell r="V4466">
            <v>44785</v>
          </cell>
          <cell r="W4466">
            <v>44851</v>
          </cell>
          <cell r="Y4466">
            <v>44783</v>
          </cell>
          <cell r="AC4466">
            <v>44850</v>
          </cell>
        </row>
        <row r="4467">
          <cell r="I4467" t="str">
            <v>EDI</v>
          </cell>
          <cell r="L4467">
            <v>1268</v>
          </cell>
          <cell r="N4467" t="str">
            <v>Production</v>
          </cell>
          <cell r="O4467" t="str">
            <v>Everything Benefits</v>
          </cell>
          <cell r="P4467" t="str">
            <v>Production</v>
          </cell>
          <cell r="Q4467" t="str">
            <v>Cancelled</v>
          </cell>
          <cell r="R4467">
            <v>44683.763159722221</v>
          </cell>
          <cell r="S4467" t="str">
            <v>Alaa Yehia</v>
          </cell>
          <cell r="T4467">
            <v>44762</v>
          </cell>
          <cell r="U4467" t="str">
            <v>Billy Smith</v>
          </cell>
          <cell r="V4467">
            <v>44768</v>
          </cell>
          <cell r="W4467">
            <v>44886</v>
          </cell>
          <cell r="Y4467">
            <v>44748</v>
          </cell>
          <cell r="AC4467">
            <v>44885</v>
          </cell>
        </row>
        <row r="4468">
          <cell r="I4468" t="str">
            <v>EDI</v>
          </cell>
          <cell r="L4468">
            <v>1324</v>
          </cell>
          <cell r="N4468" t="str">
            <v>Production</v>
          </cell>
          <cell r="O4468" t="str">
            <v>Everything Benefits</v>
          </cell>
          <cell r="P4468" t="str">
            <v>Production</v>
          </cell>
          <cell r="Q4468" t="str">
            <v>Cancelled</v>
          </cell>
          <cell r="R4468">
            <v>44683.729513888888</v>
          </cell>
          <cell r="S4468" t="str">
            <v>Mohamed Abdelhamed</v>
          </cell>
          <cell r="T4468">
            <v>44790</v>
          </cell>
          <cell r="U4468" t="str">
            <v>Billy Smith</v>
          </cell>
          <cell r="V4468">
            <v>44802</v>
          </cell>
          <cell r="W4468">
            <v>45083</v>
          </cell>
          <cell r="AC4468">
            <v>45081</v>
          </cell>
        </row>
        <row r="4469">
          <cell r="I4469" t="str">
            <v>EDI</v>
          </cell>
          <cell r="L4469">
            <v>1320</v>
          </cell>
          <cell r="N4469" t="str">
            <v>Production</v>
          </cell>
          <cell r="O4469" t="str">
            <v>Everything Benefits</v>
          </cell>
          <cell r="P4469" t="str">
            <v>Production</v>
          </cell>
          <cell r="Q4469" t="str">
            <v>Cancelled</v>
          </cell>
          <cell r="R4469">
            <v>44683.729513888888</v>
          </cell>
          <cell r="S4469" t="str">
            <v>Mirna Azmy</v>
          </cell>
          <cell r="T4469">
            <v>44774</v>
          </cell>
          <cell r="U4469" t="str">
            <v>Billy Smith</v>
          </cell>
          <cell r="W4469">
            <v>44810</v>
          </cell>
          <cell r="AC4469">
            <v>44808</v>
          </cell>
        </row>
        <row r="4470">
          <cell r="I4470" t="str">
            <v>EDI</v>
          </cell>
          <cell r="L4470">
            <v>1339</v>
          </cell>
          <cell r="N4470" t="str">
            <v>Production</v>
          </cell>
          <cell r="O4470" t="str">
            <v>Everything Benefits</v>
          </cell>
          <cell r="P4470" t="str">
            <v>Production</v>
          </cell>
          <cell r="Q4470" t="str">
            <v>Cancelled</v>
          </cell>
          <cell r="R4470">
            <v>44683.729502314818</v>
          </cell>
          <cell r="S4470" t="str">
            <v>Kareem Osama</v>
          </cell>
          <cell r="T4470">
            <v>44780</v>
          </cell>
          <cell r="U4470" t="str">
            <v>Billy Smith</v>
          </cell>
          <cell r="V4470">
            <v>44810</v>
          </cell>
          <cell r="W4470">
            <v>44823</v>
          </cell>
          <cell r="Y4470">
            <v>44780</v>
          </cell>
          <cell r="AC4470">
            <v>44822</v>
          </cell>
        </row>
        <row r="4471">
          <cell r="I4471" t="str">
            <v>EDI</v>
          </cell>
          <cell r="L4471">
            <v>1312</v>
          </cell>
          <cell r="N4471" t="str">
            <v>Production</v>
          </cell>
          <cell r="O4471" t="str">
            <v>Everything Benefits</v>
          </cell>
          <cell r="P4471" t="str">
            <v>Production</v>
          </cell>
          <cell r="Q4471" t="str">
            <v>Cancelled</v>
          </cell>
          <cell r="R4471">
            <v>44683.729502314818</v>
          </cell>
          <cell r="S4471" t="str">
            <v>Hazem Rostom</v>
          </cell>
          <cell r="T4471">
            <v>44773</v>
          </cell>
          <cell r="U4471" t="str">
            <v>Billy Smith</v>
          </cell>
          <cell r="V4471">
            <v>44833</v>
          </cell>
          <cell r="W4471">
            <v>45096</v>
          </cell>
          <cell r="Y4471">
            <v>44773</v>
          </cell>
          <cell r="AC4471">
            <v>45095</v>
          </cell>
        </row>
        <row r="4472">
          <cell r="I4472" t="str">
            <v>EDI</v>
          </cell>
          <cell r="L4472">
            <v>1322</v>
          </cell>
          <cell r="N4472" t="str">
            <v>Production</v>
          </cell>
          <cell r="O4472" t="str">
            <v>Everything Benefits</v>
          </cell>
          <cell r="P4472" t="str">
            <v>Production</v>
          </cell>
          <cell r="Q4472" t="str">
            <v>Cancelled</v>
          </cell>
          <cell r="R4472">
            <v>44683.729502314818</v>
          </cell>
          <cell r="S4472" t="str">
            <v>Mirna Azmy</v>
          </cell>
          <cell r="T4472">
            <v>44774</v>
          </cell>
          <cell r="U4472" t="str">
            <v>Billy Smith</v>
          </cell>
          <cell r="V4472">
            <v>44921</v>
          </cell>
          <cell r="W4472">
            <v>45005</v>
          </cell>
          <cell r="AC4472">
            <v>45004</v>
          </cell>
        </row>
        <row r="4473">
          <cell r="I4473" t="str">
            <v>EDI</v>
          </cell>
          <cell r="L4473">
            <v>1353</v>
          </cell>
          <cell r="N4473" t="str">
            <v>Production</v>
          </cell>
          <cell r="O4473" t="str">
            <v>Everything Benefits</v>
          </cell>
          <cell r="P4473" t="str">
            <v>Production</v>
          </cell>
          <cell r="Q4473" t="str">
            <v>Cancelled</v>
          </cell>
          <cell r="R4473">
            <v>44683.729490740741</v>
          </cell>
          <cell r="S4473" t="str">
            <v>Mirna Azmy</v>
          </cell>
          <cell r="T4473">
            <v>44943</v>
          </cell>
          <cell r="U4473" t="str">
            <v>Billy Smith</v>
          </cell>
          <cell r="V4473">
            <v>44783</v>
          </cell>
          <cell r="W4473">
            <v>44998</v>
          </cell>
          <cell r="AC4473">
            <v>44997</v>
          </cell>
        </row>
        <row r="4474">
          <cell r="I4474" t="str">
            <v>EDI</v>
          </cell>
          <cell r="L4474">
            <v>1434</v>
          </cell>
          <cell r="N4474" t="str">
            <v>Production</v>
          </cell>
          <cell r="O4474" t="str">
            <v>Everything Benefits</v>
          </cell>
          <cell r="P4474" t="str">
            <v>Production</v>
          </cell>
          <cell r="Q4474" t="str">
            <v>Live</v>
          </cell>
          <cell r="R4474">
            <v>44683.721041666657</v>
          </cell>
          <cell r="S4474" t="str">
            <v>Hazem Rostom</v>
          </cell>
          <cell r="T4474">
            <v>44801</v>
          </cell>
          <cell r="U4474" t="str">
            <v>Billy Smith</v>
          </cell>
          <cell r="V4474">
            <v>44812</v>
          </cell>
          <cell r="W4474">
            <v>44823</v>
          </cell>
          <cell r="AC4474">
            <v>44822</v>
          </cell>
        </row>
        <row r="4475">
          <cell r="I4475" t="str">
            <v>EDI</v>
          </cell>
          <cell r="L4475">
            <v>1262</v>
          </cell>
          <cell r="N4475" t="str">
            <v>Production</v>
          </cell>
          <cell r="O4475" t="str">
            <v>Everything Benefits</v>
          </cell>
          <cell r="P4475" t="str">
            <v>Production</v>
          </cell>
          <cell r="Q4475" t="str">
            <v>Live</v>
          </cell>
          <cell r="R4475">
            <v>44683.721030092587</v>
          </cell>
          <cell r="S4475" t="str">
            <v>Salma Yamani</v>
          </cell>
          <cell r="T4475">
            <v>44761</v>
          </cell>
          <cell r="U4475" t="str">
            <v>Billy Smith</v>
          </cell>
          <cell r="V4475">
            <v>44809</v>
          </cell>
          <cell r="W4475">
            <v>44830</v>
          </cell>
          <cell r="Y4475">
            <v>44759</v>
          </cell>
          <cell r="AC4475">
            <v>44829</v>
          </cell>
        </row>
        <row r="4476">
          <cell r="I4476" t="str">
            <v>EDI</v>
          </cell>
          <cell r="L4476">
            <v>1232</v>
          </cell>
          <cell r="N4476" t="str">
            <v>Production</v>
          </cell>
          <cell r="O4476" t="str">
            <v>Everything Benefits</v>
          </cell>
          <cell r="P4476" t="str">
            <v>Production</v>
          </cell>
          <cell r="Q4476" t="str">
            <v>Live</v>
          </cell>
          <cell r="R4476">
            <v>44683.721018518518</v>
          </cell>
          <cell r="S4476" t="str">
            <v>Kareem Osama</v>
          </cell>
          <cell r="T4476">
            <v>44790</v>
          </cell>
          <cell r="U4476" t="str">
            <v>Billy Smith</v>
          </cell>
          <cell r="V4476">
            <v>44837</v>
          </cell>
          <cell r="W4476">
            <v>44853</v>
          </cell>
          <cell r="Y4476">
            <v>44745</v>
          </cell>
          <cell r="AC4476">
            <v>44850</v>
          </cell>
        </row>
        <row r="4477">
          <cell r="I4477" t="str">
            <v>EDI</v>
          </cell>
          <cell r="L4477">
            <v>1413</v>
          </cell>
          <cell r="N4477" t="str">
            <v>Production</v>
          </cell>
          <cell r="O4477" t="str">
            <v>Everything Benefits</v>
          </cell>
          <cell r="P4477" t="str">
            <v>Production</v>
          </cell>
          <cell r="Q4477" t="str">
            <v>Live</v>
          </cell>
          <cell r="R4477">
            <v>44683.590266203697</v>
          </cell>
          <cell r="S4477" t="str">
            <v>Hazem Rostom</v>
          </cell>
          <cell r="T4477">
            <v>44790</v>
          </cell>
          <cell r="U4477" t="str">
            <v>Billy Smith</v>
          </cell>
          <cell r="V4477">
            <v>44872</v>
          </cell>
          <cell r="W4477">
            <v>45012</v>
          </cell>
          <cell r="AC4477">
            <v>45011</v>
          </cell>
        </row>
        <row r="4478">
          <cell r="I4478" t="str">
            <v>EDI</v>
          </cell>
          <cell r="L4478">
            <v>1351</v>
          </cell>
          <cell r="N4478" t="str">
            <v>Production</v>
          </cell>
          <cell r="O4478" t="str">
            <v>Everything Benefits</v>
          </cell>
          <cell r="P4478" t="str">
            <v>Production</v>
          </cell>
          <cell r="Q4478" t="str">
            <v>Cancelled</v>
          </cell>
          <cell r="R4478">
            <v>44683.578831018523</v>
          </cell>
          <cell r="S4478" t="str">
            <v>Salma Yamani</v>
          </cell>
          <cell r="T4478">
            <v>44781</v>
          </cell>
          <cell r="U4478" t="str">
            <v>Billy Smith</v>
          </cell>
          <cell r="V4478">
            <v>44837</v>
          </cell>
          <cell r="W4478">
            <v>25569</v>
          </cell>
          <cell r="AC4478">
            <v>45046</v>
          </cell>
        </row>
        <row r="4479">
          <cell r="I4479" t="str">
            <v>EDI</v>
          </cell>
          <cell r="L4479">
            <v>1303</v>
          </cell>
          <cell r="N4479" t="str">
            <v>Production</v>
          </cell>
          <cell r="O4479" t="str">
            <v>Everything Benefits</v>
          </cell>
          <cell r="P4479" t="str">
            <v>Production</v>
          </cell>
          <cell r="Q4479" t="str">
            <v>Cancelled</v>
          </cell>
          <cell r="R4479">
            <v>44683.570162037038</v>
          </cell>
          <cell r="S4479" t="str">
            <v>Kareem Osama</v>
          </cell>
          <cell r="T4479">
            <v>44770</v>
          </cell>
          <cell r="U4479" t="str">
            <v>Billy Smith</v>
          </cell>
          <cell r="V4479">
            <v>44844</v>
          </cell>
          <cell r="W4479">
            <v>25569</v>
          </cell>
          <cell r="Y4479">
            <v>44762</v>
          </cell>
          <cell r="AC4479">
            <v>44850</v>
          </cell>
        </row>
        <row r="4480">
          <cell r="I4480" t="str">
            <v>EDI</v>
          </cell>
          <cell r="L4480">
            <v>1387</v>
          </cell>
          <cell r="N4480" t="str">
            <v>Production</v>
          </cell>
          <cell r="O4480" t="str">
            <v>Everything Benefits</v>
          </cell>
          <cell r="P4480" t="str">
            <v>Production</v>
          </cell>
          <cell r="Q4480" t="str">
            <v>Live</v>
          </cell>
          <cell r="R4480">
            <v>44683.570150462961</v>
          </cell>
          <cell r="S4480" t="str">
            <v>Tarek Medhat</v>
          </cell>
          <cell r="T4480">
            <v>44790</v>
          </cell>
          <cell r="U4480" t="str">
            <v>Billy Smith</v>
          </cell>
          <cell r="V4480">
            <v>44795</v>
          </cell>
          <cell r="W4480">
            <v>44851</v>
          </cell>
          <cell r="AC4480">
            <v>44850</v>
          </cell>
        </row>
        <row r="4481">
          <cell r="I4481" t="str">
            <v>EDI</v>
          </cell>
          <cell r="L4481">
            <v>1255</v>
          </cell>
          <cell r="N4481" t="str">
            <v>Production</v>
          </cell>
          <cell r="O4481" t="str">
            <v>Everything Benefits</v>
          </cell>
          <cell r="P4481" t="str">
            <v>Production</v>
          </cell>
          <cell r="Q4481" t="str">
            <v>Cancelled</v>
          </cell>
          <cell r="R4481">
            <v>44683.570138888892</v>
          </cell>
          <cell r="S4481" t="str">
            <v>Mohamed Abdelhamed</v>
          </cell>
          <cell r="T4481">
            <v>44762</v>
          </cell>
          <cell r="U4481" t="str">
            <v>Billy Smith</v>
          </cell>
          <cell r="V4481">
            <v>44776</v>
          </cell>
          <cell r="W4481">
            <v>44949</v>
          </cell>
          <cell r="Y4481">
            <v>44761</v>
          </cell>
          <cell r="AC4481">
            <v>44945</v>
          </cell>
        </row>
        <row r="4482">
          <cell r="I4482" t="str">
            <v>EDI</v>
          </cell>
          <cell r="L4482">
            <v>1001</v>
          </cell>
          <cell r="N4482" t="str">
            <v>Production</v>
          </cell>
          <cell r="O4482" t="str">
            <v>No</v>
          </cell>
          <cell r="Q4482" t="str">
            <v>Cancelled</v>
          </cell>
          <cell r="R4482">
            <v>44680.75854166667</v>
          </cell>
          <cell r="S4482" t="str">
            <v>Haytham Mohamed</v>
          </cell>
          <cell r="T4482">
            <v>44703</v>
          </cell>
          <cell r="U4482" t="str">
            <v>Miranda Naeem</v>
          </cell>
          <cell r="V4482">
            <v>44707</v>
          </cell>
          <cell r="W4482">
            <v>44844</v>
          </cell>
          <cell r="Y4482">
            <v>44700</v>
          </cell>
          <cell r="AC4482">
            <v>44838</v>
          </cell>
        </row>
        <row r="4483">
          <cell r="I4483" t="str">
            <v>EDI</v>
          </cell>
          <cell r="L4483">
            <v>1253</v>
          </cell>
          <cell r="N4483" t="str">
            <v>Production</v>
          </cell>
          <cell r="O4483" t="str">
            <v>Everything Benefits</v>
          </cell>
          <cell r="P4483" t="str">
            <v>Production</v>
          </cell>
          <cell r="Q4483" t="str">
            <v>Cancelled</v>
          </cell>
          <cell r="R4483">
            <v>44680.545231481483</v>
          </cell>
          <cell r="S4483" t="str">
            <v>Ahmed Gamal</v>
          </cell>
          <cell r="T4483">
            <v>44761</v>
          </cell>
          <cell r="U4483" t="str">
            <v>Billy Smith</v>
          </cell>
          <cell r="V4483">
            <v>44788</v>
          </cell>
          <cell r="W4483">
            <v>44823</v>
          </cell>
          <cell r="Y4483">
            <v>44742</v>
          </cell>
          <cell r="AC4483">
            <v>44822</v>
          </cell>
        </row>
        <row r="4484">
          <cell r="I4484" t="str">
            <v>EDI</v>
          </cell>
          <cell r="L4484">
            <v>1241</v>
          </cell>
          <cell r="N4484" t="str">
            <v>Production</v>
          </cell>
          <cell r="O4484" t="str">
            <v>Everything Benefits</v>
          </cell>
          <cell r="P4484" t="str">
            <v>Production</v>
          </cell>
          <cell r="Q4484" t="str">
            <v>Cancelled</v>
          </cell>
          <cell r="R4484">
            <v>44680.545219907413</v>
          </cell>
          <cell r="S4484" t="str">
            <v>Tarek Medhat</v>
          </cell>
          <cell r="T4484">
            <v>44760</v>
          </cell>
          <cell r="U4484" t="str">
            <v>Billy Smith</v>
          </cell>
          <cell r="V4484">
            <v>44774</v>
          </cell>
          <cell r="W4484">
            <v>44844</v>
          </cell>
          <cell r="Y4484">
            <v>44745</v>
          </cell>
          <cell r="AC4484">
            <v>44842</v>
          </cell>
        </row>
        <row r="4485">
          <cell r="I4485" t="str">
            <v>EDI</v>
          </cell>
          <cell r="L4485">
            <v>1346</v>
          </cell>
          <cell r="N4485" t="str">
            <v>Testing</v>
          </cell>
          <cell r="O4485" t="str">
            <v>Everything Benefits</v>
          </cell>
          <cell r="P4485" t="str">
            <v>Phase 3</v>
          </cell>
          <cell r="Q4485" t="str">
            <v>Cancelled</v>
          </cell>
          <cell r="R4485">
            <v>44680.135613425933</v>
          </cell>
          <cell r="S4485" t="str">
            <v>Mahmoud Ahmed</v>
          </cell>
          <cell r="T4485">
            <v>44780</v>
          </cell>
          <cell r="U4485" t="str">
            <v>Billy Smith</v>
          </cell>
          <cell r="V4485">
            <v>44782</v>
          </cell>
        </row>
        <row r="4486">
          <cell r="I4486" t="str">
            <v>EDI</v>
          </cell>
          <cell r="L4486">
            <v>1390</v>
          </cell>
          <cell r="N4486" t="str">
            <v>Production</v>
          </cell>
          <cell r="O4486" t="str">
            <v>Everything Benefits</v>
          </cell>
          <cell r="P4486" t="str">
            <v>Production</v>
          </cell>
          <cell r="Q4486" t="str">
            <v>Live</v>
          </cell>
          <cell r="R4486">
            <v>44680.135601851849</v>
          </cell>
          <cell r="S4486" t="str">
            <v>Karim Tarek</v>
          </cell>
          <cell r="T4486">
            <v>44804</v>
          </cell>
          <cell r="U4486" t="str">
            <v>Billy Smith</v>
          </cell>
          <cell r="V4486">
            <v>44794</v>
          </cell>
          <cell r="W4486">
            <v>44823</v>
          </cell>
          <cell r="AC4486">
            <v>44822</v>
          </cell>
        </row>
        <row r="4487">
          <cell r="I4487" t="str">
            <v>EDI</v>
          </cell>
          <cell r="L4487">
            <v>1218</v>
          </cell>
          <cell r="N4487" t="str">
            <v>Production</v>
          </cell>
          <cell r="O4487" t="str">
            <v>Everything Benefits</v>
          </cell>
          <cell r="P4487" t="str">
            <v>Production</v>
          </cell>
          <cell r="Q4487" t="str">
            <v>Live</v>
          </cell>
          <cell r="R4487">
            <v>44680.129317129627</v>
          </cell>
          <cell r="S4487" t="str">
            <v>Mahmoud Ahmed</v>
          </cell>
          <cell r="T4487">
            <v>44749</v>
          </cell>
          <cell r="U4487" t="str">
            <v>Billy Smith</v>
          </cell>
          <cell r="V4487">
            <v>44840</v>
          </cell>
          <cell r="W4487">
            <v>25569</v>
          </cell>
          <cell r="Y4487">
            <v>44748</v>
          </cell>
          <cell r="AC4487">
            <v>44899</v>
          </cell>
        </row>
        <row r="4488">
          <cell r="I4488" t="str">
            <v>EDI</v>
          </cell>
          <cell r="L4488">
            <v>1326</v>
          </cell>
          <cell r="N4488" t="str">
            <v>Production</v>
          </cell>
          <cell r="O4488" t="str">
            <v>Everything Benefits</v>
          </cell>
          <cell r="P4488" t="str">
            <v>Production</v>
          </cell>
          <cell r="Q4488" t="str">
            <v>Live</v>
          </cell>
          <cell r="R4488">
            <v>44680.129305555558</v>
          </cell>
          <cell r="S4488" t="str">
            <v>Mina Kamil</v>
          </cell>
          <cell r="T4488">
            <v>44889</v>
          </cell>
          <cell r="U4488" t="str">
            <v>Billy Smith</v>
          </cell>
          <cell r="V4488">
            <v>44851</v>
          </cell>
          <cell r="W4488">
            <v>45005</v>
          </cell>
          <cell r="AC4488">
            <v>45004</v>
          </cell>
        </row>
        <row r="4489">
          <cell r="I4489" t="str">
            <v>EDI</v>
          </cell>
          <cell r="L4489">
            <v>1188</v>
          </cell>
          <cell r="N4489" t="str">
            <v>Production</v>
          </cell>
          <cell r="O4489" t="str">
            <v>Everything Benefits</v>
          </cell>
          <cell r="P4489" t="str">
            <v>Production</v>
          </cell>
          <cell r="Q4489" t="str">
            <v>Live</v>
          </cell>
          <cell r="R4489">
            <v>44680.119155092587</v>
          </cell>
          <cell r="S4489" t="str">
            <v>Zeyad Khaled</v>
          </cell>
          <cell r="T4489">
            <v>44745</v>
          </cell>
          <cell r="U4489" t="str">
            <v>Billy Smith</v>
          </cell>
          <cell r="V4489">
            <v>25569</v>
          </cell>
          <cell r="W4489">
            <v>45152</v>
          </cell>
          <cell r="Y4489">
            <v>44745</v>
          </cell>
          <cell r="AC4489">
            <v>45151</v>
          </cell>
        </row>
        <row r="4490">
          <cell r="I4490" t="str">
            <v>EDI</v>
          </cell>
          <cell r="L4490">
            <v>1389</v>
          </cell>
          <cell r="N4490" t="str">
            <v>Production</v>
          </cell>
          <cell r="O4490" t="str">
            <v>Everything Benefits</v>
          </cell>
          <cell r="P4490" t="str">
            <v>Production</v>
          </cell>
          <cell r="Q4490" t="str">
            <v>Cancelled</v>
          </cell>
          <cell r="R4490">
            <v>44680.113622685189</v>
          </cell>
          <cell r="S4490" t="str">
            <v>Fady Maged Old Account</v>
          </cell>
          <cell r="T4490">
            <v>44787</v>
          </cell>
          <cell r="U4490" t="str">
            <v>Billy Smith</v>
          </cell>
          <cell r="V4490">
            <v>44791</v>
          </cell>
          <cell r="W4490">
            <v>44869</v>
          </cell>
          <cell r="AC4490">
            <v>44864</v>
          </cell>
        </row>
        <row r="4491">
          <cell r="I4491" t="str">
            <v>EDI</v>
          </cell>
          <cell r="L4491">
            <v>1216</v>
          </cell>
          <cell r="N4491" t="str">
            <v>Production</v>
          </cell>
          <cell r="O4491" t="str">
            <v>Everything Benefits</v>
          </cell>
          <cell r="P4491" t="str">
            <v>Production</v>
          </cell>
          <cell r="Q4491" t="str">
            <v>Cancelled</v>
          </cell>
          <cell r="R4491">
            <v>44680.108263888891</v>
          </cell>
          <cell r="S4491" t="str">
            <v>Tarek Medhat</v>
          </cell>
          <cell r="T4491">
            <v>44749</v>
          </cell>
          <cell r="U4491" t="str">
            <v>Billy Smith</v>
          </cell>
          <cell r="V4491">
            <v>44767</v>
          </cell>
          <cell r="W4491">
            <v>44893</v>
          </cell>
          <cell r="Y4491">
            <v>44738</v>
          </cell>
          <cell r="AC4491">
            <v>44892</v>
          </cell>
        </row>
        <row r="4492">
          <cell r="I4492" t="str">
            <v>EDI</v>
          </cell>
          <cell r="L4492">
            <v>1433</v>
          </cell>
          <cell r="N4492" t="str">
            <v>Production</v>
          </cell>
          <cell r="O4492" t="str">
            <v>Everything Benefits</v>
          </cell>
          <cell r="P4492" t="str">
            <v>Production</v>
          </cell>
          <cell r="Q4492" t="str">
            <v>Cancelled</v>
          </cell>
          <cell r="R4492">
            <v>44680.108252314807</v>
          </cell>
          <cell r="S4492" t="str">
            <v>Hazem Rostom</v>
          </cell>
          <cell r="T4492">
            <v>44801</v>
          </cell>
          <cell r="U4492" t="str">
            <v>Billy Smith</v>
          </cell>
          <cell r="V4492">
            <v>44886</v>
          </cell>
          <cell r="W4492">
            <v>45089</v>
          </cell>
          <cell r="AC4492">
            <v>45088</v>
          </cell>
        </row>
        <row r="4493">
          <cell r="I4493" t="str">
            <v>EDI</v>
          </cell>
          <cell r="L4493">
            <v>1358</v>
          </cell>
          <cell r="N4493" t="str">
            <v>Production</v>
          </cell>
          <cell r="O4493" t="str">
            <v>Everything Benefits</v>
          </cell>
          <cell r="P4493" t="str">
            <v>Production</v>
          </cell>
          <cell r="Q4493" t="str">
            <v>Live</v>
          </cell>
          <cell r="R4493">
            <v>44680.108240740738</v>
          </cell>
          <cell r="S4493" t="str">
            <v>Mohamed Abdelhamed</v>
          </cell>
          <cell r="T4493">
            <v>44783</v>
          </cell>
          <cell r="U4493" t="str">
            <v>Billy Smith</v>
          </cell>
          <cell r="V4493">
            <v>44784</v>
          </cell>
          <cell r="W4493">
            <v>44823</v>
          </cell>
          <cell r="AC4493">
            <v>44822</v>
          </cell>
        </row>
        <row r="4494">
          <cell r="I4494" t="str">
            <v>EDI</v>
          </cell>
          <cell r="L4494">
            <v>1198</v>
          </cell>
          <cell r="N4494" t="str">
            <v>Production</v>
          </cell>
          <cell r="O4494" t="str">
            <v>Everything Benefits</v>
          </cell>
          <cell r="P4494" t="str">
            <v>Production</v>
          </cell>
          <cell r="Q4494" t="str">
            <v>Live</v>
          </cell>
          <cell r="R4494">
            <v>44680.108229166668</v>
          </cell>
          <cell r="S4494" t="str">
            <v>Alaa Yehia</v>
          </cell>
          <cell r="T4494">
            <v>44745</v>
          </cell>
          <cell r="U4494" t="str">
            <v>Billy Smith</v>
          </cell>
          <cell r="V4494">
            <v>44774</v>
          </cell>
          <cell r="W4494">
            <v>44781</v>
          </cell>
          <cell r="Y4494">
            <v>44738</v>
          </cell>
          <cell r="AC4494">
            <v>44780</v>
          </cell>
        </row>
        <row r="4495">
          <cell r="I4495" t="str">
            <v>EDI</v>
          </cell>
          <cell r="L4495">
            <v>1195</v>
          </cell>
          <cell r="N4495" t="str">
            <v>Production</v>
          </cell>
          <cell r="O4495" t="str">
            <v>Everything Benefits</v>
          </cell>
          <cell r="P4495" t="str">
            <v>Production</v>
          </cell>
          <cell r="Q4495" t="str">
            <v>Cancelled</v>
          </cell>
          <cell r="R4495">
            <v>44680.108217592591</v>
          </cell>
          <cell r="S4495" t="str">
            <v>Karen Ramy</v>
          </cell>
          <cell r="T4495">
            <v>44745</v>
          </cell>
          <cell r="U4495" t="str">
            <v>Billy Smith</v>
          </cell>
          <cell r="V4495">
            <v>44794</v>
          </cell>
          <cell r="W4495">
            <v>44935</v>
          </cell>
          <cell r="Y4495">
            <v>44740</v>
          </cell>
          <cell r="AC4495">
            <v>44931</v>
          </cell>
        </row>
        <row r="4496">
          <cell r="I4496" t="str">
            <v>EDI</v>
          </cell>
          <cell r="L4496">
            <v>1197</v>
          </cell>
          <cell r="N4496" t="str">
            <v>Production</v>
          </cell>
          <cell r="O4496" t="str">
            <v>Everything Benefits</v>
          </cell>
          <cell r="P4496" t="str">
            <v>Production</v>
          </cell>
          <cell r="Q4496" t="str">
            <v>Cancelled</v>
          </cell>
          <cell r="R4496">
            <v>44680.108206018522</v>
          </cell>
          <cell r="S4496" t="str">
            <v>Alaa Yehia</v>
          </cell>
          <cell r="T4496">
            <v>44745</v>
          </cell>
          <cell r="U4496" t="str">
            <v>Billy Smith</v>
          </cell>
          <cell r="V4496">
            <v>44774</v>
          </cell>
          <cell r="W4496">
            <v>44903</v>
          </cell>
          <cell r="Y4496">
            <v>44738</v>
          </cell>
          <cell r="AC4496">
            <v>44899</v>
          </cell>
        </row>
        <row r="4497">
          <cell r="I4497" t="str">
            <v>EDI</v>
          </cell>
          <cell r="L4497">
            <v>1229</v>
          </cell>
          <cell r="N4497" t="str">
            <v>Production</v>
          </cell>
          <cell r="O4497" t="str">
            <v>Everything Benefits</v>
          </cell>
          <cell r="P4497" t="str">
            <v>Production</v>
          </cell>
          <cell r="Q4497" t="str">
            <v>Cancelled</v>
          </cell>
          <cell r="R4497">
            <v>44680.108194444438</v>
          </cell>
          <cell r="S4497" t="str">
            <v>Nada Ashraf</v>
          </cell>
          <cell r="T4497">
            <v>44748</v>
          </cell>
          <cell r="U4497" t="str">
            <v>Billy Smith</v>
          </cell>
          <cell r="V4497">
            <v>44866</v>
          </cell>
          <cell r="W4497">
            <v>44927</v>
          </cell>
          <cell r="Y4497">
            <v>44733</v>
          </cell>
          <cell r="AC4497">
            <v>44913</v>
          </cell>
        </row>
        <row r="4498">
          <cell r="I4498" t="str">
            <v>EDI</v>
          </cell>
          <cell r="L4498">
            <v>1252</v>
          </cell>
          <cell r="N4498" t="str">
            <v>Testing</v>
          </cell>
          <cell r="O4498" t="str">
            <v>Everything Benefits</v>
          </cell>
          <cell r="P4498" t="str">
            <v>Phase 3</v>
          </cell>
          <cell r="Q4498" t="str">
            <v>Cancelled</v>
          </cell>
          <cell r="R4498">
            <v>44680.089259259257</v>
          </cell>
          <cell r="S4498" t="str">
            <v>Tarek Medhat</v>
          </cell>
          <cell r="T4498">
            <v>44790</v>
          </cell>
          <cell r="U4498" t="str">
            <v>Billy Smith</v>
          </cell>
          <cell r="Y4498">
            <v>44749</v>
          </cell>
        </row>
        <row r="4499">
          <cell r="I4499" t="str">
            <v>EDI</v>
          </cell>
          <cell r="L4499">
            <v>1310</v>
          </cell>
          <cell r="N4499" t="str">
            <v>Testing</v>
          </cell>
          <cell r="O4499" t="str">
            <v>Everything Benefits</v>
          </cell>
          <cell r="P4499" t="str">
            <v>Phase 2</v>
          </cell>
          <cell r="Q4499" t="str">
            <v>Cancelled</v>
          </cell>
          <cell r="R4499">
            <v>44680.089247685188</v>
          </cell>
          <cell r="S4499" t="str">
            <v>Fady Maged Old Account</v>
          </cell>
          <cell r="T4499">
            <v>44765</v>
          </cell>
          <cell r="U4499" t="str">
            <v>Billy Smith</v>
          </cell>
          <cell r="V4499">
            <v>44774</v>
          </cell>
          <cell r="Y4499">
            <v>44762</v>
          </cell>
        </row>
        <row r="4500">
          <cell r="I4500" t="str">
            <v>EDI</v>
          </cell>
          <cell r="L4500">
            <v>1134</v>
          </cell>
          <cell r="N4500" t="str">
            <v>Production</v>
          </cell>
          <cell r="O4500" t="str">
            <v>Everything Benefits</v>
          </cell>
          <cell r="P4500" t="str">
            <v>Production</v>
          </cell>
          <cell r="Q4500" t="str">
            <v>Cancelled</v>
          </cell>
          <cell r="R4500">
            <v>44680.077974537038</v>
          </cell>
          <cell r="S4500" t="str">
            <v>Mohamed Abdelhamed</v>
          </cell>
          <cell r="T4500">
            <v>44732</v>
          </cell>
          <cell r="U4500" t="str">
            <v>Billy Smith</v>
          </cell>
          <cell r="V4500">
            <v>44745</v>
          </cell>
          <cell r="W4500">
            <v>44762</v>
          </cell>
          <cell r="Y4500">
            <v>44731</v>
          </cell>
          <cell r="AC4500">
            <v>44762</v>
          </cell>
        </row>
        <row r="4501">
          <cell r="I4501" t="str">
            <v>EDI</v>
          </cell>
          <cell r="L4501">
            <v>1186</v>
          </cell>
          <cell r="N4501" t="str">
            <v>Production</v>
          </cell>
          <cell r="O4501" t="str">
            <v>Everything Benefits</v>
          </cell>
          <cell r="P4501" t="str">
            <v>Production</v>
          </cell>
          <cell r="Q4501" t="str">
            <v>Cancelled</v>
          </cell>
          <cell r="R4501">
            <v>44680.070694444446</v>
          </cell>
          <cell r="S4501" t="str">
            <v>Mahmoud Ahmed</v>
          </cell>
          <cell r="T4501">
            <v>44745</v>
          </cell>
          <cell r="U4501" t="str">
            <v>Billy Smith</v>
          </cell>
          <cell r="V4501">
            <v>44747</v>
          </cell>
          <cell r="W4501">
            <v>44873</v>
          </cell>
          <cell r="Y4501">
            <v>44731</v>
          </cell>
          <cell r="AC4501">
            <v>44871</v>
          </cell>
        </row>
        <row r="4502">
          <cell r="I4502" t="str">
            <v>EDI</v>
          </cell>
          <cell r="L4502">
            <v>1269</v>
          </cell>
          <cell r="N4502" t="str">
            <v>Testing</v>
          </cell>
          <cell r="O4502" t="str">
            <v>Everything Benefits</v>
          </cell>
          <cell r="P4502" t="str">
            <v>Migration Testing</v>
          </cell>
          <cell r="Q4502" t="str">
            <v>Cancelled</v>
          </cell>
          <cell r="R4502">
            <v>44680.064479166656</v>
          </cell>
          <cell r="S4502" t="str">
            <v>Zeyad Khaled</v>
          </cell>
          <cell r="T4502">
            <v>44950</v>
          </cell>
          <cell r="U4502" t="str">
            <v>Billy Smith</v>
          </cell>
          <cell r="V4502">
            <v>44771</v>
          </cell>
          <cell r="Y4502">
            <v>44749</v>
          </cell>
        </row>
        <row r="4503">
          <cell r="I4503" t="str">
            <v>EDI</v>
          </cell>
          <cell r="L4503">
            <v>1271</v>
          </cell>
          <cell r="N4503" t="str">
            <v>Production</v>
          </cell>
          <cell r="O4503" t="str">
            <v>Everything Benefits</v>
          </cell>
          <cell r="P4503" t="str">
            <v>Production</v>
          </cell>
          <cell r="Q4503" t="str">
            <v>Live</v>
          </cell>
          <cell r="R4503">
            <v>44680.063449074078</v>
          </cell>
          <cell r="S4503" t="str">
            <v>Mahmoud Ahmed</v>
          </cell>
          <cell r="T4503">
            <v>44763</v>
          </cell>
          <cell r="U4503" t="str">
            <v>Billy Smith</v>
          </cell>
          <cell r="V4503">
            <v>44768</v>
          </cell>
          <cell r="W4503">
            <v>44837</v>
          </cell>
          <cell r="Y4503">
            <v>44763</v>
          </cell>
          <cell r="AC4503">
            <v>44836</v>
          </cell>
        </row>
        <row r="4504">
          <cell r="I4504" t="str">
            <v>EDI</v>
          </cell>
          <cell r="L4504">
            <v>1182</v>
          </cell>
          <cell r="N4504" t="str">
            <v>Testing</v>
          </cell>
          <cell r="O4504" t="str">
            <v>Everything Benefits</v>
          </cell>
          <cell r="P4504" t="str">
            <v>Migration Testing</v>
          </cell>
          <cell r="Q4504" t="str">
            <v>Cancelled</v>
          </cell>
          <cell r="R4504">
            <v>44680.063437500001</v>
          </cell>
          <cell r="S4504" t="str">
            <v>Zeyad Khaled</v>
          </cell>
          <cell r="T4504">
            <v>44745</v>
          </cell>
          <cell r="U4504" t="str">
            <v>Billy Smith</v>
          </cell>
          <cell r="V4504">
            <v>44773</v>
          </cell>
          <cell r="Y4504">
            <v>44745</v>
          </cell>
        </row>
        <row r="4505">
          <cell r="I4505" t="str">
            <v>EDI</v>
          </cell>
          <cell r="L4505">
            <v>1169</v>
          </cell>
          <cell r="N4505" t="str">
            <v>Production</v>
          </cell>
          <cell r="O4505" t="str">
            <v>Everything Benefits</v>
          </cell>
          <cell r="P4505" t="str">
            <v>Production</v>
          </cell>
          <cell r="Q4505" t="str">
            <v>Live</v>
          </cell>
          <cell r="R4505">
            <v>44680.054166666669</v>
          </cell>
          <cell r="S4505" t="str">
            <v>Mahmoud Ahmed</v>
          </cell>
          <cell r="T4505">
            <v>44738</v>
          </cell>
          <cell r="U4505" t="str">
            <v>Billy Smith</v>
          </cell>
          <cell r="V4505">
            <v>44740</v>
          </cell>
          <cell r="W4505">
            <v>44795</v>
          </cell>
          <cell r="Y4505">
            <v>44728</v>
          </cell>
          <cell r="AC4505">
            <v>44793</v>
          </cell>
        </row>
        <row r="4506">
          <cell r="I4506" t="str">
            <v>EDI</v>
          </cell>
          <cell r="L4506">
            <v>1179</v>
          </cell>
          <cell r="N4506" t="str">
            <v>Production</v>
          </cell>
          <cell r="O4506" t="str">
            <v>Everything Benefits</v>
          </cell>
          <cell r="P4506" t="str">
            <v>Production</v>
          </cell>
          <cell r="Q4506" t="str">
            <v>Cancelled</v>
          </cell>
          <cell r="R4506">
            <v>44680.054155092592</v>
          </cell>
          <cell r="S4506" t="str">
            <v>Hazem Rostom</v>
          </cell>
          <cell r="T4506">
            <v>44790</v>
          </cell>
          <cell r="U4506" t="str">
            <v>Billy Smith</v>
          </cell>
          <cell r="V4506">
            <v>44816</v>
          </cell>
          <cell r="W4506">
            <v>44865</v>
          </cell>
          <cell r="Y4506">
            <v>44727</v>
          </cell>
          <cell r="AC4506">
            <v>44864</v>
          </cell>
        </row>
        <row r="4507">
          <cell r="I4507" t="str">
            <v>EDI</v>
          </cell>
          <cell r="L4507">
            <v>1159</v>
          </cell>
          <cell r="N4507" t="str">
            <v>Production</v>
          </cell>
          <cell r="O4507" t="str">
            <v>Everything Benefits</v>
          </cell>
          <cell r="P4507" t="str">
            <v>Production</v>
          </cell>
          <cell r="Q4507" t="str">
            <v>Cancelled</v>
          </cell>
          <cell r="R4507">
            <v>44680.054155092592</v>
          </cell>
          <cell r="S4507" t="str">
            <v>Alaa Yehia</v>
          </cell>
          <cell r="T4507">
            <v>44735</v>
          </cell>
          <cell r="U4507" t="str">
            <v>Billy Smith</v>
          </cell>
          <cell r="V4507">
            <v>44774</v>
          </cell>
          <cell r="W4507">
            <v>44830</v>
          </cell>
          <cell r="Y4507">
            <v>44733</v>
          </cell>
          <cell r="AC4507">
            <v>44828</v>
          </cell>
        </row>
        <row r="4508">
          <cell r="I4508" t="str">
            <v>EDI</v>
          </cell>
          <cell r="L4508">
            <v>1374</v>
          </cell>
          <cell r="N4508" t="str">
            <v>Production</v>
          </cell>
          <cell r="O4508" t="str">
            <v>Everything Benefits</v>
          </cell>
          <cell r="P4508" t="str">
            <v>Production</v>
          </cell>
          <cell r="Q4508" t="str">
            <v>Live</v>
          </cell>
          <cell r="R4508">
            <v>44680.046168981477</v>
          </cell>
          <cell r="S4508" t="str">
            <v>Mahmoud Ahmed</v>
          </cell>
          <cell r="T4508">
            <v>44787</v>
          </cell>
          <cell r="U4508" t="str">
            <v>Jene Hamm</v>
          </cell>
          <cell r="V4508">
            <v>44865</v>
          </cell>
          <cell r="W4508">
            <v>45131</v>
          </cell>
          <cell r="AC4508">
            <v>45131</v>
          </cell>
        </row>
        <row r="4509">
          <cell r="I4509" t="str">
            <v>EDI</v>
          </cell>
          <cell r="L4509">
            <v>1168</v>
          </cell>
          <cell r="N4509" t="str">
            <v>Production</v>
          </cell>
          <cell r="O4509" t="str">
            <v>Everything Benefits</v>
          </cell>
          <cell r="P4509" t="str">
            <v>Production</v>
          </cell>
          <cell r="Q4509" t="str">
            <v>Cancelled</v>
          </cell>
          <cell r="R4509">
            <v>44680.046157407407</v>
          </cell>
          <cell r="S4509" t="str">
            <v>Khalid Walid</v>
          </cell>
          <cell r="T4509">
            <v>44739</v>
          </cell>
          <cell r="U4509" t="str">
            <v>Billy Smith</v>
          </cell>
          <cell r="V4509">
            <v>44749</v>
          </cell>
          <cell r="W4509">
            <v>44788</v>
          </cell>
          <cell r="Y4509">
            <v>44733</v>
          </cell>
          <cell r="AC4509">
            <v>44787</v>
          </cell>
        </row>
        <row r="4510">
          <cell r="I4510" t="str">
            <v>EDI</v>
          </cell>
          <cell r="L4510">
            <v>1165</v>
          </cell>
          <cell r="N4510" t="str">
            <v>Production</v>
          </cell>
          <cell r="O4510" t="str">
            <v>Everything Benefits</v>
          </cell>
          <cell r="P4510" t="str">
            <v>Production</v>
          </cell>
          <cell r="Q4510" t="str">
            <v>Cancelled</v>
          </cell>
          <cell r="R4510">
            <v>44679.92391203704</v>
          </cell>
          <cell r="S4510" t="str">
            <v>Tarek Medhat</v>
          </cell>
          <cell r="T4510">
            <v>44739</v>
          </cell>
          <cell r="U4510" t="str">
            <v>Melodie Coles</v>
          </cell>
          <cell r="V4510">
            <v>44767</v>
          </cell>
          <cell r="W4510">
            <v>44809</v>
          </cell>
          <cell r="Y4510">
            <v>44719</v>
          </cell>
          <cell r="AC4510">
            <v>44808</v>
          </cell>
        </row>
        <row r="4511">
          <cell r="I4511" t="str">
            <v>EDI</v>
          </cell>
          <cell r="L4511">
            <v>1115</v>
          </cell>
          <cell r="N4511" t="str">
            <v>Production</v>
          </cell>
          <cell r="O4511" t="str">
            <v>Everything Benefits</v>
          </cell>
          <cell r="P4511" t="str">
            <v>Production</v>
          </cell>
          <cell r="Q4511" t="str">
            <v>Live</v>
          </cell>
          <cell r="R4511">
            <v>44679.923900462964</v>
          </cell>
          <cell r="S4511" t="str">
            <v>Mohamed Abdelhamed</v>
          </cell>
          <cell r="T4511">
            <v>44727</v>
          </cell>
          <cell r="U4511" t="str">
            <v>Melodie Coles</v>
          </cell>
          <cell r="V4511">
            <v>44738</v>
          </cell>
          <cell r="W4511">
            <v>44832</v>
          </cell>
          <cell r="Y4511">
            <v>44720</v>
          </cell>
          <cell r="AC4511">
            <v>44829</v>
          </cell>
        </row>
        <row r="4512">
          <cell r="I4512" t="str">
            <v>EDI</v>
          </cell>
          <cell r="L4512">
            <v>1114</v>
          </cell>
          <cell r="N4512" t="str">
            <v>Production</v>
          </cell>
          <cell r="O4512" t="str">
            <v>Everything Benefits</v>
          </cell>
          <cell r="P4512" t="str">
            <v>Production</v>
          </cell>
          <cell r="Q4512" t="str">
            <v>Live</v>
          </cell>
          <cell r="R4512">
            <v>44679.923888888887</v>
          </cell>
          <cell r="S4512" t="str">
            <v>Mohamed Abdelhamed</v>
          </cell>
          <cell r="T4512">
            <v>44727</v>
          </cell>
          <cell r="U4512" t="str">
            <v>Melodie Coles</v>
          </cell>
          <cell r="V4512">
            <v>44746</v>
          </cell>
          <cell r="W4512">
            <v>44788</v>
          </cell>
          <cell r="Y4512">
            <v>44724</v>
          </cell>
          <cell r="AC4512">
            <v>44787</v>
          </cell>
        </row>
        <row r="4513">
          <cell r="I4513" t="str">
            <v>EDI</v>
          </cell>
          <cell r="N4513" t="str">
            <v>Pending Start</v>
          </cell>
          <cell r="O4513" t="str">
            <v>Everything Benefits</v>
          </cell>
          <cell r="P4513" t="str">
            <v>Map Under Review</v>
          </cell>
          <cell r="Q4513" t="str">
            <v>Cancelled</v>
          </cell>
          <cell r="R4513">
            <v>44679.864282407398</v>
          </cell>
          <cell r="U4513" t="str">
            <v>Melodie Coles</v>
          </cell>
        </row>
        <row r="4514">
          <cell r="I4514" t="str">
            <v>EDI</v>
          </cell>
          <cell r="N4514" t="str">
            <v>Requirements Gathering</v>
          </cell>
          <cell r="O4514" t="str">
            <v>Everything Benefits</v>
          </cell>
          <cell r="P4514" t="str">
            <v>Phase 1 - Map Built</v>
          </cell>
          <cell r="Q4514" t="str">
            <v>Cancelled</v>
          </cell>
          <cell r="R4514">
            <v>44679.864270833343</v>
          </cell>
          <cell r="S4514" t="str">
            <v>Sara Mohamed</v>
          </cell>
          <cell r="T4514">
            <v>44719</v>
          </cell>
          <cell r="U4514" t="str">
            <v>Melodie Coles</v>
          </cell>
        </row>
        <row r="4515">
          <cell r="I4515" t="str">
            <v>EDI</v>
          </cell>
          <cell r="L4515">
            <v>1376</v>
          </cell>
          <cell r="N4515" t="str">
            <v>Production</v>
          </cell>
          <cell r="O4515" t="str">
            <v>Everything Benefits</v>
          </cell>
          <cell r="P4515" t="str">
            <v>Production</v>
          </cell>
          <cell r="Q4515" t="str">
            <v>Live</v>
          </cell>
          <cell r="R4515">
            <v>44679.832928240743</v>
          </cell>
          <cell r="S4515" t="str">
            <v>Zeyad Khaled</v>
          </cell>
          <cell r="T4515">
            <v>44943</v>
          </cell>
          <cell r="U4515" t="str">
            <v>Trish Kalinczok</v>
          </cell>
          <cell r="V4515">
            <v>44823</v>
          </cell>
          <cell r="W4515">
            <v>45208</v>
          </cell>
          <cell r="AC4515">
            <v>45207</v>
          </cell>
        </row>
        <row r="4516">
          <cell r="I4516" t="str">
            <v>EDI</v>
          </cell>
          <cell r="L4516">
            <v>1432</v>
          </cell>
          <cell r="N4516" t="str">
            <v>Production</v>
          </cell>
          <cell r="O4516" t="str">
            <v>Everything Benefits</v>
          </cell>
          <cell r="P4516" t="str">
            <v>Production</v>
          </cell>
          <cell r="Q4516" t="str">
            <v>Cancelled</v>
          </cell>
          <cell r="R4516">
            <v>44679.81591435185</v>
          </cell>
          <cell r="S4516" t="str">
            <v>Karim Tarek</v>
          </cell>
          <cell r="T4516">
            <v>44879</v>
          </cell>
          <cell r="U4516" t="str">
            <v>Jene Hamm</v>
          </cell>
          <cell r="V4516">
            <v>44823</v>
          </cell>
          <cell r="W4516">
            <v>45222</v>
          </cell>
          <cell r="AC4516">
            <v>45221</v>
          </cell>
        </row>
        <row r="4517">
          <cell r="I4517" t="str">
            <v>EDI</v>
          </cell>
          <cell r="L4517">
            <v>1189</v>
          </cell>
          <cell r="N4517" t="str">
            <v>Production</v>
          </cell>
          <cell r="O4517" t="str">
            <v>Everything Benefits</v>
          </cell>
          <cell r="P4517" t="str">
            <v>Production</v>
          </cell>
          <cell r="Q4517" t="str">
            <v>Live</v>
          </cell>
          <cell r="R4517">
            <v>44679.801365740743</v>
          </cell>
          <cell r="S4517" t="str">
            <v>Mohamed Abdelhamed</v>
          </cell>
          <cell r="T4517">
            <v>44745</v>
          </cell>
          <cell r="U4517" t="str">
            <v>Melodie Coles</v>
          </cell>
          <cell r="V4517">
            <v>44748</v>
          </cell>
          <cell r="W4517">
            <v>44792</v>
          </cell>
          <cell r="Y4517">
            <v>44725</v>
          </cell>
          <cell r="AC4517">
            <v>44787</v>
          </cell>
        </row>
        <row r="4518">
          <cell r="I4518" t="str">
            <v>EDI</v>
          </cell>
          <cell r="L4518">
            <v>1211</v>
          </cell>
          <cell r="N4518" t="str">
            <v>Production</v>
          </cell>
          <cell r="O4518" t="str">
            <v>Everything Benefits</v>
          </cell>
          <cell r="P4518" t="str">
            <v>Production</v>
          </cell>
          <cell r="Q4518" t="str">
            <v>Cancelled</v>
          </cell>
          <cell r="R4518">
            <v>44679.801354166673</v>
          </cell>
          <cell r="S4518" t="str">
            <v>Kareem Osama</v>
          </cell>
          <cell r="T4518">
            <v>44747</v>
          </cell>
          <cell r="U4518" t="str">
            <v>Melodie Coles</v>
          </cell>
          <cell r="V4518">
            <v>25569</v>
          </cell>
          <cell r="W4518">
            <v>25569</v>
          </cell>
          <cell r="Y4518">
            <v>44722</v>
          </cell>
          <cell r="AC4518">
            <v>44793</v>
          </cell>
        </row>
        <row r="4519">
          <cell r="I4519" t="str">
            <v>EDI</v>
          </cell>
          <cell r="L4519">
            <v>957</v>
          </cell>
          <cell r="N4519" t="str">
            <v>Production</v>
          </cell>
          <cell r="O4519" t="str">
            <v>No</v>
          </cell>
          <cell r="Q4519" t="str">
            <v>Cancelled</v>
          </cell>
          <cell r="R4519">
            <v>44679.792395833327</v>
          </cell>
          <cell r="S4519" t="str">
            <v>Fady Bassel</v>
          </cell>
          <cell r="T4519">
            <v>44692</v>
          </cell>
          <cell r="U4519" t="str">
            <v>Miranda Naeem</v>
          </cell>
          <cell r="V4519">
            <v>44735</v>
          </cell>
          <cell r="W4519">
            <v>44754</v>
          </cell>
          <cell r="Y4519">
            <v>44691</v>
          </cell>
          <cell r="AC4519">
            <v>44749</v>
          </cell>
        </row>
        <row r="4520">
          <cell r="I4520" t="str">
            <v>EDI</v>
          </cell>
          <cell r="L4520">
            <v>931</v>
          </cell>
          <cell r="N4520" t="str">
            <v>Production</v>
          </cell>
          <cell r="O4520" t="str">
            <v>No</v>
          </cell>
          <cell r="Q4520" t="str">
            <v>Cancelled</v>
          </cell>
          <cell r="R4520">
            <v>44679.791689814818</v>
          </cell>
          <cell r="S4520" t="str">
            <v>Omar Elmahalwy Old Account</v>
          </cell>
          <cell r="T4520">
            <v>44692</v>
          </cell>
          <cell r="U4520" t="str">
            <v>Denise Stubenvoll</v>
          </cell>
          <cell r="V4520">
            <v>44749</v>
          </cell>
          <cell r="W4520">
            <v>44786</v>
          </cell>
          <cell r="Y4520">
            <v>44686</v>
          </cell>
          <cell r="AC4520">
            <v>44783</v>
          </cell>
        </row>
        <row r="4521">
          <cell r="I4521" t="str">
            <v>EDI</v>
          </cell>
          <cell r="L4521">
            <v>1161</v>
          </cell>
          <cell r="N4521" t="str">
            <v>Production</v>
          </cell>
          <cell r="O4521" t="str">
            <v>Everything Benefits</v>
          </cell>
          <cell r="P4521" t="str">
            <v>Production</v>
          </cell>
          <cell r="Q4521" t="str">
            <v>Cancelled</v>
          </cell>
          <cell r="R4521">
            <v>44679.742893518523</v>
          </cell>
          <cell r="S4521" t="str">
            <v>Tarek Medhat</v>
          </cell>
          <cell r="T4521">
            <v>44738</v>
          </cell>
          <cell r="U4521" t="str">
            <v>Melodie Coles</v>
          </cell>
          <cell r="V4521">
            <v>44767</v>
          </cell>
          <cell r="W4521">
            <v>44781</v>
          </cell>
          <cell r="Y4521">
            <v>44721</v>
          </cell>
          <cell r="AC4521">
            <v>44780</v>
          </cell>
        </row>
        <row r="4522">
          <cell r="I4522" t="str">
            <v>EDI</v>
          </cell>
          <cell r="L4522">
            <v>1309</v>
          </cell>
          <cell r="N4522" t="str">
            <v>Production</v>
          </cell>
          <cell r="O4522" t="str">
            <v>Everything Benefits</v>
          </cell>
          <cell r="P4522" t="str">
            <v>Production</v>
          </cell>
          <cell r="Q4522" t="str">
            <v>Cancelled</v>
          </cell>
          <cell r="R4522">
            <v>44679.703750000001</v>
          </cell>
          <cell r="S4522" t="str">
            <v>Kareem Osama</v>
          </cell>
          <cell r="T4522">
            <v>44773</v>
          </cell>
          <cell r="U4522" t="str">
            <v>Melodie Coles</v>
          </cell>
          <cell r="V4522">
            <v>44855</v>
          </cell>
          <cell r="W4522">
            <v>44960</v>
          </cell>
          <cell r="Y4522">
            <v>44734</v>
          </cell>
          <cell r="AC4522">
            <v>44955</v>
          </cell>
        </row>
        <row r="4523">
          <cell r="I4523" t="str">
            <v>EDI</v>
          </cell>
          <cell r="L4523">
            <v>1219</v>
          </cell>
          <cell r="N4523" t="str">
            <v>Production</v>
          </cell>
          <cell r="O4523" t="str">
            <v>Everything Benefits</v>
          </cell>
          <cell r="P4523" t="str">
            <v>Production</v>
          </cell>
          <cell r="Q4523" t="str">
            <v>Live</v>
          </cell>
          <cell r="R4523">
            <v>44679.684907407413</v>
          </cell>
          <cell r="S4523" t="str">
            <v>Karen Ramy</v>
          </cell>
          <cell r="T4523">
            <v>44748</v>
          </cell>
          <cell r="U4523" t="str">
            <v>Melodie Coles</v>
          </cell>
          <cell r="V4523">
            <v>25569</v>
          </cell>
          <cell r="W4523">
            <v>44799</v>
          </cell>
          <cell r="Y4523">
            <v>44726</v>
          </cell>
          <cell r="AC4523">
            <v>44794</v>
          </cell>
        </row>
        <row r="4524">
          <cell r="I4524" t="str">
            <v>EDI</v>
          </cell>
          <cell r="L4524">
            <v>1279</v>
          </cell>
          <cell r="N4524" t="str">
            <v>Production</v>
          </cell>
          <cell r="O4524" t="str">
            <v>Everything Benefits</v>
          </cell>
          <cell r="P4524" t="str">
            <v>Production</v>
          </cell>
          <cell r="Q4524" t="str">
            <v>Cancelled</v>
          </cell>
          <cell r="R4524">
            <v>44679.684907407413</v>
          </cell>
          <cell r="S4524" t="str">
            <v>Alaa Yehia</v>
          </cell>
          <cell r="T4524">
            <v>44766</v>
          </cell>
          <cell r="U4524" t="str">
            <v>Melodie Coles</v>
          </cell>
          <cell r="V4524">
            <v>44776</v>
          </cell>
          <cell r="W4524">
            <v>45128</v>
          </cell>
          <cell r="Y4524">
            <v>44728</v>
          </cell>
          <cell r="AC4524">
            <v>45123</v>
          </cell>
        </row>
        <row r="4525">
          <cell r="I4525" t="str">
            <v>EDI</v>
          </cell>
          <cell r="L4525">
            <v>1210</v>
          </cell>
          <cell r="N4525" t="str">
            <v>Production</v>
          </cell>
          <cell r="O4525" t="str">
            <v>Everything Benefits</v>
          </cell>
          <cell r="P4525" t="str">
            <v>Production</v>
          </cell>
          <cell r="Q4525" t="str">
            <v>Live</v>
          </cell>
          <cell r="R4525">
            <v>44679.684895833343</v>
          </cell>
          <cell r="S4525" t="str">
            <v>Kareem Osama</v>
          </cell>
          <cell r="T4525">
            <v>44768</v>
          </cell>
          <cell r="U4525" t="str">
            <v>Melodie Coles</v>
          </cell>
          <cell r="V4525">
            <v>44770</v>
          </cell>
          <cell r="W4525">
            <v>44932</v>
          </cell>
          <cell r="Y4525">
            <v>44719</v>
          </cell>
          <cell r="AC4525">
            <v>44928</v>
          </cell>
        </row>
        <row r="4526">
          <cell r="I4526" t="str">
            <v>EDI</v>
          </cell>
          <cell r="L4526">
            <v>1265</v>
          </cell>
          <cell r="N4526" t="str">
            <v>Production</v>
          </cell>
          <cell r="O4526" t="str">
            <v>Everything Benefits</v>
          </cell>
          <cell r="P4526" t="str">
            <v>Production</v>
          </cell>
          <cell r="Q4526" t="str">
            <v>Cancelled</v>
          </cell>
          <cell r="R4526">
            <v>44679.684895833343</v>
          </cell>
          <cell r="S4526" t="str">
            <v>Salma Yamani</v>
          </cell>
          <cell r="T4526">
            <v>44762</v>
          </cell>
          <cell r="U4526" t="str">
            <v>Melodie Coles</v>
          </cell>
          <cell r="V4526">
            <v>44841</v>
          </cell>
          <cell r="W4526">
            <v>44894</v>
          </cell>
          <cell r="Y4526">
            <v>44720</v>
          </cell>
          <cell r="AC4526">
            <v>44885</v>
          </cell>
        </row>
        <row r="4527">
          <cell r="I4527" t="str">
            <v>EDI</v>
          </cell>
          <cell r="L4527">
            <v>1288</v>
          </cell>
          <cell r="N4527" t="str">
            <v>Production</v>
          </cell>
          <cell r="O4527" t="str">
            <v>Everything Benefits</v>
          </cell>
          <cell r="P4527" t="str">
            <v>Production</v>
          </cell>
          <cell r="Q4527" t="str">
            <v>Live</v>
          </cell>
          <cell r="R4527">
            <v>44679.684884259259</v>
          </cell>
          <cell r="S4527" t="str">
            <v>Mina Kamil</v>
          </cell>
          <cell r="T4527">
            <v>44889</v>
          </cell>
          <cell r="U4527" t="str">
            <v>Melodie Coles</v>
          </cell>
          <cell r="V4527">
            <v>44883</v>
          </cell>
          <cell r="W4527">
            <v>45037</v>
          </cell>
          <cell r="Y4527">
            <v>44754</v>
          </cell>
          <cell r="AC4527">
            <v>45034</v>
          </cell>
        </row>
        <row r="4528">
          <cell r="I4528" t="str">
            <v>EDI</v>
          </cell>
          <cell r="L4528">
            <v>1199</v>
          </cell>
          <cell r="N4528" t="str">
            <v>Production</v>
          </cell>
          <cell r="O4528" t="str">
            <v>Everything Benefits</v>
          </cell>
          <cell r="P4528" t="str">
            <v>Production</v>
          </cell>
          <cell r="Q4528" t="str">
            <v>Live</v>
          </cell>
          <cell r="R4528">
            <v>44679.647986111107</v>
          </cell>
          <cell r="S4528" t="str">
            <v>Mohamed Abdelhamed</v>
          </cell>
          <cell r="T4528">
            <v>44746</v>
          </cell>
          <cell r="U4528" t="str">
            <v>Melodie Coles</v>
          </cell>
          <cell r="V4528">
            <v>44760</v>
          </cell>
          <cell r="W4528">
            <v>44795</v>
          </cell>
          <cell r="Y4528">
            <v>44724</v>
          </cell>
          <cell r="AC4528">
            <v>44791</v>
          </cell>
        </row>
        <row r="4529">
          <cell r="I4529" t="str">
            <v>EDI</v>
          </cell>
          <cell r="L4529">
            <v>1163</v>
          </cell>
          <cell r="N4529" t="str">
            <v>Production</v>
          </cell>
          <cell r="O4529" t="str">
            <v>Everything Benefits</v>
          </cell>
          <cell r="P4529" t="str">
            <v>Production</v>
          </cell>
          <cell r="Q4529" t="str">
            <v>Live</v>
          </cell>
          <cell r="R4529">
            <v>44679.647986111107</v>
          </cell>
          <cell r="S4529" t="str">
            <v>Mina Kamil Old Account</v>
          </cell>
          <cell r="T4529">
            <v>44738</v>
          </cell>
          <cell r="U4529" t="str">
            <v>Melodie Coles</v>
          </cell>
          <cell r="V4529">
            <v>44789</v>
          </cell>
          <cell r="W4529">
            <v>44796</v>
          </cell>
          <cell r="Y4529">
            <v>44717</v>
          </cell>
          <cell r="AC4529">
            <v>44791</v>
          </cell>
        </row>
        <row r="4530">
          <cell r="I4530" t="str">
            <v>EDI</v>
          </cell>
          <cell r="L4530">
            <v>1164</v>
          </cell>
          <cell r="N4530" t="str">
            <v>Production</v>
          </cell>
          <cell r="O4530" t="str">
            <v>Everything Benefits</v>
          </cell>
          <cell r="P4530" t="str">
            <v>Production</v>
          </cell>
          <cell r="Q4530" t="str">
            <v>Live</v>
          </cell>
          <cell r="R4530">
            <v>44679.647974537038</v>
          </cell>
          <cell r="S4530" t="str">
            <v>Mina Kamil Old Account</v>
          </cell>
          <cell r="T4530">
            <v>44738</v>
          </cell>
          <cell r="U4530" t="str">
            <v>Melodie Coles</v>
          </cell>
          <cell r="V4530">
            <v>44798</v>
          </cell>
          <cell r="W4530">
            <v>25569</v>
          </cell>
          <cell r="Y4530">
            <v>44714</v>
          </cell>
          <cell r="AC4530">
            <v>44808</v>
          </cell>
        </row>
        <row r="4531">
          <cell r="I4531" t="str">
            <v>EDI</v>
          </cell>
          <cell r="L4531">
            <v>956</v>
          </cell>
          <cell r="N4531" t="str">
            <v>Production</v>
          </cell>
          <cell r="O4531" t="str">
            <v>No</v>
          </cell>
          <cell r="Q4531" t="str">
            <v>Live</v>
          </cell>
          <cell r="R4531">
            <v>44679.617129629631</v>
          </cell>
          <cell r="S4531" t="str">
            <v>Omar Elmahalwy Old Account</v>
          </cell>
          <cell r="T4531">
            <v>44696</v>
          </cell>
          <cell r="U4531" t="str">
            <v>Miranda Naeem</v>
          </cell>
          <cell r="V4531">
            <v>44700</v>
          </cell>
          <cell r="W4531">
            <v>44712</v>
          </cell>
          <cell r="Y4531">
            <v>44696</v>
          </cell>
          <cell r="AC4531">
            <v>44706</v>
          </cell>
        </row>
        <row r="4532">
          <cell r="I4532" t="str">
            <v>EDI</v>
          </cell>
          <cell r="L4532">
            <v>1276</v>
          </cell>
          <cell r="N4532" t="str">
            <v>Production</v>
          </cell>
          <cell r="O4532" t="str">
            <v>Everything Benefits</v>
          </cell>
          <cell r="P4532" t="str">
            <v>Production</v>
          </cell>
          <cell r="Q4532" t="str">
            <v>Live</v>
          </cell>
          <cell r="R4532">
            <v>44679.616793981477</v>
          </cell>
          <cell r="S4532" t="str">
            <v>Mirna Azmy</v>
          </cell>
          <cell r="T4532">
            <v>44766</v>
          </cell>
          <cell r="U4532" t="str">
            <v>Trish Kalinczok</v>
          </cell>
          <cell r="V4532">
            <v>44879</v>
          </cell>
          <cell r="W4532">
            <v>45159</v>
          </cell>
          <cell r="Y4532">
            <v>44726</v>
          </cell>
          <cell r="AC4532">
            <v>45158</v>
          </cell>
        </row>
        <row r="4533">
          <cell r="I4533" t="str">
            <v>EDI</v>
          </cell>
          <cell r="L4533">
            <v>979</v>
          </cell>
          <cell r="N4533" t="str">
            <v>Production</v>
          </cell>
          <cell r="O4533" t="str">
            <v>No</v>
          </cell>
          <cell r="Q4533" t="str">
            <v>Cancelled</v>
          </cell>
          <cell r="R4533">
            <v>44679.593055555553</v>
          </cell>
          <cell r="S4533" t="str">
            <v>Andrew Ramy</v>
          </cell>
          <cell r="T4533">
            <v>44698</v>
          </cell>
          <cell r="U4533" t="str">
            <v>Miranda Naeem</v>
          </cell>
          <cell r="V4533">
            <v>44740</v>
          </cell>
          <cell r="W4533">
            <v>44951</v>
          </cell>
          <cell r="Y4533">
            <v>44697</v>
          </cell>
          <cell r="AC4533">
            <v>44942</v>
          </cell>
        </row>
        <row r="4534">
          <cell r="I4534" t="str">
            <v>EDI</v>
          </cell>
          <cell r="L4534">
            <v>1062</v>
          </cell>
          <cell r="N4534" t="str">
            <v>Production</v>
          </cell>
          <cell r="O4534" t="str">
            <v>No</v>
          </cell>
          <cell r="Q4534" t="str">
            <v>Cancelled</v>
          </cell>
          <cell r="R4534">
            <v>44679.593055555553</v>
          </cell>
          <cell r="S4534" t="str">
            <v>Aya Fathy</v>
          </cell>
          <cell r="T4534">
            <v>44717</v>
          </cell>
          <cell r="U4534" t="str">
            <v>Miranda Naeem</v>
          </cell>
          <cell r="V4534">
            <v>44804</v>
          </cell>
          <cell r="W4534">
            <v>44866</v>
          </cell>
          <cell r="Y4534">
            <v>44717</v>
          </cell>
          <cell r="AC4534">
            <v>44864</v>
          </cell>
        </row>
        <row r="4535">
          <cell r="I4535" t="str">
            <v>EDI</v>
          </cell>
          <cell r="L4535">
            <v>963</v>
          </cell>
          <cell r="N4535" t="str">
            <v>Production</v>
          </cell>
          <cell r="O4535" t="str">
            <v>No</v>
          </cell>
          <cell r="Q4535" t="str">
            <v>Cancelled</v>
          </cell>
          <cell r="R4535">
            <v>44679.593055555553</v>
          </cell>
          <cell r="S4535" t="str">
            <v>Mina Adel Old Account</v>
          </cell>
          <cell r="T4535">
            <v>44696</v>
          </cell>
          <cell r="U4535" t="str">
            <v>Miranda Naeem</v>
          </cell>
          <cell r="V4535">
            <v>44749</v>
          </cell>
          <cell r="W4535">
            <v>44754</v>
          </cell>
          <cell r="Y4535">
            <v>44692</v>
          </cell>
          <cell r="AC4535">
            <v>44749</v>
          </cell>
        </row>
        <row r="4536">
          <cell r="I4536" t="str">
            <v>EDI</v>
          </cell>
          <cell r="L4536">
            <v>1023</v>
          </cell>
          <cell r="N4536" t="str">
            <v>Testing</v>
          </cell>
          <cell r="O4536" t="str">
            <v>No</v>
          </cell>
          <cell r="Q4536" t="str">
            <v>Cancelled</v>
          </cell>
          <cell r="R4536">
            <v>44679.54451388889</v>
          </cell>
          <cell r="S4536" t="str">
            <v>Ahmed Sami</v>
          </cell>
          <cell r="T4536">
            <v>44895</v>
          </cell>
          <cell r="V4536">
            <v>44711</v>
          </cell>
          <cell r="Y4536">
            <v>44690</v>
          </cell>
        </row>
        <row r="4537">
          <cell r="I4537" t="str">
            <v>EDI</v>
          </cell>
          <cell r="L4537">
            <v>847</v>
          </cell>
          <cell r="N4537" t="str">
            <v>Production</v>
          </cell>
          <cell r="O4537" t="str">
            <v>No</v>
          </cell>
          <cell r="Q4537" t="str">
            <v>Cancelled</v>
          </cell>
          <cell r="R4537">
            <v>44679.53056712963</v>
          </cell>
          <cell r="S4537" t="str">
            <v>Haytham Mohamed</v>
          </cell>
          <cell r="T4537">
            <v>44679</v>
          </cell>
          <cell r="U4537" t="str">
            <v>Miranda Naeem</v>
          </cell>
          <cell r="V4537">
            <v>44826</v>
          </cell>
          <cell r="W4537">
            <v>44994</v>
          </cell>
          <cell r="AC4537">
            <v>44990</v>
          </cell>
        </row>
        <row r="4538">
          <cell r="I4538" t="str">
            <v>EDI</v>
          </cell>
          <cell r="L4538">
            <v>929</v>
          </cell>
          <cell r="N4538" t="str">
            <v>Production</v>
          </cell>
          <cell r="O4538" t="str">
            <v>No</v>
          </cell>
          <cell r="Q4538" t="str">
            <v>Cancelled</v>
          </cell>
          <cell r="R4538">
            <v>44679.520787037043</v>
          </cell>
          <cell r="S4538" t="str">
            <v>Mina Adel Old Account</v>
          </cell>
          <cell r="T4538">
            <v>44692</v>
          </cell>
          <cell r="V4538">
            <v>44715</v>
          </cell>
          <cell r="W4538">
            <v>44720</v>
          </cell>
          <cell r="Y4538">
            <v>44685</v>
          </cell>
          <cell r="AC4538">
            <v>44719</v>
          </cell>
        </row>
        <row r="4539">
          <cell r="I4539" t="str">
            <v>EDI</v>
          </cell>
          <cell r="L4539">
            <v>1187</v>
          </cell>
          <cell r="N4539" t="str">
            <v>Production</v>
          </cell>
          <cell r="O4539" t="str">
            <v>Everything Benefits</v>
          </cell>
          <cell r="P4539" t="str">
            <v>Production</v>
          </cell>
          <cell r="Q4539" t="str">
            <v>Cancelled</v>
          </cell>
          <cell r="R4539">
            <v>44678.84306712963</v>
          </cell>
          <cell r="S4539" t="str">
            <v>Karim Tarek</v>
          </cell>
          <cell r="T4539">
            <v>44803</v>
          </cell>
          <cell r="U4539" t="str">
            <v>Billy Smith</v>
          </cell>
          <cell r="V4539">
            <v>44795</v>
          </cell>
          <cell r="W4539">
            <v>45089</v>
          </cell>
          <cell r="Y4539">
            <v>44717</v>
          </cell>
          <cell r="AC4539">
            <v>45088</v>
          </cell>
        </row>
        <row r="4540">
          <cell r="I4540" t="str">
            <v>EDI</v>
          </cell>
          <cell r="L4540">
            <v>1235</v>
          </cell>
          <cell r="N4540" t="str">
            <v>Production</v>
          </cell>
          <cell r="O4540" t="str">
            <v>Everything Benefits</v>
          </cell>
          <cell r="P4540" t="str">
            <v>Production</v>
          </cell>
          <cell r="Q4540" t="str">
            <v>Cancelled</v>
          </cell>
          <cell r="R4540">
            <v>44678.842465277783</v>
          </cell>
          <cell r="S4540" t="str">
            <v>Karim Tarek</v>
          </cell>
          <cell r="T4540">
            <v>44803</v>
          </cell>
          <cell r="U4540" t="str">
            <v>Billy Smith</v>
          </cell>
          <cell r="V4540">
            <v>44794</v>
          </cell>
          <cell r="W4540">
            <v>45089</v>
          </cell>
          <cell r="Y4540">
            <v>44717</v>
          </cell>
          <cell r="AC4540">
            <v>45088</v>
          </cell>
        </row>
        <row r="4541">
          <cell r="I4541" t="str">
            <v>EDI</v>
          </cell>
          <cell r="L4541">
            <v>1230</v>
          </cell>
          <cell r="N4541" t="str">
            <v>Production</v>
          </cell>
          <cell r="O4541" t="str">
            <v>Everything Benefits</v>
          </cell>
          <cell r="P4541" t="str">
            <v>Production</v>
          </cell>
          <cell r="Q4541" t="str">
            <v>Live</v>
          </cell>
          <cell r="R4541">
            <v>44678.841574074067</v>
          </cell>
          <cell r="S4541" t="str">
            <v>Karim Tarek</v>
          </cell>
          <cell r="T4541">
            <v>44803</v>
          </cell>
          <cell r="U4541" t="str">
            <v>Billy Smith</v>
          </cell>
          <cell r="V4541">
            <v>44796</v>
          </cell>
          <cell r="W4541">
            <v>45089</v>
          </cell>
          <cell r="Y4541">
            <v>44718</v>
          </cell>
          <cell r="AC4541">
            <v>45088</v>
          </cell>
        </row>
        <row r="4542">
          <cell r="I4542" t="str">
            <v>EDI</v>
          </cell>
          <cell r="L4542">
            <v>1378</v>
          </cell>
          <cell r="N4542" t="str">
            <v>Production</v>
          </cell>
          <cell r="O4542" t="str">
            <v>Everything Benefits</v>
          </cell>
          <cell r="P4542" t="str">
            <v>Production</v>
          </cell>
          <cell r="Q4542" t="str">
            <v>Cancelled</v>
          </cell>
          <cell r="R4542">
            <v>44678.841562499998</v>
          </cell>
          <cell r="S4542" t="str">
            <v>Alaa Yehia</v>
          </cell>
          <cell r="T4542">
            <v>44788</v>
          </cell>
          <cell r="U4542" t="str">
            <v>Trish Kalinczok</v>
          </cell>
          <cell r="V4542">
            <v>44804</v>
          </cell>
          <cell r="W4542">
            <v>45187</v>
          </cell>
          <cell r="AC4542">
            <v>45186</v>
          </cell>
        </row>
        <row r="4543">
          <cell r="I4543" t="str">
            <v>EDI</v>
          </cell>
          <cell r="L4543">
            <v>1236</v>
          </cell>
          <cell r="N4543" t="str">
            <v>Production</v>
          </cell>
          <cell r="O4543" t="str">
            <v>Everything Benefits</v>
          </cell>
          <cell r="P4543" t="str">
            <v>Production</v>
          </cell>
          <cell r="Q4543" t="str">
            <v>Live</v>
          </cell>
          <cell r="R4543">
            <v>44678.840358796297</v>
          </cell>
          <cell r="S4543" t="str">
            <v>Karim Tarek</v>
          </cell>
          <cell r="T4543">
            <v>44803</v>
          </cell>
          <cell r="U4543" t="str">
            <v>Billy Smith</v>
          </cell>
          <cell r="V4543">
            <v>44796</v>
          </cell>
          <cell r="W4543">
            <v>45089</v>
          </cell>
          <cell r="Y4543">
            <v>44718</v>
          </cell>
          <cell r="AC4543">
            <v>45088</v>
          </cell>
        </row>
        <row r="4544">
          <cell r="I4544" t="str">
            <v>EDI</v>
          </cell>
          <cell r="L4544">
            <v>1160</v>
          </cell>
          <cell r="N4544" t="str">
            <v>Production</v>
          </cell>
          <cell r="O4544" t="str">
            <v>Everything Benefits</v>
          </cell>
          <cell r="P4544" t="str">
            <v>Production</v>
          </cell>
          <cell r="Q4544" t="str">
            <v>Live</v>
          </cell>
          <cell r="R4544">
            <v>44678.84034722222</v>
          </cell>
          <cell r="S4544" t="str">
            <v>Alaa Yehia</v>
          </cell>
          <cell r="T4544">
            <v>44735</v>
          </cell>
          <cell r="U4544" t="str">
            <v>Billy Smith</v>
          </cell>
          <cell r="V4544">
            <v>44774</v>
          </cell>
          <cell r="W4544">
            <v>25569</v>
          </cell>
          <cell r="Y4544">
            <v>44720</v>
          </cell>
          <cell r="AC4544">
            <v>44962</v>
          </cell>
        </row>
        <row r="4545">
          <cell r="I4545" t="str">
            <v>EDI</v>
          </cell>
          <cell r="L4545">
            <v>1109</v>
          </cell>
          <cell r="N4545" t="str">
            <v>Production</v>
          </cell>
          <cell r="O4545" t="str">
            <v>Everything Benefits</v>
          </cell>
          <cell r="P4545" t="str">
            <v>Production</v>
          </cell>
          <cell r="Q4545" t="str">
            <v>Live</v>
          </cell>
          <cell r="R4545">
            <v>44678.84033564815</v>
          </cell>
          <cell r="S4545" t="str">
            <v>Alaa Yehia</v>
          </cell>
          <cell r="T4545">
            <v>44725</v>
          </cell>
          <cell r="U4545" t="str">
            <v>Billy Smith</v>
          </cell>
          <cell r="V4545">
            <v>44774</v>
          </cell>
          <cell r="W4545">
            <v>44781</v>
          </cell>
          <cell r="Y4545">
            <v>44719</v>
          </cell>
          <cell r="AC4545">
            <v>44780</v>
          </cell>
        </row>
        <row r="4546">
          <cell r="I4546" t="str">
            <v>EDI</v>
          </cell>
          <cell r="L4546">
            <v>1158</v>
          </cell>
          <cell r="N4546" t="str">
            <v>Production</v>
          </cell>
          <cell r="O4546" t="str">
            <v>Everything Benefits</v>
          </cell>
          <cell r="P4546" t="str">
            <v>Production</v>
          </cell>
          <cell r="Q4546" t="str">
            <v>Cancelled</v>
          </cell>
          <cell r="R4546">
            <v>44678.840324074074</v>
          </cell>
          <cell r="S4546" t="str">
            <v>Mahmoud Ahmed</v>
          </cell>
          <cell r="T4546">
            <v>44735</v>
          </cell>
          <cell r="U4546" t="str">
            <v>Billy Smith</v>
          </cell>
          <cell r="W4546">
            <v>44823</v>
          </cell>
          <cell r="Y4546">
            <v>44714</v>
          </cell>
          <cell r="AC4546">
            <v>44822</v>
          </cell>
        </row>
        <row r="4547">
          <cell r="I4547" t="str">
            <v>EDI</v>
          </cell>
          <cell r="L4547">
            <v>1234</v>
          </cell>
          <cell r="N4547" t="str">
            <v>Production</v>
          </cell>
          <cell r="O4547" t="str">
            <v>Everything Benefits</v>
          </cell>
          <cell r="P4547" t="str">
            <v>Production</v>
          </cell>
          <cell r="Q4547" t="str">
            <v>Live</v>
          </cell>
          <cell r="R4547">
            <v>44678.776145833333</v>
          </cell>
          <cell r="S4547" t="str">
            <v>Mirna Azmy</v>
          </cell>
          <cell r="T4547">
            <v>44759</v>
          </cell>
          <cell r="U4547" t="str">
            <v>Melodie Coles</v>
          </cell>
          <cell r="W4547">
            <v>44781</v>
          </cell>
          <cell r="Y4547">
            <v>44733</v>
          </cell>
          <cell r="AC4547">
            <v>44781</v>
          </cell>
        </row>
        <row r="4548">
          <cell r="I4548" t="str">
            <v>EDI</v>
          </cell>
          <cell r="L4548">
            <v>1296</v>
          </cell>
          <cell r="N4548" t="str">
            <v>Production</v>
          </cell>
          <cell r="O4548" t="str">
            <v>Everything Benefits</v>
          </cell>
          <cell r="P4548" t="str">
            <v>Production</v>
          </cell>
          <cell r="Q4548" t="str">
            <v>Live</v>
          </cell>
          <cell r="R4548">
            <v>44678.776145833333</v>
          </cell>
          <cell r="S4548" t="str">
            <v>Mahmoud Ahmed</v>
          </cell>
          <cell r="T4548">
            <v>44768</v>
          </cell>
          <cell r="U4548" t="str">
            <v>Melodie Coles</v>
          </cell>
          <cell r="V4548">
            <v>44868</v>
          </cell>
          <cell r="W4548">
            <v>44929</v>
          </cell>
          <cell r="Y4548">
            <v>44714</v>
          </cell>
          <cell r="AC4548">
            <v>44878</v>
          </cell>
        </row>
        <row r="4549">
          <cell r="I4549" t="str">
            <v>EDI</v>
          </cell>
          <cell r="L4549">
            <v>1447</v>
          </cell>
          <cell r="N4549" t="str">
            <v>Production</v>
          </cell>
          <cell r="O4549" t="str">
            <v>Everything Benefits</v>
          </cell>
          <cell r="P4549" t="str">
            <v>Production</v>
          </cell>
          <cell r="Q4549" t="str">
            <v>Cancelled</v>
          </cell>
          <cell r="R4549">
            <v>44678.713101851848</v>
          </cell>
          <cell r="S4549" t="str">
            <v>Kareem Osama</v>
          </cell>
          <cell r="T4549">
            <v>44801</v>
          </cell>
          <cell r="U4549" t="str">
            <v>Melodie Coles</v>
          </cell>
          <cell r="V4549">
            <v>44844</v>
          </cell>
          <cell r="W4549">
            <v>44914</v>
          </cell>
          <cell r="AC4549">
            <v>44913</v>
          </cell>
        </row>
        <row r="4550">
          <cell r="I4550" t="str">
            <v>EDI</v>
          </cell>
          <cell r="L4550">
            <v>1330</v>
          </cell>
          <cell r="N4550" t="str">
            <v>Production</v>
          </cell>
          <cell r="O4550" t="str">
            <v>Everything Benefits</v>
          </cell>
          <cell r="P4550" t="str">
            <v>Production</v>
          </cell>
          <cell r="Q4550" t="str">
            <v>Live</v>
          </cell>
          <cell r="R4550">
            <v>44678.713090277779</v>
          </cell>
          <cell r="S4550" t="str">
            <v>Salma Yamani</v>
          </cell>
          <cell r="T4550">
            <v>44775</v>
          </cell>
          <cell r="U4550" t="str">
            <v>Melodie Coles</v>
          </cell>
          <cell r="V4550">
            <v>44845</v>
          </cell>
          <cell r="W4550">
            <v>44908</v>
          </cell>
          <cell r="Y4550">
            <v>44724</v>
          </cell>
          <cell r="AC4550">
            <v>44878</v>
          </cell>
        </row>
        <row r="4551">
          <cell r="I4551" t="str">
            <v>EDI</v>
          </cell>
          <cell r="L4551">
            <v>1155</v>
          </cell>
          <cell r="N4551" t="str">
            <v>Production</v>
          </cell>
          <cell r="O4551" t="str">
            <v>Everything Benefits</v>
          </cell>
          <cell r="P4551" t="str">
            <v>Production</v>
          </cell>
          <cell r="Q4551" t="str">
            <v>Live</v>
          </cell>
          <cell r="R4551">
            <v>44678.687106481477</v>
          </cell>
          <cell r="S4551" t="str">
            <v>Karim Tarek</v>
          </cell>
          <cell r="T4551">
            <v>44803</v>
          </cell>
          <cell r="U4551" t="str">
            <v>Trish Kalinczok</v>
          </cell>
          <cell r="V4551">
            <v>44739</v>
          </cell>
          <cell r="W4551">
            <v>45196</v>
          </cell>
          <cell r="Y4551">
            <v>44719</v>
          </cell>
          <cell r="AC4551">
            <v>45193</v>
          </cell>
        </row>
        <row r="4552">
          <cell r="I4552" t="str">
            <v>EDI</v>
          </cell>
          <cell r="L4552">
            <v>1172</v>
          </cell>
          <cell r="N4552" t="str">
            <v>Production</v>
          </cell>
          <cell r="O4552" t="str">
            <v>Everything Benefits</v>
          </cell>
          <cell r="P4552" t="str">
            <v>Production</v>
          </cell>
          <cell r="Q4552" t="str">
            <v>Live</v>
          </cell>
          <cell r="R4552">
            <v>44678.687094907407</v>
          </cell>
          <cell r="S4552" t="str">
            <v>Karen Ramy</v>
          </cell>
          <cell r="T4552">
            <v>44956</v>
          </cell>
          <cell r="U4552" t="str">
            <v>Billy Smith</v>
          </cell>
          <cell r="V4552">
            <v>44774</v>
          </cell>
          <cell r="W4552">
            <v>44970</v>
          </cell>
          <cell r="Y4552">
            <v>44738</v>
          </cell>
          <cell r="AC4552">
            <v>44969</v>
          </cell>
        </row>
        <row r="4553">
          <cell r="I4553" t="str">
            <v>EDI</v>
          </cell>
          <cell r="L4553">
            <v>1167</v>
          </cell>
          <cell r="N4553" t="str">
            <v>Testing</v>
          </cell>
          <cell r="O4553" t="str">
            <v>Everything Benefits</v>
          </cell>
          <cell r="P4553" t="str">
            <v>Phase 3</v>
          </cell>
          <cell r="Q4553" t="str">
            <v>Cancelled</v>
          </cell>
          <cell r="R4553">
            <v>44678.678946759261</v>
          </cell>
          <cell r="S4553" t="str">
            <v>Hazem Rostom</v>
          </cell>
          <cell r="T4553">
            <v>44738</v>
          </cell>
          <cell r="U4553" t="str">
            <v>Billy Smith</v>
          </cell>
          <cell r="V4553">
            <v>44872</v>
          </cell>
          <cell r="Y4553">
            <v>44721</v>
          </cell>
        </row>
        <row r="4554">
          <cell r="I4554" t="str">
            <v>EDI</v>
          </cell>
          <cell r="L4554">
            <v>1145</v>
          </cell>
          <cell r="N4554" t="str">
            <v>Production</v>
          </cell>
          <cell r="O4554" t="str">
            <v>Everything Benefits</v>
          </cell>
          <cell r="P4554" t="str">
            <v>Production</v>
          </cell>
          <cell r="Q4554" t="str">
            <v>Cancelled</v>
          </cell>
          <cell r="R4554">
            <v>44678.677465277768</v>
          </cell>
          <cell r="S4554" t="str">
            <v>Nada Ashraf</v>
          </cell>
          <cell r="T4554">
            <v>44733</v>
          </cell>
          <cell r="U4554" t="str">
            <v>Billy Smith</v>
          </cell>
          <cell r="V4554">
            <v>44879</v>
          </cell>
          <cell r="W4554">
            <v>45075</v>
          </cell>
          <cell r="Y4554">
            <v>44718</v>
          </cell>
          <cell r="AC4554">
            <v>45067</v>
          </cell>
        </row>
        <row r="4555">
          <cell r="I4555" t="str">
            <v>EDI</v>
          </cell>
          <cell r="L4555">
            <v>1130</v>
          </cell>
          <cell r="N4555" t="str">
            <v>Production</v>
          </cell>
          <cell r="O4555" t="str">
            <v>Everything Benefits</v>
          </cell>
          <cell r="P4555" t="str">
            <v>Production</v>
          </cell>
          <cell r="Q4555" t="str">
            <v>Cancelled</v>
          </cell>
          <cell r="R4555">
            <v>44678.677453703713</v>
          </cell>
          <cell r="S4555" t="str">
            <v>Salma Yamani</v>
          </cell>
          <cell r="T4555">
            <v>44726</v>
          </cell>
          <cell r="U4555" t="str">
            <v>Billy Smith</v>
          </cell>
          <cell r="V4555">
            <v>44790</v>
          </cell>
          <cell r="W4555">
            <v>44809</v>
          </cell>
          <cell r="Y4555">
            <v>44725</v>
          </cell>
          <cell r="AC4555">
            <v>44808</v>
          </cell>
        </row>
        <row r="4556">
          <cell r="I4556" t="str">
            <v>EDI</v>
          </cell>
          <cell r="L4556">
            <v>1411</v>
          </cell>
          <cell r="N4556" t="str">
            <v>Testing</v>
          </cell>
          <cell r="O4556" t="str">
            <v>Everything Benefits</v>
          </cell>
          <cell r="P4556" t="str">
            <v>Migration Testing</v>
          </cell>
          <cell r="Q4556" t="str">
            <v>Cancelled</v>
          </cell>
          <cell r="R4556">
            <v>44678.677442129629</v>
          </cell>
          <cell r="S4556" t="str">
            <v>Tarek Medhat</v>
          </cell>
          <cell r="T4556">
            <v>44795</v>
          </cell>
          <cell r="U4556" t="str">
            <v>Billy Smith</v>
          </cell>
          <cell r="V4556">
            <v>44796</v>
          </cell>
        </row>
        <row r="4557">
          <cell r="I4557" t="str">
            <v>EDI</v>
          </cell>
          <cell r="L4557">
            <v>1166</v>
          </cell>
          <cell r="N4557" t="str">
            <v>Mapping</v>
          </cell>
          <cell r="O4557" t="str">
            <v>Everything Benefits</v>
          </cell>
          <cell r="P4557" t="str">
            <v>Phase 1 - Map Built</v>
          </cell>
          <cell r="Q4557" t="str">
            <v>Cancelled</v>
          </cell>
          <cell r="R4557">
            <v>44678.677442129629</v>
          </cell>
          <cell r="S4557" t="str">
            <v>Hazem Rostom</v>
          </cell>
          <cell r="T4557">
            <v>44738</v>
          </cell>
          <cell r="U4557" t="str">
            <v>Billy Smith</v>
          </cell>
          <cell r="V4557">
            <v>45042</v>
          </cell>
          <cell r="Y4557">
            <v>44721</v>
          </cell>
        </row>
        <row r="4558">
          <cell r="I4558" t="str">
            <v>EDI</v>
          </cell>
          <cell r="L4558">
            <v>1214</v>
          </cell>
          <cell r="N4558" t="str">
            <v>Production</v>
          </cell>
          <cell r="O4558" t="str">
            <v>Everything Benefits</v>
          </cell>
          <cell r="P4558" t="str">
            <v>Production</v>
          </cell>
          <cell r="Q4558" t="str">
            <v>Live</v>
          </cell>
          <cell r="R4558">
            <v>44678.658182870371</v>
          </cell>
          <cell r="S4558" t="str">
            <v>Mohamed Abdelhamed</v>
          </cell>
          <cell r="T4558">
            <v>44748</v>
          </cell>
          <cell r="U4558" t="str">
            <v>Melodie Coles</v>
          </cell>
          <cell r="V4558">
            <v>44767</v>
          </cell>
          <cell r="W4558">
            <v>25569</v>
          </cell>
          <cell r="Y4558">
            <v>44710</v>
          </cell>
          <cell r="AC4558">
            <v>44808</v>
          </cell>
        </row>
        <row r="4559">
          <cell r="I4559" t="str">
            <v>EDI</v>
          </cell>
          <cell r="L4559">
            <v>1149</v>
          </cell>
          <cell r="N4559" t="str">
            <v>Production</v>
          </cell>
          <cell r="O4559" t="str">
            <v>Everything Benefits</v>
          </cell>
          <cell r="P4559" t="str">
            <v>Production</v>
          </cell>
          <cell r="Q4559" t="str">
            <v>Live</v>
          </cell>
          <cell r="R4559">
            <v>44678.658182870371</v>
          </cell>
          <cell r="S4559" t="str">
            <v>Mohamed Abdelhamed</v>
          </cell>
          <cell r="T4559">
            <v>44734</v>
          </cell>
          <cell r="U4559" t="str">
            <v>Melodie Coles</v>
          </cell>
          <cell r="V4559">
            <v>44738</v>
          </cell>
          <cell r="W4559">
            <v>44781</v>
          </cell>
          <cell r="Y4559">
            <v>44722</v>
          </cell>
          <cell r="AC4559">
            <v>44780</v>
          </cell>
        </row>
        <row r="4560">
          <cell r="I4560" t="str">
            <v>EDI</v>
          </cell>
          <cell r="L4560">
            <v>1173</v>
          </cell>
          <cell r="N4560" t="str">
            <v>Production</v>
          </cell>
          <cell r="O4560" t="str">
            <v>Everything Benefits</v>
          </cell>
          <cell r="P4560" t="str">
            <v>Production</v>
          </cell>
          <cell r="Q4560" t="str">
            <v>Live</v>
          </cell>
          <cell r="R4560">
            <v>44678.658171296287</v>
          </cell>
          <cell r="S4560" t="str">
            <v>Mahmoud Ahmed</v>
          </cell>
          <cell r="T4560">
            <v>44740</v>
          </cell>
          <cell r="U4560" t="str">
            <v>Melodie Coles</v>
          </cell>
          <cell r="V4560">
            <v>44741</v>
          </cell>
          <cell r="W4560">
            <v>44845</v>
          </cell>
          <cell r="Y4560">
            <v>44734</v>
          </cell>
          <cell r="AC4560">
            <v>44843</v>
          </cell>
        </row>
        <row r="4561">
          <cell r="I4561" t="str">
            <v>EDI</v>
          </cell>
          <cell r="L4561">
            <v>1110</v>
          </cell>
          <cell r="N4561" t="str">
            <v>Production</v>
          </cell>
          <cell r="O4561" t="str">
            <v>Everything Benefits</v>
          </cell>
          <cell r="P4561" t="str">
            <v>Production</v>
          </cell>
          <cell r="Q4561" t="str">
            <v>Cancelled</v>
          </cell>
          <cell r="R4561">
            <v>44678.658171296287</v>
          </cell>
          <cell r="S4561" t="str">
            <v>Alaa Yehia</v>
          </cell>
          <cell r="T4561">
            <v>44725</v>
          </cell>
          <cell r="U4561" t="str">
            <v>Melodie Coles</v>
          </cell>
          <cell r="V4561">
            <v>44774</v>
          </cell>
          <cell r="W4561">
            <v>44781</v>
          </cell>
          <cell r="Y4561">
            <v>44712</v>
          </cell>
          <cell r="AC4561">
            <v>44780</v>
          </cell>
        </row>
        <row r="4562">
          <cell r="I4562" t="str">
            <v>EDI</v>
          </cell>
          <cell r="L4562">
            <v>1133</v>
          </cell>
          <cell r="N4562" t="str">
            <v>Production</v>
          </cell>
          <cell r="O4562" t="str">
            <v>Everything Benefits</v>
          </cell>
          <cell r="P4562" t="str">
            <v>Production</v>
          </cell>
          <cell r="Q4562" t="str">
            <v>Live</v>
          </cell>
          <cell r="R4562">
            <v>44678.658171296287</v>
          </cell>
          <cell r="S4562" t="str">
            <v>Mina Kamil Old Account</v>
          </cell>
          <cell r="T4562">
            <v>44731</v>
          </cell>
          <cell r="U4562" t="str">
            <v>Melodie Coles</v>
          </cell>
          <cell r="W4562">
            <v>44767</v>
          </cell>
          <cell r="Y4562">
            <v>44714</v>
          </cell>
          <cell r="AC4562">
            <v>44767</v>
          </cell>
        </row>
        <row r="4563">
          <cell r="I4563" t="str">
            <v>EDI</v>
          </cell>
          <cell r="L4563">
            <v>1382</v>
          </cell>
          <cell r="N4563" t="str">
            <v>Production</v>
          </cell>
          <cell r="O4563" t="str">
            <v>Everything Benefits</v>
          </cell>
          <cell r="P4563" t="str">
            <v>Production</v>
          </cell>
          <cell r="Q4563" t="str">
            <v>Cancelled</v>
          </cell>
          <cell r="R4563">
            <v>44678.658171296287</v>
          </cell>
          <cell r="S4563" t="str">
            <v>Nada Ashraf</v>
          </cell>
          <cell r="T4563">
            <v>44789</v>
          </cell>
          <cell r="U4563" t="str">
            <v>Melodie Coles</v>
          </cell>
          <cell r="W4563">
            <v>44872</v>
          </cell>
          <cell r="AC4563">
            <v>44871</v>
          </cell>
        </row>
        <row r="4564">
          <cell r="I4564" t="str">
            <v>EDI</v>
          </cell>
          <cell r="L4564">
            <v>1162</v>
          </cell>
          <cell r="N4564" t="str">
            <v>Production</v>
          </cell>
          <cell r="O4564" t="str">
            <v>Everything Benefits</v>
          </cell>
          <cell r="P4564" t="str">
            <v>Production</v>
          </cell>
          <cell r="Q4564" t="str">
            <v>Cancelled</v>
          </cell>
          <cell r="R4564">
            <v>44677.95449074074</v>
          </cell>
          <cell r="S4564" t="str">
            <v>Hazem Rostom</v>
          </cell>
          <cell r="T4564">
            <v>44733</v>
          </cell>
          <cell r="U4564" t="str">
            <v>Melodie Coles</v>
          </cell>
          <cell r="V4564">
            <v>44865</v>
          </cell>
          <cell r="W4564">
            <v>44872</v>
          </cell>
          <cell r="Y4564">
            <v>44724</v>
          </cell>
          <cell r="AC4564">
            <v>44871</v>
          </cell>
        </row>
        <row r="4565">
          <cell r="I4565" t="str">
            <v>EDI</v>
          </cell>
          <cell r="L4565">
            <v>1203</v>
          </cell>
          <cell r="N4565" t="str">
            <v>Production</v>
          </cell>
          <cell r="O4565" t="str">
            <v>Everything Benefits</v>
          </cell>
          <cell r="P4565" t="str">
            <v>Production</v>
          </cell>
          <cell r="Q4565" t="str">
            <v>Live</v>
          </cell>
          <cell r="R4565">
            <v>44677.95449074074</v>
          </cell>
          <cell r="S4565" t="str">
            <v>Hazem Rostom</v>
          </cell>
          <cell r="T4565">
            <v>44745</v>
          </cell>
          <cell r="U4565" t="str">
            <v>Melodie Coles</v>
          </cell>
          <cell r="V4565">
            <v>44865</v>
          </cell>
          <cell r="W4565">
            <v>44872</v>
          </cell>
          <cell r="Y4565">
            <v>44740</v>
          </cell>
          <cell r="AC4565">
            <v>44871</v>
          </cell>
        </row>
        <row r="4566">
          <cell r="I4566" t="str">
            <v>EDI</v>
          </cell>
          <cell r="L4566">
            <v>1139</v>
          </cell>
          <cell r="N4566" t="str">
            <v>Production</v>
          </cell>
          <cell r="O4566" t="str">
            <v>Everything Benefits</v>
          </cell>
          <cell r="P4566" t="str">
            <v>Production</v>
          </cell>
          <cell r="Q4566" t="str">
            <v>Live</v>
          </cell>
          <cell r="R4566">
            <v>44677.95449074074</v>
          </cell>
          <cell r="S4566" t="str">
            <v>Omar Gaafar</v>
          </cell>
          <cell r="T4566">
            <v>44733</v>
          </cell>
          <cell r="U4566" t="str">
            <v>Melodie Coles</v>
          </cell>
          <cell r="V4566">
            <v>44802</v>
          </cell>
          <cell r="W4566">
            <v>44872</v>
          </cell>
          <cell r="Y4566">
            <v>44714</v>
          </cell>
          <cell r="AC4566">
            <v>44871</v>
          </cell>
        </row>
        <row r="4567">
          <cell r="I4567" t="str">
            <v>EDI</v>
          </cell>
          <cell r="N4567" t="str">
            <v>Pending Start</v>
          </cell>
          <cell r="O4567" t="str">
            <v>Everything Benefits</v>
          </cell>
          <cell r="P4567" t="str">
            <v>Map Under Review</v>
          </cell>
          <cell r="Q4567" t="str">
            <v>Cancelled</v>
          </cell>
          <cell r="R4567">
            <v>44677.946157407408</v>
          </cell>
          <cell r="U4567" t="str">
            <v>Melodie Coles</v>
          </cell>
        </row>
        <row r="4568">
          <cell r="I4568" t="str">
            <v>EDI</v>
          </cell>
          <cell r="N4568" t="str">
            <v>Pending Start</v>
          </cell>
          <cell r="O4568" t="str">
            <v>Everything Benefits</v>
          </cell>
          <cell r="P4568" t="str">
            <v>Map Under Review</v>
          </cell>
          <cell r="Q4568" t="str">
            <v>Cancelled</v>
          </cell>
          <cell r="R4568">
            <v>44677.946157407408</v>
          </cell>
          <cell r="U4568" t="str">
            <v>Melodie Coles</v>
          </cell>
        </row>
        <row r="4569">
          <cell r="I4569" t="str">
            <v>EDI</v>
          </cell>
          <cell r="N4569" t="str">
            <v>Pending Start</v>
          </cell>
          <cell r="O4569" t="str">
            <v>Everything Benefits</v>
          </cell>
          <cell r="P4569" t="str">
            <v>Map Under Review</v>
          </cell>
          <cell r="Q4569" t="str">
            <v>Cancelled</v>
          </cell>
          <cell r="R4569">
            <v>44677.946157407408</v>
          </cell>
          <cell r="U4569" t="str">
            <v>Melodie Coles</v>
          </cell>
        </row>
        <row r="4570">
          <cell r="I4570" t="str">
            <v>EDI</v>
          </cell>
          <cell r="L4570">
            <v>1118</v>
          </cell>
          <cell r="N4570" t="str">
            <v>Production</v>
          </cell>
          <cell r="O4570" t="str">
            <v>Everything Benefits</v>
          </cell>
          <cell r="P4570" t="str">
            <v>Production</v>
          </cell>
          <cell r="Q4570" t="str">
            <v>Live</v>
          </cell>
          <cell r="R4570">
            <v>44677.825694444437</v>
          </cell>
          <cell r="S4570" t="str">
            <v>Mirna Azmy</v>
          </cell>
          <cell r="T4570">
            <v>44727</v>
          </cell>
          <cell r="U4570" t="str">
            <v>Melodie Coles</v>
          </cell>
          <cell r="W4570">
            <v>44767</v>
          </cell>
          <cell r="Y4570">
            <v>44707</v>
          </cell>
          <cell r="AC4570">
            <v>44767</v>
          </cell>
        </row>
        <row r="4571">
          <cell r="I4571" t="str">
            <v>EDI</v>
          </cell>
          <cell r="L4571">
            <v>1190</v>
          </cell>
          <cell r="N4571" t="str">
            <v>Testing</v>
          </cell>
          <cell r="O4571" t="str">
            <v>Everything Benefits</v>
          </cell>
          <cell r="P4571" t="str">
            <v>Migration Testing</v>
          </cell>
          <cell r="Q4571" t="str">
            <v>Cancelled</v>
          </cell>
          <cell r="R4571">
            <v>44677.825694444437</v>
          </cell>
          <cell r="S4571" t="str">
            <v>Karim Tarek</v>
          </cell>
          <cell r="T4571">
            <v>44879</v>
          </cell>
          <cell r="U4571" t="str">
            <v>Melodie Coles</v>
          </cell>
          <cell r="V4571">
            <v>44765</v>
          </cell>
          <cell r="Y4571">
            <v>44719</v>
          </cell>
        </row>
        <row r="4572">
          <cell r="I4572" t="str">
            <v>EDI</v>
          </cell>
          <cell r="L4572">
            <v>1057</v>
          </cell>
          <cell r="N4572" t="str">
            <v>Production</v>
          </cell>
          <cell r="O4572" t="str">
            <v>Everything Benefits</v>
          </cell>
          <cell r="P4572" t="str">
            <v>Production</v>
          </cell>
          <cell r="Q4572" t="str">
            <v>Cancelled</v>
          </cell>
          <cell r="R4572">
            <v>44677.825682870367</v>
          </cell>
          <cell r="S4572" t="str">
            <v>Salma Yamani</v>
          </cell>
          <cell r="T4572">
            <v>44714</v>
          </cell>
          <cell r="U4572" t="str">
            <v>Melodie Coles</v>
          </cell>
          <cell r="V4572">
            <v>44795</v>
          </cell>
          <cell r="W4572">
            <v>44837</v>
          </cell>
          <cell r="Y4572">
            <v>44712</v>
          </cell>
          <cell r="AC4572">
            <v>44836</v>
          </cell>
        </row>
        <row r="4573">
          <cell r="I4573" t="str">
            <v>EDI</v>
          </cell>
          <cell r="L4573">
            <v>1138</v>
          </cell>
          <cell r="N4573" t="str">
            <v>Production</v>
          </cell>
          <cell r="O4573" t="str">
            <v>Everything Benefits</v>
          </cell>
          <cell r="P4573" t="str">
            <v>Production</v>
          </cell>
          <cell r="Q4573" t="str">
            <v>Live</v>
          </cell>
          <cell r="R4573">
            <v>44677.825682870367</v>
          </cell>
          <cell r="S4573" t="str">
            <v>Zeyad Khaled</v>
          </cell>
          <cell r="T4573">
            <v>44733</v>
          </cell>
          <cell r="U4573" t="str">
            <v>Melodie Coles</v>
          </cell>
          <cell r="V4573">
            <v>44916</v>
          </cell>
          <cell r="W4573">
            <v>45040</v>
          </cell>
          <cell r="Y4573">
            <v>44728</v>
          </cell>
          <cell r="AC4573">
            <v>45036</v>
          </cell>
        </row>
        <row r="4574">
          <cell r="I4574" t="str">
            <v>EDI</v>
          </cell>
          <cell r="L4574">
            <v>908</v>
          </cell>
          <cell r="N4574" t="str">
            <v>Production</v>
          </cell>
          <cell r="O4574" t="str">
            <v>No</v>
          </cell>
          <cell r="Q4574" t="str">
            <v>Cancelled</v>
          </cell>
          <cell r="R4574">
            <v>44677.816168981481</v>
          </cell>
          <cell r="S4574" t="str">
            <v>Haytham Mohamed</v>
          </cell>
          <cell r="T4574">
            <v>44689</v>
          </cell>
          <cell r="U4574" t="str">
            <v>Denise Stubenvoll</v>
          </cell>
          <cell r="V4574">
            <v>44713</v>
          </cell>
          <cell r="W4574">
            <v>44860</v>
          </cell>
          <cell r="Y4574">
            <v>44680</v>
          </cell>
          <cell r="AC4574">
            <v>44854</v>
          </cell>
        </row>
        <row r="4575">
          <cell r="I4575" t="str">
            <v>EDI</v>
          </cell>
          <cell r="L4575">
            <v>1066</v>
          </cell>
          <cell r="N4575" t="str">
            <v>Testing</v>
          </cell>
          <cell r="O4575" t="str">
            <v>No</v>
          </cell>
          <cell r="Q4575" t="str">
            <v>Cancelled</v>
          </cell>
          <cell r="R4575">
            <v>44677.812928240739</v>
          </cell>
          <cell r="S4575" t="str">
            <v>Mina George Old Account</v>
          </cell>
          <cell r="T4575">
            <v>44718</v>
          </cell>
          <cell r="U4575" t="str">
            <v>Miranda Naeem</v>
          </cell>
          <cell r="V4575">
            <v>44721</v>
          </cell>
          <cell r="Y4575">
            <v>44717</v>
          </cell>
        </row>
        <row r="4576">
          <cell r="I4576" t="str">
            <v>EDI</v>
          </cell>
          <cell r="N4576" t="str">
            <v>Resource Assignment</v>
          </cell>
          <cell r="O4576" t="str">
            <v>Everything Benefits</v>
          </cell>
          <cell r="P4576" t="str">
            <v>Phase 1 - Map Built</v>
          </cell>
          <cell r="Q4576" t="str">
            <v>Cancelled</v>
          </cell>
          <cell r="R4576">
            <v>44677.7497337963</v>
          </cell>
          <cell r="T4576">
            <v>44707</v>
          </cell>
          <cell r="U4576" t="str">
            <v>Billy Smith</v>
          </cell>
          <cell r="Y4576">
            <v>44707</v>
          </cell>
        </row>
        <row r="4577">
          <cell r="I4577" t="str">
            <v>EDI</v>
          </cell>
          <cell r="L4577">
            <v>1061</v>
          </cell>
          <cell r="N4577" t="str">
            <v>Production</v>
          </cell>
          <cell r="O4577" t="str">
            <v>Everything Benefits</v>
          </cell>
          <cell r="P4577" t="str">
            <v>Production</v>
          </cell>
          <cell r="Q4577" t="str">
            <v>Live</v>
          </cell>
          <cell r="R4577">
            <v>44677.749722222223</v>
          </cell>
          <cell r="S4577" t="str">
            <v>Tarek Medhat</v>
          </cell>
          <cell r="T4577">
            <v>44717</v>
          </cell>
          <cell r="U4577" t="str">
            <v>Billy Smith</v>
          </cell>
          <cell r="W4577">
            <v>44767</v>
          </cell>
          <cell r="Y4577">
            <v>44700</v>
          </cell>
          <cell r="AC4577">
            <v>44767</v>
          </cell>
        </row>
        <row r="4578">
          <cell r="I4578" t="str">
            <v>EDI</v>
          </cell>
          <cell r="L4578">
            <v>1079</v>
          </cell>
          <cell r="N4578" t="str">
            <v>Production</v>
          </cell>
          <cell r="O4578" t="str">
            <v>Everything Benefits</v>
          </cell>
          <cell r="P4578" t="str">
            <v>Production</v>
          </cell>
          <cell r="Q4578" t="str">
            <v>Live</v>
          </cell>
          <cell r="R4578">
            <v>44677.749722222223</v>
          </cell>
          <cell r="S4578" t="str">
            <v>Salma Yamani</v>
          </cell>
          <cell r="T4578">
            <v>44719</v>
          </cell>
          <cell r="U4578" t="str">
            <v>Billy Smith</v>
          </cell>
          <cell r="W4578">
            <v>44809</v>
          </cell>
          <cell r="Y4578">
            <v>44700</v>
          </cell>
          <cell r="AC4578">
            <v>44808</v>
          </cell>
        </row>
        <row r="4579">
          <cell r="I4579" t="str">
            <v>EDI</v>
          </cell>
          <cell r="L4579">
            <v>1069</v>
          </cell>
          <cell r="N4579" t="str">
            <v>Production</v>
          </cell>
          <cell r="O4579" t="str">
            <v>Everything Benefits</v>
          </cell>
          <cell r="P4579" t="str">
            <v>Production</v>
          </cell>
          <cell r="Q4579" t="str">
            <v>Cancelled</v>
          </cell>
          <cell r="R4579">
            <v>44677.738715277781</v>
          </cell>
          <cell r="S4579" t="str">
            <v>Alaa Yehia</v>
          </cell>
          <cell r="T4579">
            <v>44714</v>
          </cell>
          <cell r="U4579" t="str">
            <v>Billy Smith</v>
          </cell>
          <cell r="V4579">
            <v>44769</v>
          </cell>
          <cell r="W4579">
            <v>44956</v>
          </cell>
          <cell r="Y4579">
            <v>44710</v>
          </cell>
          <cell r="AC4579">
            <v>44955</v>
          </cell>
        </row>
        <row r="4580">
          <cell r="I4580" t="str">
            <v>EDI</v>
          </cell>
          <cell r="L4580">
            <v>1157</v>
          </cell>
          <cell r="N4580" t="str">
            <v>Production</v>
          </cell>
          <cell r="O4580" t="str">
            <v>Everything Benefits</v>
          </cell>
          <cell r="P4580" t="str">
            <v>Production</v>
          </cell>
          <cell r="Q4580" t="str">
            <v>Live</v>
          </cell>
          <cell r="R4580">
            <v>44677.731180555558</v>
          </cell>
          <cell r="S4580" t="str">
            <v>Ahmed Gamal</v>
          </cell>
          <cell r="T4580">
            <v>44735</v>
          </cell>
          <cell r="U4580" t="str">
            <v>Billy Smith</v>
          </cell>
          <cell r="W4580">
            <v>44792</v>
          </cell>
          <cell r="Y4580">
            <v>44720</v>
          </cell>
          <cell r="AC4580">
            <v>44787</v>
          </cell>
        </row>
        <row r="4581">
          <cell r="I4581" t="str">
            <v>EDI</v>
          </cell>
          <cell r="L4581">
            <v>1075</v>
          </cell>
          <cell r="N4581" t="str">
            <v>Production</v>
          </cell>
          <cell r="O4581" t="str">
            <v>Everything Benefits</v>
          </cell>
          <cell r="P4581" t="str">
            <v>Production</v>
          </cell>
          <cell r="Q4581" t="str">
            <v>Cancelled</v>
          </cell>
          <cell r="R4581">
            <v>44677.731168981481</v>
          </cell>
          <cell r="S4581" t="str">
            <v>Mahmoud Ahmed</v>
          </cell>
          <cell r="T4581">
            <v>44790</v>
          </cell>
          <cell r="U4581" t="str">
            <v>Billy Smith</v>
          </cell>
          <cell r="V4581">
            <v>44798</v>
          </cell>
          <cell r="W4581">
            <v>45128</v>
          </cell>
          <cell r="Y4581">
            <v>44710</v>
          </cell>
          <cell r="AC4581">
            <v>45123</v>
          </cell>
        </row>
        <row r="4582">
          <cell r="I4582" t="str">
            <v>EDI</v>
          </cell>
          <cell r="L4582">
            <v>1204</v>
          </cell>
          <cell r="N4582" t="str">
            <v>Production</v>
          </cell>
          <cell r="O4582" t="str">
            <v>Everything Benefits</v>
          </cell>
          <cell r="P4582" t="str">
            <v>Production</v>
          </cell>
          <cell r="Q4582" t="str">
            <v>Live</v>
          </cell>
          <cell r="R4582">
            <v>44677.731157407397</v>
          </cell>
          <cell r="S4582" t="str">
            <v>Hazem Rostom</v>
          </cell>
          <cell r="T4582">
            <v>44745</v>
          </cell>
          <cell r="U4582" t="str">
            <v>Billy Smith</v>
          </cell>
          <cell r="V4582">
            <v>44869</v>
          </cell>
          <cell r="W4582">
            <v>45107</v>
          </cell>
          <cell r="Y4582">
            <v>44745</v>
          </cell>
          <cell r="AC4582">
            <v>45102</v>
          </cell>
        </row>
        <row r="4583">
          <cell r="I4583" t="str">
            <v>EDI</v>
          </cell>
          <cell r="L4583">
            <v>1375</v>
          </cell>
          <cell r="N4583" t="str">
            <v>Production</v>
          </cell>
          <cell r="O4583" t="str">
            <v>Everything Benefits</v>
          </cell>
          <cell r="P4583" t="str">
            <v>Production</v>
          </cell>
          <cell r="Q4583" t="str">
            <v>Live</v>
          </cell>
          <cell r="R4583">
            <v>44677.731145833342</v>
          </cell>
          <cell r="S4583" t="str">
            <v>Mohamed Abdelhamed</v>
          </cell>
          <cell r="T4583">
            <v>44802</v>
          </cell>
          <cell r="U4583" t="str">
            <v>Billy Smith</v>
          </cell>
          <cell r="V4583">
            <v>44808</v>
          </cell>
          <cell r="W4583">
            <v>44827</v>
          </cell>
          <cell r="AC4583">
            <v>44822</v>
          </cell>
        </row>
        <row r="4584">
          <cell r="I4584" t="str">
            <v>EDI</v>
          </cell>
          <cell r="L4584">
            <v>1108</v>
          </cell>
          <cell r="N4584" t="str">
            <v>Production</v>
          </cell>
          <cell r="O4584" t="str">
            <v>Everything Benefits</v>
          </cell>
          <cell r="P4584" t="str">
            <v>Production</v>
          </cell>
          <cell r="Q4584" t="str">
            <v>Cancelled</v>
          </cell>
          <cell r="R4584">
            <v>44677.731134259258</v>
          </cell>
          <cell r="S4584" t="str">
            <v>Kareem Osama</v>
          </cell>
          <cell r="T4584">
            <v>44725</v>
          </cell>
          <cell r="U4584" t="str">
            <v>Billy Smith</v>
          </cell>
          <cell r="V4584">
            <v>44733</v>
          </cell>
          <cell r="W4584">
            <v>44855</v>
          </cell>
          <cell r="Y4584">
            <v>44724</v>
          </cell>
          <cell r="AC4584">
            <v>44850</v>
          </cell>
        </row>
        <row r="4585">
          <cell r="I4585" t="str">
            <v>EDI</v>
          </cell>
          <cell r="L4585">
            <v>1116</v>
          </cell>
          <cell r="N4585" t="str">
            <v>Production</v>
          </cell>
          <cell r="O4585" t="str">
            <v>Everything Benefits</v>
          </cell>
          <cell r="P4585" t="str">
            <v>Production</v>
          </cell>
          <cell r="Q4585" t="str">
            <v>Live</v>
          </cell>
          <cell r="R4585">
            <v>44677.731122685182</v>
          </cell>
          <cell r="S4585" t="str">
            <v>Tarek Medhat</v>
          </cell>
          <cell r="T4585">
            <v>44727</v>
          </cell>
          <cell r="U4585" t="str">
            <v>Billy Smith</v>
          </cell>
          <cell r="V4585">
            <v>44764</v>
          </cell>
          <cell r="W4585">
            <v>45086</v>
          </cell>
          <cell r="Y4585">
            <v>44719</v>
          </cell>
          <cell r="AC4585">
            <v>45081</v>
          </cell>
        </row>
        <row r="4586">
          <cell r="I4586" t="str">
            <v>EDI</v>
          </cell>
          <cell r="L4586">
            <v>1068</v>
          </cell>
          <cell r="N4586" t="str">
            <v>Production</v>
          </cell>
          <cell r="O4586" t="str">
            <v>Everything Benefits</v>
          </cell>
          <cell r="P4586" t="str">
            <v>Production</v>
          </cell>
          <cell r="Q4586" t="str">
            <v>Cancelled</v>
          </cell>
          <cell r="R4586">
            <v>44677.693425925929</v>
          </cell>
          <cell r="S4586" t="str">
            <v>Mohamed Abdelhamed</v>
          </cell>
          <cell r="T4586">
            <v>44718</v>
          </cell>
          <cell r="U4586" t="str">
            <v>Melodie Coles</v>
          </cell>
          <cell r="V4586">
            <v>44725</v>
          </cell>
          <cell r="W4586">
            <v>44795</v>
          </cell>
          <cell r="Y4586">
            <v>44707</v>
          </cell>
          <cell r="AC4586">
            <v>44787</v>
          </cell>
        </row>
        <row r="4587">
          <cell r="I4587" t="str">
            <v>EDI</v>
          </cell>
          <cell r="L4587">
            <v>1435</v>
          </cell>
          <cell r="N4587" t="str">
            <v>Production</v>
          </cell>
          <cell r="O4587" t="str">
            <v>Everything Benefits</v>
          </cell>
          <cell r="P4587" t="str">
            <v>Production</v>
          </cell>
          <cell r="Q4587" t="str">
            <v>Live</v>
          </cell>
          <cell r="R4587">
            <v>44677.673078703701</v>
          </cell>
          <cell r="S4587" t="str">
            <v>Alaa Yehia</v>
          </cell>
          <cell r="T4587">
            <v>44798</v>
          </cell>
          <cell r="U4587" t="str">
            <v>Billy Smith</v>
          </cell>
          <cell r="V4587">
            <v>44816</v>
          </cell>
          <cell r="W4587">
            <v>45019</v>
          </cell>
          <cell r="AC4587">
            <v>45018</v>
          </cell>
        </row>
        <row r="4588">
          <cell r="I4588" t="str">
            <v>EDI</v>
          </cell>
          <cell r="L4588">
            <v>1076</v>
          </cell>
          <cell r="N4588" t="str">
            <v>Production</v>
          </cell>
          <cell r="O4588" t="str">
            <v>Everything Benefits</v>
          </cell>
          <cell r="P4588" t="str">
            <v>Production</v>
          </cell>
          <cell r="Q4588" t="str">
            <v>Cancelled</v>
          </cell>
          <cell r="R4588">
            <v>44677.671840277777</v>
          </cell>
          <cell r="S4588" t="str">
            <v>Mahmoud Ahmed</v>
          </cell>
          <cell r="T4588">
            <v>44719</v>
          </cell>
          <cell r="U4588" t="str">
            <v>Billy Smith</v>
          </cell>
          <cell r="V4588">
            <v>25569</v>
          </cell>
          <cell r="W4588">
            <v>44858</v>
          </cell>
          <cell r="Y4588">
            <v>44700</v>
          </cell>
          <cell r="AC4588">
            <v>44856</v>
          </cell>
        </row>
        <row r="4589">
          <cell r="I4589" t="str">
            <v>EDI</v>
          </cell>
          <cell r="L4589">
            <v>1084</v>
          </cell>
          <cell r="N4589" t="str">
            <v>Testing</v>
          </cell>
          <cell r="O4589" t="str">
            <v>Everything Benefits</v>
          </cell>
          <cell r="P4589" t="str">
            <v>Migration Testing</v>
          </cell>
          <cell r="Q4589" t="str">
            <v>Cancelled</v>
          </cell>
          <cell r="R4589">
            <v>44677.6718287037</v>
          </cell>
          <cell r="S4589" t="str">
            <v>Mahmoud Ahmed</v>
          </cell>
          <cell r="T4589">
            <v>44719</v>
          </cell>
          <cell r="U4589" t="str">
            <v>Billy Smith</v>
          </cell>
          <cell r="V4589">
            <v>44865</v>
          </cell>
          <cell r="Y4589">
            <v>44703</v>
          </cell>
        </row>
        <row r="4590">
          <cell r="I4590" t="str">
            <v>EDI</v>
          </cell>
          <cell r="L4590">
            <v>1085</v>
          </cell>
          <cell r="N4590" t="str">
            <v>Production</v>
          </cell>
          <cell r="O4590" t="str">
            <v>Everything Benefits</v>
          </cell>
          <cell r="P4590" t="str">
            <v>Production</v>
          </cell>
          <cell r="Q4590" t="str">
            <v>Live</v>
          </cell>
          <cell r="R4590">
            <v>44677.671817129631</v>
          </cell>
          <cell r="S4590" t="str">
            <v>Alaa Yehia</v>
          </cell>
          <cell r="T4590">
            <v>44804</v>
          </cell>
          <cell r="U4590" t="str">
            <v>Billy Smith</v>
          </cell>
          <cell r="V4590">
            <v>44728</v>
          </cell>
          <cell r="W4590">
            <v>45019</v>
          </cell>
          <cell r="Y4590">
            <v>44706</v>
          </cell>
          <cell r="AC4590">
            <v>45018</v>
          </cell>
        </row>
        <row r="4591">
          <cell r="I4591" t="str">
            <v>EDI</v>
          </cell>
          <cell r="L4591">
            <v>1074</v>
          </cell>
          <cell r="N4591" t="str">
            <v>Production</v>
          </cell>
          <cell r="O4591" t="str">
            <v>Everything Benefits</v>
          </cell>
          <cell r="P4591" t="str">
            <v>Production</v>
          </cell>
          <cell r="Q4591" t="str">
            <v>Cancelled</v>
          </cell>
          <cell r="R4591">
            <v>44677.671805555547</v>
          </cell>
          <cell r="S4591" t="str">
            <v>Kareem Osama</v>
          </cell>
          <cell r="T4591">
            <v>44719</v>
          </cell>
          <cell r="U4591" t="str">
            <v>Billy Smith</v>
          </cell>
          <cell r="V4591">
            <v>44727</v>
          </cell>
          <cell r="W4591">
            <v>25569</v>
          </cell>
          <cell r="Y4591">
            <v>44707</v>
          </cell>
          <cell r="AC4591">
            <v>44808</v>
          </cell>
        </row>
        <row r="4592">
          <cell r="I4592" t="str">
            <v>EDI</v>
          </cell>
          <cell r="L4592">
            <v>1070</v>
          </cell>
          <cell r="N4592" t="str">
            <v>Dataset Validation</v>
          </cell>
          <cell r="O4592" t="str">
            <v>Everything Benefits</v>
          </cell>
          <cell r="P4592" t="str">
            <v>Phase 1 - Map Built</v>
          </cell>
          <cell r="Q4592" t="str">
            <v>Cancelled</v>
          </cell>
          <cell r="R4592">
            <v>44677.661851851852</v>
          </cell>
          <cell r="S4592" t="str">
            <v>Nada Ashraf</v>
          </cell>
          <cell r="T4592">
            <v>44718</v>
          </cell>
          <cell r="U4592" t="str">
            <v>Melodie Coles</v>
          </cell>
          <cell r="Y4592">
            <v>44703</v>
          </cell>
        </row>
        <row r="4593">
          <cell r="I4593" t="str">
            <v>EDI</v>
          </cell>
          <cell r="L4593">
            <v>1067</v>
          </cell>
          <cell r="N4593" t="str">
            <v>Mapping</v>
          </cell>
          <cell r="O4593" t="str">
            <v>Everything Benefits</v>
          </cell>
          <cell r="P4593" t="str">
            <v>Phase 1 - Map Built</v>
          </cell>
          <cell r="Q4593" t="str">
            <v>Cancelled</v>
          </cell>
          <cell r="R4593">
            <v>44677.661851851852</v>
          </cell>
          <cell r="S4593" t="str">
            <v>Tarek Medhat</v>
          </cell>
          <cell r="T4593">
            <v>44718</v>
          </cell>
          <cell r="U4593" t="str">
            <v>Melodie Coles</v>
          </cell>
          <cell r="Y4593">
            <v>44707</v>
          </cell>
        </row>
        <row r="4594">
          <cell r="I4594" t="str">
            <v>EDI</v>
          </cell>
          <cell r="L4594">
            <v>841</v>
          </cell>
          <cell r="N4594" t="str">
            <v>Production</v>
          </cell>
          <cell r="O4594" t="str">
            <v>No</v>
          </cell>
          <cell r="Q4594" t="str">
            <v>Live</v>
          </cell>
          <cell r="R4594">
            <v>44677.655833333331</v>
          </cell>
          <cell r="S4594" t="str">
            <v>Omar Elmahalwy Old Account</v>
          </cell>
          <cell r="T4594">
            <v>44682</v>
          </cell>
          <cell r="U4594" t="str">
            <v>Miranda Naeem</v>
          </cell>
          <cell r="V4594">
            <v>44711</v>
          </cell>
          <cell r="W4594">
            <v>25569</v>
          </cell>
          <cell r="Y4594">
            <v>44679</v>
          </cell>
          <cell r="AC4594">
            <v>44721</v>
          </cell>
        </row>
        <row r="4595">
          <cell r="I4595" t="str">
            <v>EDI</v>
          </cell>
          <cell r="L4595">
            <v>955</v>
          </cell>
          <cell r="N4595" t="str">
            <v>Production</v>
          </cell>
          <cell r="O4595" t="str">
            <v>No</v>
          </cell>
          <cell r="Q4595" t="str">
            <v>Live</v>
          </cell>
          <cell r="R4595">
            <v>44677.655833333331</v>
          </cell>
          <cell r="S4595" t="str">
            <v>Andrew Ramy</v>
          </cell>
          <cell r="T4595">
            <v>44696</v>
          </cell>
          <cell r="U4595" t="str">
            <v>Miranda Naeem</v>
          </cell>
          <cell r="V4595">
            <v>44731</v>
          </cell>
          <cell r="W4595">
            <v>44756</v>
          </cell>
          <cell r="Y4595">
            <v>44693</v>
          </cell>
          <cell r="AC4595">
            <v>44754</v>
          </cell>
        </row>
        <row r="4596">
          <cell r="I4596" t="str">
            <v>EDI</v>
          </cell>
          <cell r="L4596">
            <v>924</v>
          </cell>
          <cell r="N4596" t="str">
            <v>Production</v>
          </cell>
          <cell r="O4596" t="str">
            <v>No</v>
          </cell>
          <cell r="Q4596" t="str">
            <v>Cancelled</v>
          </cell>
          <cell r="R4596">
            <v>44677.655833333331</v>
          </cell>
          <cell r="S4596" t="str">
            <v>Joseph Atef Old Account</v>
          </cell>
          <cell r="T4596">
            <v>44685</v>
          </cell>
          <cell r="U4596" t="str">
            <v>Miranda Naeem</v>
          </cell>
          <cell r="V4596">
            <v>44760</v>
          </cell>
          <cell r="W4596">
            <v>44832</v>
          </cell>
          <cell r="Y4596">
            <v>44680</v>
          </cell>
          <cell r="AC4596">
            <v>44830</v>
          </cell>
        </row>
        <row r="4597">
          <cell r="I4597" t="str">
            <v>EDI</v>
          </cell>
          <cell r="L4597">
            <v>1073</v>
          </cell>
          <cell r="N4597" t="str">
            <v>Production</v>
          </cell>
          <cell r="O4597" t="str">
            <v>Everything Benefits</v>
          </cell>
          <cell r="P4597" t="str">
            <v>Production</v>
          </cell>
          <cell r="Q4597" t="str">
            <v>Cancelled</v>
          </cell>
          <cell r="R4597">
            <v>44677.643796296303</v>
          </cell>
          <cell r="S4597" t="str">
            <v>Zeyad Khaled</v>
          </cell>
          <cell r="T4597">
            <v>44718</v>
          </cell>
          <cell r="U4597" t="str">
            <v>Billy Smith</v>
          </cell>
          <cell r="V4597">
            <v>45007</v>
          </cell>
          <cell r="W4597">
            <v>45016</v>
          </cell>
          <cell r="Y4597">
            <v>44705</v>
          </cell>
          <cell r="AC4597">
            <v>45011</v>
          </cell>
        </row>
        <row r="4598">
          <cell r="I4598" t="str">
            <v>EDI</v>
          </cell>
          <cell r="L4598">
            <v>1436</v>
          </cell>
          <cell r="N4598" t="str">
            <v>Production</v>
          </cell>
          <cell r="O4598" t="str">
            <v>Everything Benefits</v>
          </cell>
          <cell r="P4598" t="str">
            <v>Production</v>
          </cell>
          <cell r="Q4598" t="str">
            <v>Cancelled</v>
          </cell>
          <cell r="R4598">
            <v>44677.643784722219</v>
          </cell>
          <cell r="S4598" t="str">
            <v>Alaa Yehia</v>
          </cell>
          <cell r="T4598">
            <v>44798</v>
          </cell>
          <cell r="U4598" t="str">
            <v>Trish Kalinczok</v>
          </cell>
          <cell r="V4598">
            <v>44813</v>
          </cell>
          <cell r="W4598">
            <v>45165</v>
          </cell>
          <cell r="AC4598">
            <v>45165</v>
          </cell>
        </row>
        <row r="4599">
          <cell r="I4599" t="str">
            <v>EDI</v>
          </cell>
          <cell r="L4599">
            <v>1063</v>
          </cell>
          <cell r="N4599" t="str">
            <v>Production</v>
          </cell>
          <cell r="O4599" t="str">
            <v>Everything Benefits</v>
          </cell>
          <cell r="P4599" t="str">
            <v>Production</v>
          </cell>
          <cell r="Q4599" t="str">
            <v>Live</v>
          </cell>
          <cell r="R4599">
            <v>44677.631064814806</v>
          </cell>
          <cell r="S4599" t="str">
            <v>Zeyad Khaled</v>
          </cell>
          <cell r="T4599">
            <v>44717</v>
          </cell>
          <cell r="U4599" t="str">
            <v>Billy Smith</v>
          </cell>
          <cell r="V4599">
            <v>44767</v>
          </cell>
          <cell r="W4599">
            <v>44984</v>
          </cell>
          <cell r="Y4599">
            <v>44703</v>
          </cell>
          <cell r="AC4599">
            <v>44983</v>
          </cell>
        </row>
        <row r="4600">
          <cell r="I4600" t="str">
            <v>EDI</v>
          </cell>
          <cell r="N4600" t="str">
            <v>Requirements Gathering</v>
          </cell>
          <cell r="O4600" t="str">
            <v>No</v>
          </cell>
          <cell r="Q4600" t="str">
            <v>Cancelled</v>
          </cell>
          <cell r="R4600">
            <v>44677.610625000001</v>
          </cell>
          <cell r="S4600" t="str">
            <v>Lourina Edmon</v>
          </cell>
          <cell r="T4600">
            <v>44888</v>
          </cell>
          <cell r="U4600" t="str">
            <v>Denise Stubenvoll</v>
          </cell>
        </row>
        <row r="4601">
          <cell r="I4601" t="str">
            <v>EDI</v>
          </cell>
          <cell r="L4601">
            <v>925</v>
          </cell>
          <cell r="N4601" t="str">
            <v>Production</v>
          </cell>
          <cell r="O4601" t="str">
            <v>No</v>
          </cell>
          <cell r="Q4601" t="str">
            <v>Cancelled</v>
          </cell>
          <cell r="R4601">
            <v>44677.610613425917</v>
          </cell>
          <cell r="S4601" t="str">
            <v>Joseph Atef</v>
          </cell>
          <cell r="T4601">
            <v>44888</v>
          </cell>
          <cell r="U4601" t="str">
            <v>Denise Stubenvoll</v>
          </cell>
          <cell r="V4601">
            <v>44902</v>
          </cell>
          <cell r="W4601">
            <v>44993</v>
          </cell>
          <cell r="Y4601">
            <v>44685</v>
          </cell>
          <cell r="AC4601">
            <v>44991</v>
          </cell>
        </row>
        <row r="4602">
          <cell r="I4602" t="str">
            <v>EDI</v>
          </cell>
          <cell r="L4602">
            <v>1064</v>
          </cell>
          <cell r="N4602" t="str">
            <v>Testing</v>
          </cell>
          <cell r="O4602" t="str">
            <v>Everything Benefits</v>
          </cell>
          <cell r="P4602" t="str">
            <v>Migration Testing</v>
          </cell>
          <cell r="Q4602" t="str">
            <v>Cancelled</v>
          </cell>
          <cell r="R4602">
            <v>44677.552430555559</v>
          </cell>
          <cell r="S4602" t="str">
            <v>Mahmoud Ahmed</v>
          </cell>
          <cell r="T4602">
            <v>44956</v>
          </cell>
          <cell r="U4602" t="str">
            <v>Jene Hamm</v>
          </cell>
          <cell r="V4602">
            <v>44739</v>
          </cell>
          <cell r="Y4602">
            <v>44705</v>
          </cell>
        </row>
        <row r="4603">
          <cell r="I4603" t="str">
            <v>EDI</v>
          </cell>
          <cell r="L4603">
            <v>1093</v>
          </cell>
          <cell r="N4603" t="str">
            <v>Production</v>
          </cell>
          <cell r="O4603" t="str">
            <v>Everything Benefits</v>
          </cell>
          <cell r="P4603" t="str">
            <v>Production</v>
          </cell>
          <cell r="Q4603" t="str">
            <v>Live</v>
          </cell>
          <cell r="R4603">
            <v>44677.546886574077</v>
          </cell>
          <cell r="S4603" t="str">
            <v>Tarek Medhat</v>
          </cell>
          <cell r="T4603">
            <v>44719</v>
          </cell>
          <cell r="U4603" t="str">
            <v>Billy Smith</v>
          </cell>
          <cell r="V4603">
            <v>44767</v>
          </cell>
          <cell r="W4603">
            <v>44851</v>
          </cell>
          <cell r="Y4603">
            <v>44703</v>
          </cell>
          <cell r="AC4603">
            <v>44850</v>
          </cell>
        </row>
        <row r="4604">
          <cell r="I4604" t="str">
            <v>EDI</v>
          </cell>
          <cell r="L4604">
            <v>1060</v>
          </cell>
          <cell r="N4604" t="str">
            <v>Production</v>
          </cell>
          <cell r="O4604" t="str">
            <v>Everything Benefits</v>
          </cell>
          <cell r="P4604" t="str">
            <v>Production</v>
          </cell>
          <cell r="Q4604" t="str">
            <v>Live</v>
          </cell>
          <cell r="R4604">
            <v>44677.545798611107</v>
          </cell>
          <cell r="S4604" t="str">
            <v>Hazem Rostom</v>
          </cell>
          <cell r="T4604">
            <v>44714</v>
          </cell>
          <cell r="U4604" t="str">
            <v>Billy Smith</v>
          </cell>
          <cell r="V4604">
            <v>44803</v>
          </cell>
          <cell r="W4604">
            <v>44900</v>
          </cell>
          <cell r="Y4604">
            <v>44705</v>
          </cell>
          <cell r="AC4604">
            <v>44897</v>
          </cell>
        </row>
        <row r="4605">
          <cell r="I4605" t="str">
            <v>EDI</v>
          </cell>
          <cell r="L4605">
            <v>1421</v>
          </cell>
          <cell r="N4605" t="str">
            <v>Production</v>
          </cell>
          <cell r="O4605" t="str">
            <v>Everything Benefits</v>
          </cell>
          <cell r="P4605" t="str">
            <v>Production</v>
          </cell>
          <cell r="Q4605" t="str">
            <v>Live</v>
          </cell>
          <cell r="R4605">
            <v>44677.534432870372</v>
          </cell>
          <cell r="S4605" t="str">
            <v>Tarek Medhat</v>
          </cell>
          <cell r="T4605">
            <v>44797</v>
          </cell>
          <cell r="U4605" t="str">
            <v>Billy Smith</v>
          </cell>
          <cell r="V4605">
            <v>25569</v>
          </cell>
          <cell r="W4605">
            <v>25569</v>
          </cell>
          <cell r="AC4605">
            <v>44990</v>
          </cell>
        </row>
        <row r="4606">
          <cell r="I4606" t="str">
            <v>EDI</v>
          </cell>
          <cell r="L4606">
            <v>1054</v>
          </cell>
          <cell r="N4606" t="str">
            <v>Production</v>
          </cell>
          <cell r="O4606" t="str">
            <v>Everything Benefits</v>
          </cell>
          <cell r="P4606" t="str">
            <v>Production</v>
          </cell>
          <cell r="Q4606" t="str">
            <v>Live</v>
          </cell>
          <cell r="R4606">
            <v>44677.534421296303</v>
          </cell>
          <cell r="S4606" t="str">
            <v>Hazem Rostom</v>
          </cell>
          <cell r="T4606">
            <v>44714</v>
          </cell>
          <cell r="U4606" t="str">
            <v>Billy Smith</v>
          </cell>
          <cell r="V4606">
            <v>44721</v>
          </cell>
          <cell r="W4606">
            <v>44732</v>
          </cell>
          <cell r="Y4606">
            <v>44705</v>
          </cell>
          <cell r="AC4606">
            <v>44732</v>
          </cell>
        </row>
        <row r="4607">
          <cell r="I4607" t="str">
            <v>EDI</v>
          </cell>
          <cell r="L4607">
            <v>1354</v>
          </cell>
          <cell r="N4607" t="str">
            <v>Production</v>
          </cell>
          <cell r="O4607" t="str">
            <v>Everything Benefits</v>
          </cell>
          <cell r="P4607" t="str">
            <v>Production</v>
          </cell>
          <cell r="Q4607" t="str">
            <v>Cancelled</v>
          </cell>
          <cell r="R4607">
            <v>44677.534409722219</v>
          </cell>
          <cell r="S4607" t="str">
            <v>Karen Ramy</v>
          </cell>
          <cell r="T4607">
            <v>44956</v>
          </cell>
          <cell r="U4607" t="str">
            <v>Billy Smith</v>
          </cell>
          <cell r="V4607">
            <v>44844</v>
          </cell>
          <cell r="W4607">
            <v>25569</v>
          </cell>
          <cell r="Y4607">
            <v>44781</v>
          </cell>
          <cell r="AC4607">
            <v>44990</v>
          </cell>
        </row>
        <row r="4608">
          <cell r="I4608" t="str">
            <v>EDI</v>
          </cell>
          <cell r="L4608">
            <v>1131</v>
          </cell>
          <cell r="N4608" t="str">
            <v>Production</v>
          </cell>
          <cell r="O4608" t="str">
            <v>Everything Benefits</v>
          </cell>
          <cell r="P4608" t="str">
            <v>Production</v>
          </cell>
          <cell r="Q4608" t="str">
            <v>Cancelled</v>
          </cell>
          <cell r="R4608">
            <v>44677.520358796297</v>
          </cell>
          <cell r="S4608" t="str">
            <v>Mina Kamil</v>
          </cell>
          <cell r="T4608">
            <v>44956</v>
          </cell>
          <cell r="U4608" t="str">
            <v>Billy Smith</v>
          </cell>
          <cell r="V4608">
            <v>45038</v>
          </cell>
          <cell r="W4608">
            <v>45047</v>
          </cell>
          <cell r="Y4608">
            <v>44699</v>
          </cell>
          <cell r="AC4608">
            <v>45046</v>
          </cell>
        </row>
        <row r="4609">
          <cell r="I4609" t="str">
            <v>EDI</v>
          </cell>
          <cell r="L4609">
            <v>1121</v>
          </cell>
          <cell r="N4609" t="str">
            <v>Production</v>
          </cell>
          <cell r="O4609" t="str">
            <v>Everything Benefits</v>
          </cell>
          <cell r="P4609" t="str">
            <v>Production</v>
          </cell>
          <cell r="Q4609" t="str">
            <v>Cancelled</v>
          </cell>
          <cell r="R4609">
            <v>44677.110578703701</v>
          </cell>
          <cell r="S4609" t="str">
            <v>Mahmoud Ahmed</v>
          </cell>
          <cell r="T4609">
            <v>44721</v>
          </cell>
          <cell r="U4609" t="str">
            <v>Billy Smith</v>
          </cell>
          <cell r="V4609">
            <v>25569</v>
          </cell>
          <cell r="W4609">
            <v>45061</v>
          </cell>
          <cell r="Y4609">
            <v>44696</v>
          </cell>
          <cell r="AC4609">
            <v>45060</v>
          </cell>
        </row>
        <row r="4610">
          <cell r="I4610" t="str">
            <v>EDI</v>
          </cell>
          <cell r="L4610">
            <v>1410</v>
          </cell>
          <cell r="N4610" t="str">
            <v>Testing</v>
          </cell>
          <cell r="O4610" t="str">
            <v>Everything Benefits</v>
          </cell>
          <cell r="P4610" t="str">
            <v>Migration Testing</v>
          </cell>
          <cell r="Q4610" t="str">
            <v>Cancelled</v>
          </cell>
          <cell r="R4610">
            <v>44677.110578703701</v>
          </cell>
          <cell r="S4610" t="str">
            <v>Karen Ramy</v>
          </cell>
          <cell r="T4610">
            <v>44795</v>
          </cell>
          <cell r="U4610" t="str">
            <v>Jene Hamm</v>
          </cell>
          <cell r="V4610">
            <v>44802</v>
          </cell>
        </row>
        <row r="4611">
          <cell r="I4611" t="str">
            <v>EDI</v>
          </cell>
          <cell r="L4611">
            <v>1083</v>
          </cell>
          <cell r="N4611" t="str">
            <v>Testing</v>
          </cell>
          <cell r="O4611" t="str">
            <v>Everything Benefits</v>
          </cell>
          <cell r="P4611" t="str">
            <v>Migration Testing</v>
          </cell>
          <cell r="Q4611" t="str">
            <v>Cancelled</v>
          </cell>
          <cell r="R4611">
            <v>44677.110567129632</v>
          </cell>
          <cell r="S4611" t="str">
            <v>Nada Ashraf</v>
          </cell>
          <cell r="T4611">
            <v>44956</v>
          </cell>
          <cell r="U4611" t="str">
            <v>Jene Hamm</v>
          </cell>
          <cell r="V4611">
            <v>44844</v>
          </cell>
          <cell r="Y4611">
            <v>44707</v>
          </cell>
        </row>
        <row r="4612">
          <cell r="I4612" t="str">
            <v>EDI</v>
          </cell>
          <cell r="L4612">
            <v>1065</v>
          </cell>
          <cell r="N4612" t="str">
            <v>Production</v>
          </cell>
          <cell r="O4612" t="str">
            <v>Everything Benefits</v>
          </cell>
          <cell r="P4612" t="str">
            <v>Production</v>
          </cell>
          <cell r="Q4612" t="str">
            <v>Live</v>
          </cell>
          <cell r="R4612">
            <v>44677.110555555562</v>
          </cell>
          <cell r="S4612" t="str">
            <v>Mahmoud Ahmed</v>
          </cell>
          <cell r="T4612">
            <v>44718</v>
          </cell>
          <cell r="U4612" t="str">
            <v>Billy Smith</v>
          </cell>
          <cell r="V4612">
            <v>44851</v>
          </cell>
          <cell r="W4612">
            <v>25569</v>
          </cell>
          <cell r="Y4612">
            <v>44700</v>
          </cell>
          <cell r="AC4612">
            <v>44941</v>
          </cell>
        </row>
        <row r="4613">
          <cell r="I4613" t="str">
            <v>EDI</v>
          </cell>
          <cell r="L4613">
            <v>1095</v>
          </cell>
          <cell r="N4613" t="str">
            <v>Testing</v>
          </cell>
          <cell r="O4613" t="str">
            <v>Everything Benefits</v>
          </cell>
          <cell r="P4613" t="str">
            <v>Migration Testing</v>
          </cell>
          <cell r="Q4613" t="str">
            <v>Cancelled</v>
          </cell>
          <cell r="R4613">
            <v>44677.098136574074</v>
          </cell>
          <cell r="S4613" t="str">
            <v>Mahmoud Heidar</v>
          </cell>
          <cell r="T4613">
            <v>44714</v>
          </cell>
          <cell r="U4613" t="str">
            <v>Billy Smith</v>
          </cell>
          <cell r="V4613">
            <v>44738</v>
          </cell>
          <cell r="Y4613">
            <v>44692</v>
          </cell>
        </row>
        <row r="4614">
          <cell r="I4614" t="str">
            <v>EDI</v>
          </cell>
          <cell r="L4614">
            <v>1056</v>
          </cell>
          <cell r="N4614" t="str">
            <v>Testing</v>
          </cell>
          <cell r="O4614" t="str">
            <v>Everything Benefits</v>
          </cell>
          <cell r="P4614" t="str">
            <v>Migration Testing</v>
          </cell>
          <cell r="Q4614" t="str">
            <v>Cancelled</v>
          </cell>
          <cell r="R4614">
            <v>44677.098124999997</v>
          </cell>
          <cell r="S4614" t="str">
            <v>Kareem Osama</v>
          </cell>
          <cell r="T4614">
            <v>44714</v>
          </cell>
          <cell r="U4614" t="str">
            <v>Billy Smith</v>
          </cell>
          <cell r="V4614">
            <v>44732</v>
          </cell>
          <cell r="Y4614">
            <v>44700</v>
          </cell>
        </row>
        <row r="4615">
          <cell r="I4615" t="str">
            <v>EDI</v>
          </cell>
          <cell r="L4615">
            <v>949</v>
          </cell>
          <cell r="N4615" t="str">
            <v>Production</v>
          </cell>
          <cell r="O4615" t="str">
            <v>Everything Benefits</v>
          </cell>
          <cell r="P4615" t="str">
            <v>Production</v>
          </cell>
          <cell r="Q4615" t="str">
            <v>Cancelled</v>
          </cell>
          <cell r="R4615">
            <v>44677.098113425927</v>
          </cell>
          <cell r="S4615" t="str">
            <v>Alaa Yehia</v>
          </cell>
          <cell r="T4615">
            <v>44691</v>
          </cell>
          <cell r="U4615" t="str">
            <v>Billy Smith</v>
          </cell>
          <cell r="V4615">
            <v>44774</v>
          </cell>
          <cell r="W4615">
            <v>44837</v>
          </cell>
          <cell r="Y4615">
            <v>44690</v>
          </cell>
          <cell r="AC4615">
            <v>44835</v>
          </cell>
        </row>
        <row r="4616">
          <cell r="I4616" t="str">
            <v>EDI</v>
          </cell>
          <cell r="L4616">
            <v>1051</v>
          </cell>
          <cell r="N4616" t="str">
            <v>Production</v>
          </cell>
          <cell r="O4616" t="str">
            <v>Everything Benefits</v>
          </cell>
          <cell r="P4616" t="str">
            <v>Production</v>
          </cell>
          <cell r="Q4616" t="str">
            <v>Cancelled</v>
          </cell>
          <cell r="R4616">
            <v>44677.087581018517</v>
          </cell>
          <cell r="S4616" t="str">
            <v>Zeyad Khaled</v>
          </cell>
          <cell r="T4616">
            <v>44713</v>
          </cell>
          <cell r="U4616" t="str">
            <v>Matt Howell</v>
          </cell>
          <cell r="V4616">
            <v>44767</v>
          </cell>
          <cell r="W4616">
            <v>45131</v>
          </cell>
          <cell r="Y4616">
            <v>44700</v>
          </cell>
          <cell r="AC4616">
            <v>45131</v>
          </cell>
        </row>
        <row r="4617">
          <cell r="I4617" t="str">
            <v>EDI</v>
          </cell>
          <cell r="L4617">
            <v>1046</v>
          </cell>
          <cell r="N4617" t="str">
            <v>Production</v>
          </cell>
          <cell r="O4617" t="str">
            <v>Everything Benefits</v>
          </cell>
          <cell r="P4617" t="str">
            <v>Production</v>
          </cell>
          <cell r="Q4617" t="str">
            <v>Cancelled</v>
          </cell>
          <cell r="R4617">
            <v>44677.081689814811</v>
          </cell>
          <cell r="S4617" t="str">
            <v>Alaa Yehia</v>
          </cell>
          <cell r="T4617">
            <v>44709</v>
          </cell>
          <cell r="U4617" t="str">
            <v>Billy Smith</v>
          </cell>
          <cell r="V4617">
            <v>44774</v>
          </cell>
          <cell r="W4617">
            <v>44788</v>
          </cell>
          <cell r="Y4617">
            <v>44693</v>
          </cell>
          <cell r="AC4617">
            <v>44787</v>
          </cell>
        </row>
        <row r="4618">
          <cell r="I4618" t="str">
            <v>EDI</v>
          </cell>
          <cell r="L4618">
            <v>1141</v>
          </cell>
          <cell r="N4618" t="str">
            <v>Production</v>
          </cell>
          <cell r="O4618" t="str">
            <v>Everything Benefits</v>
          </cell>
          <cell r="P4618" t="str">
            <v>Production</v>
          </cell>
          <cell r="Q4618" t="str">
            <v>Cancelled</v>
          </cell>
          <cell r="R4618">
            <v>44677.07613425926</v>
          </cell>
          <cell r="S4618" t="str">
            <v>Karen Ramy</v>
          </cell>
          <cell r="T4618">
            <v>44870</v>
          </cell>
          <cell r="U4618" t="str">
            <v>Billy Smith</v>
          </cell>
          <cell r="V4618">
            <v>44910</v>
          </cell>
          <cell r="W4618">
            <v>45000</v>
          </cell>
          <cell r="Y4618">
            <v>44698</v>
          </cell>
          <cell r="AC4618">
            <v>44990</v>
          </cell>
        </row>
        <row r="4619">
          <cell r="I4619" t="str">
            <v>EDI</v>
          </cell>
          <cell r="L4619">
            <v>1142</v>
          </cell>
          <cell r="N4619" t="str">
            <v>Production</v>
          </cell>
          <cell r="O4619" t="str">
            <v>Everything Benefits</v>
          </cell>
          <cell r="P4619" t="str">
            <v>Production</v>
          </cell>
          <cell r="Q4619" t="str">
            <v>Cancelled</v>
          </cell>
          <cell r="R4619">
            <v>44677.074895833342</v>
          </cell>
          <cell r="S4619" t="str">
            <v>Karen Ramy</v>
          </cell>
          <cell r="T4619">
            <v>44870</v>
          </cell>
          <cell r="U4619" t="str">
            <v>Billy Smith</v>
          </cell>
          <cell r="V4619">
            <v>44910</v>
          </cell>
          <cell r="W4619">
            <v>45000</v>
          </cell>
          <cell r="Y4619">
            <v>44704</v>
          </cell>
          <cell r="AC4619">
            <v>44990</v>
          </cell>
        </row>
        <row r="4620">
          <cell r="I4620" t="str">
            <v>EDI</v>
          </cell>
          <cell r="L4620">
            <v>1082</v>
          </cell>
          <cell r="N4620" t="str">
            <v>Production</v>
          </cell>
          <cell r="O4620" t="str">
            <v>Everything Benefits</v>
          </cell>
          <cell r="P4620" t="str">
            <v>Production</v>
          </cell>
          <cell r="Q4620" t="str">
            <v>Cancelled</v>
          </cell>
          <cell r="R4620">
            <v>44677.073449074072</v>
          </cell>
          <cell r="S4620" t="str">
            <v>Mirna Azmy</v>
          </cell>
          <cell r="T4620">
            <v>44712</v>
          </cell>
          <cell r="U4620" t="str">
            <v>Billy Smith</v>
          </cell>
          <cell r="W4620">
            <v>25569</v>
          </cell>
          <cell r="Y4620">
            <v>44691</v>
          </cell>
          <cell r="AC4620">
            <v>44787</v>
          </cell>
        </row>
        <row r="4621">
          <cell r="I4621" t="str">
            <v>EDI</v>
          </cell>
          <cell r="L4621">
            <v>1143</v>
          </cell>
          <cell r="N4621" t="str">
            <v>Production</v>
          </cell>
          <cell r="O4621" t="str">
            <v>Everything Benefits</v>
          </cell>
          <cell r="P4621" t="str">
            <v>Production</v>
          </cell>
          <cell r="Q4621" t="str">
            <v>Cancelled</v>
          </cell>
          <cell r="R4621">
            <v>44677.073437500003</v>
          </cell>
          <cell r="S4621" t="str">
            <v>Karen Ramy</v>
          </cell>
          <cell r="T4621">
            <v>44870</v>
          </cell>
          <cell r="U4621" t="str">
            <v>Billy Smith</v>
          </cell>
          <cell r="V4621">
            <v>44910</v>
          </cell>
          <cell r="W4621">
            <v>45000</v>
          </cell>
          <cell r="Y4621">
            <v>44691</v>
          </cell>
          <cell r="AC4621">
            <v>44990</v>
          </cell>
        </row>
        <row r="4622">
          <cell r="I4622" t="str">
            <v>EDI</v>
          </cell>
          <cell r="L4622">
            <v>1050</v>
          </cell>
          <cell r="N4622" t="str">
            <v>Production</v>
          </cell>
          <cell r="O4622" t="str">
            <v>Everything Benefits</v>
          </cell>
          <cell r="P4622" t="str">
            <v>Production</v>
          </cell>
          <cell r="Q4622" t="str">
            <v>Cancelled</v>
          </cell>
          <cell r="R4622">
            <v>44677.073425925933</v>
          </cell>
          <cell r="S4622" t="str">
            <v>Mohamed Abdelhamed</v>
          </cell>
          <cell r="T4622">
            <v>44713</v>
          </cell>
          <cell r="U4622" t="str">
            <v>Billy Smith</v>
          </cell>
          <cell r="V4622">
            <v>44720</v>
          </cell>
          <cell r="W4622">
            <v>25569</v>
          </cell>
          <cell r="Y4622">
            <v>44691</v>
          </cell>
          <cell r="AC4622">
            <v>44790</v>
          </cell>
        </row>
        <row r="4623">
          <cell r="I4623" t="str">
            <v>EDI</v>
          </cell>
          <cell r="L4623">
            <v>1239</v>
          </cell>
          <cell r="N4623" t="str">
            <v>Production</v>
          </cell>
          <cell r="O4623" t="str">
            <v>Everything Benefits</v>
          </cell>
          <cell r="P4623" t="str">
            <v>Production</v>
          </cell>
          <cell r="Q4623" t="str">
            <v>Cancelled</v>
          </cell>
          <cell r="R4623">
            <v>44677.073414351849</v>
          </cell>
          <cell r="S4623" t="str">
            <v>Mohamed Abdelhamed</v>
          </cell>
          <cell r="T4623">
            <v>44760</v>
          </cell>
          <cell r="U4623" t="str">
            <v>Billy Smith</v>
          </cell>
          <cell r="V4623">
            <v>44767</v>
          </cell>
          <cell r="W4623">
            <v>44788</v>
          </cell>
          <cell r="AC4623">
            <v>44787</v>
          </cell>
        </row>
        <row r="4624">
          <cell r="I4624" t="str">
            <v>EDI</v>
          </cell>
          <cell r="L4624">
            <v>1105</v>
          </cell>
          <cell r="N4624" t="str">
            <v>Production</v>
          </cell>
          <cell r="O4624" t="str">
            <v>No</v>
          </cell>
          <cell r="Q4624" t="str">
            <v>Live</v>
          </cell>
          <cell r="R4624">
            <v>44676.860972222217</v>
          </cell>
          <cell r="S4624" t="str">
            <v>Andrew Ramy</v>
          </cell>
          <cell r="T4624">
            <v>44724</v>
          </cell>
          <cell r="V4624">
            <v>44740</v>
          </cell>
          <cell r="W4624">
            <v>44950</v>
          </cell>
          <cell r="Y4624">
            <v>44721</v>
          </cell>
          <cell r="AC4624">
            <v>44949</v>
          </cell>
        </row>
        <row r="4625">
          <cell r="I4625" t="str">
            <v>EDI</v>
          </cell>
          <cell r="L4625">
            <v>948</v>
          </cell>
          <cell r="N4625" t="str">
            <v>Production</v>
          </cell>
          <cell r="O4625" t="str">
            <v>No</v>
          </cell>
          <cell r="Q4625" t="str">
            <v>Cancelled</v>
          </cell>
          <cell r="R4625">
            <v>44676.860972222217</v>
          </cell>
          <cell r="S4625" t="str">
            <v>Mina George Old Account</v>
          </cell>
          <cell r="T4625">
            <v>44693</v>
          </cell>
          <cell r="V4625">
            <v>44698</v>
          </cell>
          <cell r="W4625">
            <v>44838</v>
          </cell>
          <cell r="Y4625">
            <v>44692</v>
          </cell>
          <cell r="AC4625">
            <v>44826</v>
          </cell>
        </row>
        <row r="4626">
          <cell r="I4626" t="str">
            <v>EDI</v>
          </cell>
          <cell r="L4626">
            <v>899</v>
          </cell>
          <cell r="N4626" t="str">
            <v>Dataset Validation</v>
          </cell>
          <cell r="O4626" t="str">
            <v>No</v>
          </cell>
          <cell r="Q4626" t="str">
            <v>Cancelled</v>
          </cell>
          <cell r="R4626">
            <v>44676.834097222221</v>
          </cell>
          <cell r="S4626" t="str">
            <v>Fady Bassel</v>
          </cell>
          <cell r="T4626">
            <v>44679</v>
          </cell>
          <cell r="U4626" t="str">
            <v>Miranda Naeem</v>
          </cell>
          <cell r="Y4626">
            <v>44678</v>
          </cell>
        </row>
        <row r="4627">
          <cell r="I4627" t="str">
            <v>EDI</v>
          </cell>
          <cell r="L4627">
            <v>982</v>
          </cell>
          <cell r="N4627" t="str">
            <v>Production</v>
          </cell>
          <cell r="O4627" t="str">
            <v>No</v>
          </cell>
          <cell r="Q4627" t="str">
            <v>Live</v>
          </cell>
          <cell r="R4627">
            <v>44676.834085648137</v>
          </cell>
          <cell r="S4627" t="str">
            <v>Aya Fathy</v>
          </cell>
          <cell r="T4627">
            <v>44698</v>
          </cell>
          <cell r="U4627" t="str">
            <v>Miranda Naeem</v>
          </cell>
          <cell r="V4627">
            <v>25569</v>
          </cell>
          <cell r="W4627">
            <v>44838</v>
          </cell>
          <cell r="Y4627">
            <v>44697</v>
          </cell>
          <cell r="AC4627">
            <v>44831</v>
          </cell>
        </row>
        <row r="4628">
          <cell r="I4628" t="str">
            <v>EDI</v>
          </cell>
          <cell r="L4628">
            <v>1055</v>
          </cell>
          <cell r="N4628" t="str">
            <v>Production</v>
          </cell>
          <cell r="O4628" t="str">
            <v>Everything Benefits</v>
          </cell>
          <cell r="P4628" t="str">
            <v>Production</v>
          </cell>
          <cell r="Q4628" t="str">
            <v>Live</v>
          </cell>
          <cell r="R4628">
            <v>44676.735706018517</v>
          </cell>
          <cell r="S4628" t="str">
            <v>Mahmoud Heidar</v>
          </cell>
          <cell r="T4628">
            <v>44790</v>
          </cell>
          <cell r="U4628" t="str">
            <v>Billy Smith</v>
          </cell>
          <cell r="V4628">
            <v>44801</v>
          </cell>
          <cell r="W4628">
            <v>45131</v>
          </cell>
          <cell r="Y4628">
            <v>44704</v>
          </cell>
          <cell r="AC4628">
            <v>45131</v>
          </cell>
        </row>
        <row r="4629">
          <cell r="I4629" t="str">
            <v>EDI</v>
          </cell>
          <cell r="L4629">
            <v>1048</v>
          </cell>
          <cell r="N4629" t="str">
            <v>Production</v>
          </cell>
          <cell r="O4629" t="str">
            <v>Everything Benefits</v>
          </cell>
          <cell r="P4629" t="str">
            <v>Production</v>
          </cell>
          <cell r="Q4629" t="str">
            <v>Live</v>
          </cell>
          <cell r="R4629">
            <v>44676.735069444447</v>
          </cell>
          <cell r="S4629" t="str">
            <v>Karim Tarek</v>
          </cell>
          <cell r="T4629">
            <v>44879</v>
          </cell>
          <cell r="U4629" t="str">
            <v>Billy Smith</v>
          </cell>
          <cell r="V4629">
            <v>44802</v>
          </cell>
          <cell r="W4629">
            <v>45131</v>
          </cell>
          <cell r="Y4629">
            <v>44692</v>
          </cell>
          <cell r="AC4629">
            <v>45131</v>
          </cell>
        </row>
        <row r="4630">
          <cell r="I4630" t="str">
            <v>EDI</v>
          </cell>
          <cell r="L4630">
            <v>1049</v>
          </cell>
          <cell r="N4630" t="str">
            <v>Production</v>
          </cell>
          <cell r="O4630" t="str">
            <v>Everything Benefits</v>
          </cell>
          <cell r="P4630" t="str">
            <v>Production</v>
          </cell>
          <cell r="Q4630" t="str">
            <v>Live</v>
          </cell>
          <cell r="R4630">
            <v>44676.72148148148</v>
          </cell>
          <cell r="S4630" t="str">
            <v>Tarek Medhat</v>
          </cell>
          <cell r="T4630">
            <v>44713</v>
          </cell>
          <cell r="U4630" t="str">
            <v>Billy Smith</v>
          </cell>
          <cell r="W4630">
            <v>25569</v>
          </cell>
          <cell r="Y4630">
            <v>44691</v>
          </cell>
          <cell r="AC4630">
            <v>44732</v>
          </cell>
        </row>
        <row r="4631">
          <cell r="I4631" t="str">
            <v>EDI</v>
          </cell>
          <cell r="L4631">
            <v>1041</v>
          </cell>
          <cell r="N4631" t="str">
            <v>Production</v>
          </cell>
          <cell r="O4631" t="str">
            <v>Everything Benefits</v>
          </cell>
          <cell r="P4631" t="str">
            <v>Production</v>
          </cell>
          <cell r="Q4631" t="str">
            <v>Cancelled</v>
          </cell>
          <cell r="R4631">
            <v>44676.659710648149</v>
          </cell>
          <cell r="S4631" t="str">
            <v>Hazem Rostom</v>
          </cell>
          <cell r="T4631">
            <v>44712</v>
          </cell>
          <cell r="U4631" t="str">
            <v>Billy Smith</v>
          </cell>
          <cell r="V4631">
            <v>25569</v>
          </cell>
          <cell r="W4631">
            <v>44803</v>
          </cell>
          <cell r="Y4631">
            <v>44686</v>
          </cell>
          <cell r="AC4631">
            <v>44803</v>
          </cell>
        </row>
        <row r="4632">
          <cell r="I4632" t="str">
            <v>EDI</v>
          </cell>
          <cell r="L4632">
            <v>850</v>
          </cell>
          <cell r="N4632" t="str">
            <v>Production</v>
          </cell>
          <cell r="O4632" t="str">
            <v>eBenefits Network</v>
          </cell>
          <cell r="P4632" t="str">
            <v>Production</v>
          </cell>
          <cell r="Q4632" t="str">
            <v>Cancelled</v>
          </cell>
          <cell r="R4632">
            <v>44675.027025462958</v>
          </cell>
          <cell r="S4632" t="str">
            <v>Amira Elshora Old Account</v>
          </cell>
          <cell r="T4632">
            <v>44677</v>
          </cell>
          <cell r="U4632" t="str">
            <v>Melodie Coles</v>
          </cell>
          <cell r="V4632">
            <v>44685</v>
          </cell>
          <cell r="W4632">
            <v>44711</v>
          </cell>
          <cell r="AC4632">
            <v>44711</v>
          </cell>
        </row>
        <row r="4633">
          <cell r="I4633" t="str">
            <v>EDI</v>
          </cell>
          <cell r="L4633">
            <v>934</v>
          </cell>
          <cell r="N4633" t="str">
            <v>Production</v>
          </cell>
          <cell r="O4633" t="str">
            <v>No</v>
          </cell>
          <cell r="Q4633" t="str">
            <v>Cancelled</v>
          </cell>
          <cell r="R4633">
            <v>44673.804108796299</v>
          </cell>
          <cell r="S4633" t="str">
            <v>Mina Adel Old Account</v>
          </cell>
          <cell r="T4633">
            <v>44727</v>
          </cell>
          <cell r="U4633" t="str">
            <v>Miranda Naeem</v>
          </cell>
          <cell r="V4633">
            <v>44732</v>
          </cell>
          <cell r="W4633">
            <v>44747</v>
          </cell>
          <cell r="Y4633">
            <v>44727</v>
          </cell>
          <cell r="AC4633">
            <v>44733</v>
          </cell>
        </row>
        <row r="4634">
          <cell r="I4634" t="str">
            <v>EDI</v>
          </cell>
          <cell r="L4634">
            <v>868</v>
          </cell>
          <cell r="N4634" t="str">
            <v>Production</v>
          </cell>
          <cell r="O4634" t="str">
            <v>No</v>
          </cell>
          <cell r="Q4634" t="str">
            <v>Cancelled</v>
          </cell>
          <cell r="R4634">
            <v>44673.804097222222</v>
          </cell>
          <cell r="S4634" t="str">
            <v>Mina Adel Old Account</v>
          </cell>
          <cell r="T4634">
            <v>44682</v>
          </cell>
          <cell r="U4634" t="str">
            <v>Miranda Naeem</v>
          </cell>
          <cell r="V4634">
            <v>44720</v>
          </cell>
          <cell r="W4634">
            <v>44839</v>
          </cell>
          <cell r="Y4634">
            <v>44680</v>
          </cell>
          <cell r="AC4634">
            <v>44824</v>
          </cell>
        </row>
        <row r="4635">
          <cell r="I4635" t="str">
            <v>EDI</v>
          </cell>
          <cell r="N4635" t="str">
            <v>Requirements Gathering</v>
          </cell>
          <cell r="O4635" t="str">
            <v>eBenefits Network</v>
          </cell>
          <cell r="P4635" t="str">
            <v>Phase 1 - Map Built</v>
          </cell>
          <cell r="Q4635" t="str">
            <v>Cancelled</v>
          </cell>
          <cell r="R4635">
            <v>44673.614907407413</v>
          </cell>
          <cell r="S4635" t="str">
            <v>Karim Tarek</v>
          </cell>
          <cell r="T4635">
            <v>44673</v>
          </cell>
          <cell r="U4635" t="str">
            <v>Billy Smith</v>
          </cell>
        </row>
        <row r="4636">
          <cell r="I4636" t="str">
            <v>EDI</v>
          </cell>
          <cell r="L4636">
            <v>1053</v>
          </cell>
          <cell r="N4636" t="str">
            <v>Production</v>
          </cell>
          <cell r="O4636" t="str">
            <v>Everything Benefits</v>
          </cell>
          <cell r="P4636" t="str">
            <v>Production</v>
          </cell>
          <cell r="Q4636" t="str">
            <v>Live</v>
          </cell>
          <cell r="R4636">
            <v>44672.854212962957</v>
          </cell>
          <cell r="S4636" t="str">
            <v>Nada Ashraf</v>
          </cell>
          <cell r="T4636">
            <v>44713</v>
          </cell>
          <cell r="U4636" t="str">
            <v>Billy Smith</v>
          </cell>
          <cell r="W4636">
            <v>44767</v>
          </cell>
          <cell r="Y4636">
            <v>44712</v>
          </cell>
          <cell r="AC4636">
            <v>44767</v>
          </cell>
        </row>
        <row r="4637">
          <cell r="I4637" t="str">
            <v>EDI</v>
          </cell>
          <cell r="L4637">
            <v>1035</v>
          </cell>
          <cell r="N4637" t="str">
            <v>Production</v>
          </cell>
          <cell r="O4637" t="str">
            <v>Everything Benefits</v>
          </cell>
          <cell r="P4637" t="str">
            <v>Production</v>
          </cell>
          <cell r="Q4637" t="str">
            <v>Cancelled</v>
          </cell>
          <cell r="R4637">
            <v>44672.854201388887</v>
          </cell>
          <cell r="S4637" t="str">
            <v>Hazem Rostom</v>
          </cell>
          <cell r="T4637">
            <v>44711</v>
          </cell>
          <cell r="U4637" t="str">
            <v>Billy Smith</v>
          </cell>
          <cell r="V4637">
            <v>44886</v>
          </cell>
          <cell r="W4637">
            <v>25569</v>
          </cell>
          <cell r="Y4637">
            <v>44678</v>
          </cell>
          <cell r="AC4637">
            <v>45074</v>
          </cell>
        </row>
        <row r="4638">
          <cell r="I4638" t="str">
            <v>EDI</v>
          </cell>
          <cell r="L4638">
            <v>890</v>
          </cell>
          <cell r="N4638" t="str">
            <v>Production</v>
          </cell>
          <cell r="O4638" t="str">
            <v>Everything Benefits</v>
          </cell>
          <cell r="P4638" t="str">
            <v>Production</v>
          </cell>
          <cell r="Q4638" t="str">
            <v>Live</v>
          </cell>
          <cell r="R4638">
            <v>44672.854189814818</v>
          </cell>
          <cell r="S4638" t="str">
            <v>Mina Kamil</v>
          </cell>
          <cell r="T4638">
            <v>44889</v>
          </cell>
          <cell r="U4638" t="str">
            <v>Billy Smith</v>
          </cell>
          <cell r="V4638">
            <v>44879</v>
          </cell>
          <cell r="W4638">
            <v>45082</v>
          </cell>
          <cell r="Y4638">
            <v>44678</v>
          </cell>
          <cell r="AC4638">
            <v>45081</v>
          </cell>
        </row>
        <row r="4639">
          <cell r="I4639" t="str">
            <v>EDI</v>
          </cell>
          <cell r="L4639">
            <v>1040</v>
          </cell>
          <cell r="N4639" t="str">
            <v>Production</v>
          </cell>
          <cell r="O4639" t="str">
            <v>Everything Benefits</v>
          </cell>
          <cell r="P4639" t="str">
            <v>Production</v>
          </cell>
          <cell r="Q4639" t="str">
            <v>Cancelled</v>
          </cell>
          <cell r="R4639">
            <v>44672.842164351852</v>
          </cell>
          <cell r="S4639" t="str">
            <v>Tarek Medhat</v>
          </cell>
          <cell r="T4639">
            <v>44712</v>
          </cell>
          <cell r="U4639" t="str">
            <v>Billy Smith</v>
          </cell>
          <cell r="V4639">
            <v>44760</v>
          </cell>
          <cell r="W4639">
            <v>44834</v>
          </cell>
          <cell r="Y4639">
            <v>44699</v>
          </cell>
          <cell r="AC4639">
            <v>44829</v>
          </cell>
        </row>
        <row r="4640">
          <cell r="I4640" t="str">
            <v>EDI</v>
          </cell>
          <cell r="L4640">
            <v>1042</v>
          </cell>
          <cell r="N4640" t="str">
            <v>Production</v>
          </cell>
          <cell r="O4640" t="str">
            <v>Everything Benefits</v>
          </cell>
          <cell r="P4640" t="str">
            <v>Production</v>
          </cell>
          <cell r="Q4640" t="str">
            <v>Live</v>
          </cell>
          <cell r="R4640">
            <v>44672.836793981478</v>
          </cell>
          <cell r="S4640" t="str">
            <v>Karim Tarek</v>
          </cell>
          <cell r="T4640">
            <v>44804</v>
          </cell>
          <cell r="U4640" t="str">
            <v>Billy Smith</v>
          </cell>
          <cell r="V4640">
            <v>44732</v>
          </cell>
          <cell r="W4640">
            <v>44746</v>
          </cell>
          <cell r="Y4640">
            <v>44686</v>
          </cell>
          <cell r="AC4640">
            <v>45076</v>
          </cell>
        </row>
        <row r="4641">
          <cell r="I4641" t="str">
            <v>EDI</v>
          </cell>
          <cell r="L4641">
            <v>1045</v>
          </cell>
          <cell r="N4641" t="str">
            <v>Production</v>
          </cell>
          <cell r="O4641" t="str">
            <v>Everything Benefits</v>
          </cell>
          <cell r="P4641" t="str">
            <v>Production</v>
          </cell>
          <cell r="Q4641" t="str">
            <v>Cancelled</v>
          </cell>
          <cell r="R4641">
            <v>44672.826064814813</v>
          </cell>
          <cell r="S4641" t="str">
            <v>Zeyad Khaled</v>
          </cell>
          <cell r="T4641">
            <v>44712</v>
          </cell>
          <cell r="U4641" t="str">
            <v>Billy Smith</v>
          </cell>
          <cell r="V4641">
            <v>44744</v>
          </cell>
          <cell r="W4641">
            <v>44762</v>
          </cell>
          <cell r="Y4641">
            <v>44693</v>
          </cell>
          <cell r="AC4641">
            <v>44762</v>
          </cell>
        </row>
        <row r="4642">
          <cell r="I4642" t="str">
            <v>EDI</v>
          </cell>
          <cell r="L4642">
            <v>1033</v>
          </cell>
          <cell r="N4642" t="str">
            <v>Production</v>
          </cell>
          <cell r="O4642" t="str">
            <v>Everything Benefits</v>
          </cell>
          <cell r="P4642" t="str">
            <v>Production</v>
          </cell>
          <cell r="Q4642" t="str">
            <v>Cancelled</v>
          </cell>
          <cell r="R4642">
            <v>44672.818333333344</v>
          </cell>
          <cell r="S4642" t="str">
            <v>Nada Ashraf</v>
          </cell>
          <cell r="T4642">
            <v>44790</v>
          </cell>
          <cell r="U4642" t="str">
            <v>Billy Smith</v>
          </cell>
          <cell r="W4642">
            <v>44795</v>
          </cell>
          <cell r="Y4642">
            <v>44691</v>
          </cell>
          <cell r="AC4642">
            <v>44793</v>
          </cell>
        </row>
        <row r="4643">
          <cell r="I4643" t="str">
            <v>EDI</v>
          </cell>
          <cell r="L4643">
            <v>1039</v>
          </cell>
          <cell r="N4643" t="str">
            <v>Testing</v>
          </cell>
          <cell r="O4643" t="str">
            <v>Everything Benefits</v>
          </cell>
          <cell r="P4643" t="str">
            <v>Migration Testing</v>
          </cell>
          <cell r="Q4643" t="str">
            <v>Cancelled</v>
          </cell>
          <cell r="R4643">
            <v>44672.81832175926</v>
          </cell>
          <cell r="S4643" t="str">
            <v>Hazem Rostom</v>
          </cell>
          <cell r="T4643">
            <v>44712</v>
          </cell>
          <cell r="U4643" t="str">
            <v>Billy Smith</v>
          </cell>
          <cell r="V4643">
            <v>44874</v>
          </cell>
          <cell r="Y4643">
            <v>44680</v>
          </cell>
        </row>
        <row r="4644">
          <cell r="I4644" t="str">
            <v>EDI</v>
          </cell>
          <cell r="L4644">
            <v>1026</v>
          </cell>
          <cell r="N4644" t="str">
            <v>Production</v>
          </cell>
          <cell r="O4644" t="str">
            <v>Everything Benefits</v>
          </cell>
          <cell r="P4644" t="str">
            <v>Production</v>
          </cell>
          <cell r="Q4644" t="str">
            <v>Live</v>
          </cell>
          <cell r="R4644">
            <v>44672.129664351851</v>
          </cell>
          <cell r="S4644" t="str">
            <v>Hazem Rostom</v>
          </cell>
          <cell r="T4644">
            <v>44710</v>
          </cell>
          <cell r="U4644" t="str">
            <v>Billy Smith</v>
          </cell>
          <cell r="V4644">
            <v>44872</v>
          </cell>
          <cell r="W4644">
            <v>45068</v>
          </cell>
          <cell r="Y4644">
            <v>44705</v>
          </cell>
          <cell r="AC4644">
            <v>45067</v>
          </cell>
        </row>
        <row r="4645">
          <cell r="I4645" t="str">
            <v>EDI</v>
          </cell>
          <cell r="L4645">
            <v>858</v>
          </cell>
          <cell r="N4645" t="str">
            <v>Production</v>
          </cell>
          <cell r="O4645" t="str">
            <v>Everything Benefits</v>
          </cell>
          <cell r="P4645" t="str">
            <v>Production</v>
          </cell>
          <cell r="Q4645" t="str">
            <v>Live</v>
          </cell>
          <cell r="R4645">
            <v>44672.128240740742</v>
          </cell>
          <cell r="S4645" t="str">
            <v>Alaa Yehia</v>
          </cell>
          <cell r="T4645">
            <v>44713</v>
          </cell>
          <cell r="U4645" t="str">
            <v>Billy Smith</v>
          </cell>
          <cell r="W4645">
            <v>44777</v>
          </cell>
          <cell r="Y4645">
            <v>44685</v>
          </cell>
          <cell r="AC4645">
            <v>44763</v>
          </cell>
        </row>
        <row r="4646">
          <cell r="I4646" t="str">
            <v>EDI</v>
          </cell>
          <cell r="L4646">
            <v>1027</v>
          </cell>
          <cell r="N4646" t="str">
            <v>Production</v>
          </cell>
          <cell r="O4646" t="str">
            <v>Everything Benefits</v>
          </cell>
          <cell r="P4646" t="str">
            <v>Production</v>
          </cell>
          <cell r="Q4646" t="str">
            <v>Live</v>
          </cell>
          <cell r="R4646">
            <v>44672.128229166658</v>
          </cell>
          <cell r="S4646" t="str">
            <v>Mirna Azmy</v>
          </cell>
          <cell r="T4646">
            <v>44956</v>
          </cell>
          <cell r="U4646" t="str">
            <v>Billy Smith</v>
          </cell>
          <cell r="V4646">
            <v>25569</v>
          </cell>
          <cell r="W4646">
            <v>45068</v>
          </cell>
          <cell r="Y4646">
            <v>44707</v>
          </cell>
          <cell r="AC4646">
            <v>45067</v>
          </cell>
        </row>
        <row r="4647">
          <cell r="I4647" t="str">
            <v>EDI</v>
          </cell>
          <cell r="L4647">
            <v>1043</v>
          </cell>
          <cell r="N4647" t="str">
            <v>Production</v>
          </cell>
          <cell r="O4647" t="str">
            <v>Everything Benefits</v>
          </cell>
          <cell r="P4647" t="str">
            <v>Production</v>
          </cell>
          <cell r="Q4647" t="str">
            <v>Live</v>
          </cell>
          <cell r="R4647">
            <v>44672.119780092587</v>
          </cell>
          <cell r="S4647" t="str">
            <v>Mahmoud Heidar</v>
          </cell>
          <cell r="T4647">
            <v>44956</v>
          </cell>
          <cell r="U4647" t="str">
            <v>Billy Smith</v>
          </cell>
          <cell r="V4647">
            <v>44746</v>
          </cell>
          <cell r="W4647">
            <v>45001</v>
          </cell>
          <cell r="Y4647">
            <v>44691</v>
          </cell>
          <cell r="AC4647">
            <v>44997</v>
          </cell>
        </row>
        <row r="4648">
          <cell r="I4648" t="str">
            <v>EDI</v>
          </cell>
          <cell r="L4648">
            <v>989</v>
          </cell>
          <cell r="N4648" t="str">
            <v>Production</v>
          </cell>
          <cell r="O4648" t="str">
            <v>Everything Benefits</v>
          </cell>
          <cell r="P4648" t="str">
            <v>Production</v>
          </cell>
          <cell r="Q4648" t="str">
            <v>Cancelled</v>
          </cell>
          <cell r="R4648">
            <v>44672.119768518518</v>
          </cell>
          <cell r="S4648" t="str">
            <v>Tarek Medhat</v>
          </cell>
          <cell r="T4648">
            <v>44714</v>
          </cell>
          <cell r="U4648" t="str">
            <v>Billy Smith</v>
          </cell>
          <cell r="V4648">
            <v>44725</v>
          </cell>
          <cell r="Y4648">
            <v>44691</v>
          </cell>
          <cell r="AC4648">
            <v>44780</v>
          </cell>
        </row>
        <row r="4649">
          <cell r="I4649" t="str">
            <v>EDI</v>
          </cell>
          <cell r="L4649">
            <v>918</v>
          </cell>
          <cell r="N4649" t="str">
            <v>Production</v>
          </cell>
          <cell r="O4649" t="str">
            <v>Everything Benefits</v>
          </cell>
          <cell r="P4649" t="str">
            <v>Production</v>
          </cell>
          <cell r="Q4649" t="str">
            <v>Live</v>
          </cell>
          <cell r="R4649">
            <v>44672.108587962961</v>
          </cell>
          <cell r="S4649" t="str">
            <v>Mohamed Abdelhamed</v>
          </cell>
          <cell r="T4649">
            <v>44691</v>
          </cell>
          <cell r="U4649" t="str">
            <v>Billy Smith</v>
          </cell>
          <cell r="V4649">
            <v>44739</v>
          </cell>
          <cell r="W4649">
            <v>44823</v>
          </cell>
          <cell r="Y4649">
            <v>44687</v>
          </cell>
          <cell r="AC4649">
            <v>44822</v>
          </cell>
        </row>
        <row r="4650">
          <cell r="I4650" t="str">
            <v>EDI</v>
          </cell>
          <cell r="N4650" t="str">
            <v>Requirements Gathering</v>
          </cell>
          <cell r="O4650" t="str">
            <v>Everything Benefits</v>
          </cell>
          <cell r="P4650" t="str">
            <v>Phase 1 - Map Built</v>
          </cell>
          <cell r="Q4650" t="str">
            <v>Cancelled</v>
          </cell>
          <cell r="R4650">
            <v>44672.102777777778</v>
          </cell>
          <cell r="S4650" t="str">
            <v>Abdulrahman Tarek</v>
          </cell>
          <cell r="T4650">
            <v>44678</v>
          </cell>
          <cell r="U4650" t="str">
            <v>Billy Smith</v>
          </cell>
        </row>
        <row r="4651">
          <cell r="I4651" t="str">
            <v>EDI</v>
          </cell>
          <cell r="L4651">
            <v>1047</v>
          </cell>
          <cell r="N4651" t="str">
            <v>Production</v>
          </cell>
          <cell r="O4651" t="str">
            <v>Everything Benefits</v>
          </cell>
          <cell r="P4651" t="str">
            <v>Production</v>
          </cell>
          <cell r="Q4651" t="str">
            <v>Cancelled</v>
          </cell>
          <cell r="R4651">
            <v>44672.102766203701</v>
          </cell>
          <cell r="S4651" t="str">
            <v>Mahmoud Ahmed</v>
          </cell>
          <cell r="T4651">
            <v>44713</v>
          </cell>
          <cell r="U4651" t="str">
            <v>Billy Smith</v>
          </cell>
          <cell r="W4651">
            <v>44767</v>
          </cell>
          <cell r="Y4651">
            <v>44680</v>
          </cell>
          <cell r="AC4651">
            <v>44763</v>
          </cell>
        </row>
        <row r="4652">
          <cell r="I4652" t="str">
            <v>EDI</v>
          </cell>
          <cell r="L4652">
            <v>1120</v>
          </cell>
          <cell r="N4652" t="str">
            <v>Mapping</v>
          </cell>
          <cell r="O4652" t="str">
            <v>Everything Benefits</v>
          </cell>
          <cell r="P4652" t="str">
            <v>Phase 1 - Map Built</v>
          </cell>
          <cell r="Q4652" t="str">
            <v>Cancelled</v>
          </cell>
          <cell r="R4652">
            <v>44672.102754629632</v>
          </cell>
          <cell r="S4652" t="str">
            <v>Tarek Medhat</v>
          </cell>
          <cell r="T4652">
            <v>44728</v>
          </cell>
          <cell r="U4652" t="str">
            <v>Billy Smith</v>
          </cell>
          <cell r="Y4652">
            <v>44726</v>
          </cell>
        </row>
        <row r="4653">
          <cell r="I4653" t="str">
            <v>EDI</v>
          </cell>
          <cell r="L4653">
            <v>1137</v>
          </cell>
          <cell r="N4653" t="str">
            <v>Mapping</v>
          </cell>
          <cell r="O4653" t="str">
            <v>Everything Benefits</v>
          </cell>
          <cell r="P4653" t="str">
            <v>Phase 2</v>
          </cell>
          <cell r="Q4653" t="str">
            <v>Cancelled</v>
          </cell>
          <cell r="R4653">
            <v>44672.102743055562</v>
          </cell>
          <cell r="S4653" t="str">
            <v>Mahmoud Heidar</v>
          </cell>
          <cell r="T4653">
            <v>44714</v>
          </cell>
          <cell r="U4653" t="str">
            <v>Billy Smith</v>
          </cell>
          <cell r="Y4653">
            <v>44689</v>
          </cell>
        </row>
        <row r="4654">
          <cell r="I4654" t="str">
            <v>EDI</v>
          </cell>
          <cell r="L4654">
            <v>1025</v>
          </cell>
          <cell r="N4654" t="str">
            <v>Testing</v>
          </cell>
          <cell r="O4654" t="str">
            <v>Everything Benefits</v>
          </cell>
          <cell r="P4654" t="str">
            <v>Phase 3</v>
          </cell>
          <cell r="Q4654" t="str">
            <v>Cancelled</v>
          </cell>
          <cell r="R4654">
            <v>44672.102731481478</v>
          </cell>
          <cell r="S4654" t="str">
            <v>Tarek Medhat</v>
          </cell>
          <cell r="T4654">
            <v>44710</v>
          </cell>
          <cell r="U4654" t="str">
            <v>Billy Smith</v>
          </cell>
          <cell r="Y4654">
            <v>44689</v>
          </cell>
        </row>
        <row r="4655">
          <cell r="I4655" t="str">
            <v>EDI</v>
          </cell>
          <cell r="L4655">
            <v>856</v>
          </cell>
          <cell r="N4655" t="str">
            <v>Mapping</v>
          </cell>
          <cell r="O4655" t="str">
            <v>Everything Benefits</v>
          </cell>
          <cell r="P4655" t="str">
            <v>Phase 1 - Map Built</v>
          </cell>
          <cell r="Q4655" t="str">
            <v>Cancelled</v>
          </cell>
          <cell r="R4655">
            <v>44672.102708333332</v>
          </cell>
          <cell r="S4655" t="str">
            <v>Mohamed Abdelhamed</v>
          </cell>
          <cell r="T4655">
            <v>44697</v>
          </cell>
          <cell r="U4655" t="str">
            <v>Billy Smith</v>
          </cell>
          <cell r="Y4655">
            <v>44680</v>
          </cell>
        </row>
        <row r="4656">
          <cell r="I4656" t="str">
            <v>EDI</v>
          </cell>
          <cell r="L4656">
            <v>1150</v>
          </cell>
          <cell r="N4656" t="str">
            <v>Testing</v>
          </cell>
          <cell r="O4656" t="str">
            <v>Everything Benefits</v>
          </cell>
          <cell r="P4656" t="str">
            <v>Phase 2</v>
          </cell>
          <cell r="Q4656" t="str">
            <v>Cancelled</v>
          </cell>
          <cell r="R4656">
            <v>44672.102685185193</v>
          </cell>
          <cell r="S4656" t="str">
            <v>Tarek Medhat</v>
          </cell>
          <cell r="T4656">
            <v>44733</v>
          </cell>
          <cell r="U4656" t="str">
            <v>Billy Smith</v>
          </cell>
          <cell r="Y4656">
            <v>44733</v>
          </cell>
        </row>
        <row r="4657">
          <cell r="I4657" t="str">
            <v>EDI</v>
          </cell>
          <cell r="L4657">
            <v>1096</v>
          </cell>
          <cell r="N4657" t="str">
            <v>Production</v>
          </cell>
          <cell r="O4657" t="str">
            <v>Everything Benefits</v>
          </cell>
          <cell r="P4657" t="str">
            <v>Production</v>
          </cell>
          <cell r="Q4657" t="str">
            <v>Cancelled</v>
          </cell>
          <cell r="R4657">
            <v>44672.080787037034</v>
          </cell>
          <cell r="S4657" t="str">
            <v>Nada Ashraf</v>
          </cell>
          <cell r="T4657">
            <v>44724</v>
          </cell>
          <cell r="U4657" t="str">
            <v>Matt Howell</v>
          </cell>
          <cell r="V4657">
            <v>44879</v>
          </cell>
          <cell r="W4657">
            <v>45152</v>
          </cell>
          <cell r="Y4657">
            <v>44703</v>
          </cell>
          <cell r="AC4657">
            <v>45151</v>
          </cell>
        </row>
        <row r="4658">
          <cell r="I4658" t="str">
            <v>EDI</v>
          </cell>
          <cell r="L4658">
            <v>1034</v>
          </cell>
          <cell r="N4658" t="str">
            <v>Production</v>
          </cell>
          <cell r="O4658" t="str">
            <v>Everything Benefits</v>
          </cell>
          <cell r="P4658" t="str">
            <v>Production</v>
          </cell>
          <cell r="Q4658" t="str">
            <v>Live</v>
          </cell>
          <cell r="R4658">
            <v>44672.080787037034</v>
          </cell>
          <cell r="S4658" t="str">
            <v>Salma Yamani</v>
          </cell>
          <cell r="T4658">
            <v>44711</v>
          </cell>
          <cell r="U4658" t="str">
            <v>Billy Smith</v>
          </cell>
          <cell r="W4658">
            <v>44767</v>
          </cell>
          <cell r="Y4658">
            <v>44686</v>
          </cell>
          <cell r="AC4658">
            <v>44763</v>
          </cell>
        </row>
        <row r="4659">
          <cell r="I4659" t="str">
            <v>EDI</v>
          </cell>
          <cell r="L4659">
            <v>1132</v>
          </cell>
          <cell r="N4659" t="str">
            <v>Production</v>
          </cell>
          <cell r="O4659" t="str">
            <v>Everything Benefits</v>
          </cell>
          <cell r="P4659" t="str">
            <v>Production</v>
          </cell>
          <cell r="Q4659" t="str">
            <v>Cancelled</v>
          </cell>
          <cell r="R4659">
            <v>44672.080775462957</v>
          </cell>
          <cell r="S4659" t="str">
            <v>Mohamed Abdelhamed</v>
          </cell>
          <cell r="T4659">
            <v>44732</v>
          </cell>
          <cell r="U4659" t="str">
            <v>Billy Smith</v>
          </cell>
          <cell r="V4659">
            <v>44739</v>
          </cell>
          <cell r="W4659">
            <v>44788</v>
          </cell>
          <cell r="Y4659">
            <v>44689</v>
          </cell>
          <cell r="AC4659">
            <v>44787</v>
          </cell>
        </row>
        <row r="4660">
          <cell r="I4660" t="str">
            <v>EDI</v>
          </cell>
          <cell r="L4660">
            <v>1119</v>
          </cell>
          <cell r="N4660" t="str">
            <v>Production</v>
          </cell>
          <cell r="O4660" t="str">
            <v>Everything Benefits</v>
          </cell>
          <cell r="P4660" t="str">
            <v>Production</v>
          </cell>
          <cell r="Q4660" t="str">
            <v>Cancelled</v>
          </cell>
          <cell r="R4660">
            <v>44672.080763888887</v>
          </cell>
          <cell r="S4660" t="str">
            <v>Zeyad Khaled</v>
          </cell>
          <cell r="T4660">
            <v>44728</v>
          </cell>
          <cell r="U4660" t="str">
            <v>Billy Smith</v>
          </cell>
          <cell r="V4660">
            <v>44816</v>
          </cell>
          <cell r="W4660">
            <v>45096</v>
          </cell>
          <cell r="Y4660">
            <v>44726</v>
          </cell>
          <cell r="AC4660">
            <v>45095</v>
          </cell>
        </row>
        <row r="4661">
          <cell r="I4661" t="str">
            <v>EDI</v>
          </cell>
          <cell r="L4661">
            <v>1015</v>
          </cell>
          <cell r="N4661" t="str">
            <v>Production</v>
          </cell>
          <cell r="O4661" t="str">
            <v>Everything Benefits</v>
          </cell>
          <cell r="P4661" t="str">
            <v>Production</v>
          </cell>
          <cell r="Q4661" t="str">
            <v>Live</v>
          </cell>
          <cell r="R4661">
            <v>44672.070983796293</v>
          </cell>
          <cell r="S4661" t="str">
            <v>Mahmoud Ahmed</v>
          </cell>
          <cell r="T4661">
            <v>44705</v>
          </cell>
          <cell r="U4661" t="str">
            <v>Billy Smith</v>
          </cell>
          <cell r="W4661">
            <v>44732</v>
          </cell>
          <cell r="Y4661">
            <v>44689</v>
          </cell>
          <cell r="AC4661">
            <v>44732</v>
          </cell>
        </row>
        <row r="4662">
          <cell r="I4662" t="str">
            <v>EDI</v>
          </cell>
          <cell r="L4662">
            <v>1129</v>
          </cell>
          <cell r="N4662" t="str">
            <v>Production</v>
          </cell>
          <cell r="O4662" t="str">
            <v>Everything Benefits</v>
          </cell>
          <cell r="P4662" t="str">
            <v>Production</v>
          </cell>
          <cell r="Q4662" t="str">
            <v>Cancelled</v>
          </cell>
          <cell r="R4662">
            <v>44672.064201388886</v>
          </cell>
          <cell r="S4662" t="str">
            <v>Karim Tarek</v>
          </cell>
          <cell r="T4662">
            <v>44804</v>
          </cell>
          <cell r="U4662" t="str">
            <v>Billy Smith</v>
          </cell>
          <cell r="V4662">
            <v>44734</v>
          </cell>
          <cell r="W4662">
            <v>44900</v>
          </cell>
          <cell r="Y4662">
            <v>44678</v>
          </cell>
          <cell r="AC4662">
            <v>44899</v>
          </cell>
        </row>
        <row r="4663">
          <cell r="I4663" t="str">
            <v>EDI</v>
          </cell>
          <cell r="L4663">
            <v>1029</v>
          </cell>
          <cell r="N4663" t="str">
            <v>Production</v>
          </cell>
          <cell r="O4663" t="str">
            <v>Everything Benefits</v>
          </cell>
          <cell r="P4663" t="str">
            <v>Production</v>
          </cell>
          <cell r="Q4663" t="str">
            <v>Cancelled</v>
          </cell>
          <cell r="R4663">
            <v>44672.064189814817</v>
          </cell>
          <cell r="S4663" t="str">
            <v>Mohamed Abdelhamed</v>
          </cell>
          <cell r="T4663">
            <v>44710</v>
          </cell>
          <cell r="U4663" t="str">
            <v>Billy Smith</v>
          </cell>
          <cell r="V4663">
            <v>44720</v>
          </cell>
          <cell r="W4663">
            <v>44741</v>
          </cell>
          <cell r="Y4663">
            <v>44705</v>
          </cell>
          <cell r="AC4663">
            <v>44747</v>
          </cell>
        </row>
        <row r="4664">
          <cell r="I4664" t="str">
            <v>EDI</v>
          </cell>
          <cell r="L4664">
            <v>1071</v>
          </cell>
          <cell r="N4664" t="str">
            <v>Production</v>
          </cell>
          <cell r="O4664" t="str">
            <v>Everything Benefits</v>
          </cell>
          <cell r="P4664" t="str">
            <v>Production</v>
          </cell>
          <cell r="Q4664" t="str">
            <v>Cancelled</v>
          </cell>
          <cell r="R4664">
            <v>44672.06417824074</v>
          </cell>
          <cell r="S4664" t="str">
            <v>Karim Tarek</v>
          </cell>
          <cell r="T4664">
            <v>44804</v>
          </cell>
          <cell r="U4664" t="str">
            <v>Billy Smith</v>
          </cell>
          <cell r="V4664">
            <v>44732</v>
          </cell>
          <cell r="W4664">
            <v>44746</v>
          </cell>
          <cell r="Y4664">
            <v>44678</v>
          </cell>
          <cell r="AC4664">
            <v>45046</v>
          </cell>
        </row>
        <row r="4665">
          <cell r="I4665" t="str">
            <v>EDI</v>
          </cell>
          <cell r="L4665">
            <v>1151</v>
          </cell>
          <cell r="N4665" t="str">
            <v>Production</v>
          </cell>
          <cell r="O4665" t="str">
            <v>Everything Benefits</v>
          </cell>
          <cell r="P4665" t="str">
            <v>Production</v>
          </cell>
          <cell r="Q4665" t="str">
            <v>Cancelled</v>
          </cell>
          <cell r="R4665">
            <v>44672.06417824074</v>
          </cell>
          <cell r="S4665" t="str">
            <v>Alaa Yehia</v>
          </cell>
          <cell r="T4665">
            <v>44790</v>
          </cell>
          <cell r="U4665" t="str">
            <v>Billy Smith</v>
          </cell>
          <cell r="V4665">
            <v>44837</v>
          </cell>
          <cell r="W4665">
            <v>45061</v>
          </cell>
          <cell r="Y4665">
            <v>44733</v>
          </cell>
          <cell r="AC4665">
            <v>45060</v>
          </cell>
        </row>
        <row r="4666">
          <cell r="I4666" t="str">
            <v>EDI</v>
          </cell>
          <cell r="N4666" t="str">
            <v>Requirements Gathering</v>
          </cell>
          <cell r="O4666" t="str">
            <v>No</v>
          </cell>
          <cell r="Q4666" t="str">
            <v>Cancelled</v>
          </cell>
          <cell r="R4666">
            <v>44671.609131944453</v>
          </cell>
          <cell r="S4666" t="str">
            <v>Abdulrahman Tarek</v>
          </cell>
          <cell r="T4666">
            <v>44673</v>
          </cell>
          <cell r="U4666" t="str">
            <v>Denise Stubenvoll</v>
          </cell>
        </row>
        <row r="4667">
          <cell r="I4667" t="str">
            <v>EDI</v>
          </cell>
          <cell r="L4667">
            <v>944</v>
          </cell>
          <cell r="N4667" t="str">
            <v>Production</v>
          </cell>
          <cell r="O4667" t="str">
            <v>eBenefits Network</v>
          </cell>
          <cell r="P4667" t="str">
            <v>Production</v>
          </cell>
          <cell r="Q4667" t="str">
            <v>Cancelled</v>
          </cell>
          <cell r="R4667">
            <v>44671.505162037043</v>
          </cell>
          <cell r="S4667" t="str">
            <v>Amira Elshora Old Account</v>
          </cell>
          <cell r="T4667">
            <v>44691</v>
          </cell>
          <cell r="U4667" t="str">
            <v>Billy Smith</v>
          </cell>
          <cell r="V4667">
            <v>44693</v>
          </cell>
          <cell r="W4667">
            <v>25569</v>
          </cell>
          <cell r="Y4667">
            <v>44675</v>
          </cell>
          <cell r="AC4667">
            <v>44745</v>
          </cell>
        </row>
        <row r="4668">
          <cell r="I4668" t="str">
            <v>EDI</v>
          </cell>
          <cell r="L4668">
            <v>865</v>
          </cell>
          <cell r="N4668" t="str">
            <v>Production</v>
          </cell>
          <cell r="O4668" t="str">
            <v>eBenefits Network</v>
          </cell>
          <cell r="P4668" t="str">
            <v>Production</v>
          </cell>
          <cell r="Q4668" t="str">
            <v>Live</v>
          </cell>
          <cell r="R4668">
            <v>44671.50199074074</v>
          </cell>
          <cell r="S4668" t="str">
            <v>Amira Elshora Old Account</v>
          </cell>
          <cell r="T4668">
            <v>44682</v>
          </cell>
          <cell r="U4668" t="str">
            <v>Billy Smith</v>
          </cell>
          <cell r="V4668">
            <v>44685</v>
          </cell>
          <cell r="W4668">
            <v>25569</v>
          </cell>
          <cell r="Y4668">
            <v>44675</v>
          </cell>
          <cell r="AC4668">
            <v>44712</v>
          </cell>
        </row>
        <row r="4669">
          <cell r="I4669" t="str">
            <v>EDI</v>
          </cell>
          <cell r="L4669">
            <v>902</v>
          </cell>
          <cell r="N4669" t="str">
            <v>Production</v>
          </cell>
          <cell r="O4669" t="str">
            <v>eBenefits Network</v>
          </cell>
          <cell r="P4669" t="str">
            <v>Production</v>
          </cell>
          <cell r="Q4669" t="str">
            <v>Cancelled</v>
          </cell>
          <cell r="R4669">
            <v>44671.499432870369</v>
          </cell>
          <cell r="S4669" t="str">
            <v>Amira Elshora Old Account</v>
          </cell>
          <cell r="T4669">
            <v>44682</v>
          </cell>
          <cell r="U4669" t="str">
            <v>Billy Smith</v>
          </cell>
          <cell r="V4669">
            <v>44689</v>
          </cell>
          <cell r="W4669">
            <v>44719</v>
          </cell>
          <cell r="Y4669">
            <v>44675</v>
          </cell>
          <cell r="AC4669">
            <v>44719</v>
          </cell>
        </row>
        <row r="4670">
          <cell r="I4670" t="str">
            <v>EDI</v>
          </cell>
          <cell r="L4670">
            <v>869</v>
          </cell>
          <cell r="N4670" t="str">
            <v>Production</v>
          </cell>
          <cell r="O4670" t="str">
            <v>No</v>
          </cell>
          <cell r="Q4670" t="str">
            <v>Live</v>
          </cell>
          <cell r="R4670">
            <v>44670.743113425917</v>
          </cell>
          <cell r="S4670" t="str">
            <v>Ahmed Sami</v>
          </cell>
          <cell r="T4670">
            <v>44895</v>
          </cell>
          <cell r="U4670" t="str">
            <v>Denise Stubenvoll</v>
          </cell>
          <cell r="V4670">
            <v>44711</v>
          </cell>
          <cell r="W4670">
            <v>44925</v>
          </cell>
          <cell r="Y4670">
            <v>44672</v>
          </cell>
          <cell r="AC4670">
            <v>44922</v>
          </cell>
        </row>
        <row r="4671">
          <cell r="I4671" t="str">
            <v>EDI</v>
          </cell>
          <cell r="L4671">
            <v>815</v>
          </cell>
          <cell r="N4671" t="str">
            <v>Production</v>
          </cell>
          <cell r="O4671" t="str">
            <v>No</v>
          </cell>
          <cell r="Q4671" t="str">
            <v>Cancelled</v>
          </cell>
          <cell r="R4671">
            <v>44670.670624999999</v>
          </cell>
          <cell r="S4671" t="str">
            <v>Haytham Mohamed</v>
          </cell>
          <cell r="T4671">
            <v>44670</v>
          </cell>
          <cell r="U4671" t="str">
            <v>Billy Smith</v>
          </cell>
          <cell r="V4671">
            <v>44691</v>
          </cell>
          <cell r="W4671">
            <v>44734</v>
          </cell>
          <cell r="AC4671">
            <v>44730</v>
          </cell>
        </row>
        <row r="4672">
          <cell r="I4672" t="str">
            <v>EDI</v>
          </cell>
          <cell r="L4672">
            <v>826</v>
          </cell>
          <cell r="N4672" t="str">
            <v>Production</v>
          </cell>
          <cell r="O4672" t="str">
            <v>eBenefits Network</v>
          </cell>
          <cell r="P4672" t="str">
            <v>Production</v>
          </cell>
          <cell r="Q4672" t="str">
            <v>Cancelled</v>
          </cell>
          <cell r="R4672">
            <v>44668.920185185183</v>
          </cell>
          <cell r="S4672" t="str">
            <v>Amira Elshora Old Account</v>
          </cell>
          <cell r="T4672">
            <v>44670</v>
          </cell>
          <cell r="U4672" t="str">
            <v>Billy Smith</v>
          </cell>
          <cell r="V4672">
            <v>44676</v>
          </cell>
          <cell r="W4672">
            <v>44754</v>
          </cell>
          <cell r="AC4672">
            <v>44749</v>
          </cell>
        </row>
        <row r="4673">
          <cell r="I4673" t="str">
            <v>EDI</v>
          </cell>
          <cell r="L4673">
            <v>1099</v>
          </cell>
          <cell r="N4673" t="str">
            <v>Production</v>
          </cell>
          <cell r="O4673" t="str">
            <v>No</v>
          </cell>
          <cell r="Q4673" t="str">
            <v>Cancelled</v>
          </cell>
          <cell r="R4673">
            <v>44666.574687499997</v>
          </cell>
          <cell r="S4673" t="str">
            <v>Joseph Atef Old Account</v>
          </cell>
          <cell r="T4673">
            <v>44720</v>
          </cell>
          <cell r="U4673" t="str">
            <v>Miranda Naeem</v>
          </cell>
          <cell r="V4673">
            <v>25569</v>
          </cell>
          <cell r="W4673">
            <v>44740</v>
          </cell>
          <cell r="Y4673">
            <v>44719</v>
          </cell>
          <cell r="AC4673">
            <v>44735</v>
          </cell>
        </row>
        <row r="4674">
          <cell r="I4674" t="str">
            <v>EDI</v>
          </cell>
          <cell r="L4674">
            <v>839</v>
          </cell>
          <cell r="N4674" t="str">
            <v>Production</v>
          </cell>
          <cell r="O4674" t="str">
            <v>No</v>
          </cell>
          <cell r="Q4674" t="str">
            <v>Cancelled</v>
          </cell>
          <cell r="R4674">
            <v>44666.574687499997</v>
          </cell>
          <cell r="S4674" t="str">
            <v>Mina Adel Old Account</v>
          </cell>
          <cell r="T4674">
            <v>44674</v>
          </cell>
          <cell r="U4674" t="str">
            <v>Miranda Naeem</v>
          </cell>
          <cell r="W4674">
            <v>44706</v>
          </cell>
          <cell r="Y4674">
            <v>44671</v>
          </cell>
          <cell r="AC4674">
            <v>44696</v>
          </cell>
        </row>
        <row r="4675">
          <cell r="I4675" t="str">
            <v>EDI</v>
          </cell>
          <cell r="L4675">
            <v>898</v>
          </cell>
          <cell r="N4675" t="str">
            <v>Production</v>
          </cell>
          <cell r="O4675" t="str">
            <v>No</v>
          </cell>
          <cell r="Q4675" t="str">
            <v>Cancelled</v>
          </cell>
          <cell r="R4675">
            <v>44665.554942129631</v>
          </cell>
          <cell r="S4675" t="str">
            <v>Fady Bassel</v>
          </cell>
          <cell r="T4675">
            <v>44674</v>
          </cell>
          <cell r="U4675" t="str">
            <v>Miranda Naeem</v>
          </cell>
          <cell r="V4675">
            <v>25569</v>
          </cell>
          <cell r="W4675">
            <v>44761</v>
          </cell>
          <cell r="Y4675">
            <v>44672</v>
          </cell>
          <cell r="AC4675">
            <v>44759</v>
          </cell>
        </row>
        <row r="4676">
          <cell r="I4676" t="str">
            <v>EDI</v>
          </cell>
          <cell r="L4676">
            <v>807</v>
          </cell>
          <cell r="N4676" t="str">
            <v>Production</v>
          </cell>
          <cell r="O4676" t="str">
            <v>No</v>
          </cell>
          <cell r="Q4676" t="str">
            <v>Live</v>
          </cell>
          <cell r="R4676">
            <v>44664.570428240739</v>
          </cell>
          <cell r="S4676" t="str">
            <v>Omar Elmahalwy</v>
          </cell>
          <cell r="T4676">
            <v>44889</v>
          </cell>
          <cell r="U4676" t="str">
            <v>Miranda Naeem</v>
          </cell>
          <cell r="V4676">
            <v>44713</v>
          </cell>
          <cell r="W4676">
            <v>45062</v>
          </cell>
          <cell r="Y4676">
            <v>44668</v>
          </cell>
          <cell r="AC4676">
            <v>45057</v>
          </cell>
        </row>
        <row r="4677">
          <cell r="I4677" t="str">
            <v>EDI</v>
          </cell>
          <cell r="N4677" t="str">
            <v>Production</v>
          </cell>
          <cell r="O4677" t="str">
            <v>No</v>
          </cell>
          <cell r="Q4677" t="str">
            <v>Cancelled</v>
          </cell>
          <cell r="R4677">
            <v>44663.870810185188</v>
          </cell>
          <cell r="S4677" t="str">
            <v>Dina Medhat</v>
          </cell>
          <cell r="T4677">
            <v>44664</v>
          </cell>
          <cell r="U4677" t="str">
            <v>Elizabeth Kahle</v>
          </cell>
          <cell r="AC4677">
            <v>44664</v>
          </cell>
        </row>
        <row r="4678">
          <cell r="I4678" t="str">
            <v>EDI</v>
          </cell>
          <cell r="L4678">
            <v>947</v>
          </cell>
          <cell r="N4678" t="str">
            <v>Production</v>
          </cell>
          <cell r="O4678" t="str">
            <v>No</v>
          </cell>
          <cell r="Q4678" t="str">
            <v>Cancelled</v>
          </cell>
          <cell r="R4678">
            <v>44663.844629629632</v>
          </cell>
          <cell r="S4678" t="str">
            <v>Mina George Old Account</v>
          </cell>
          <cell r="T4678">
            <v>44693</v>
          </cell>
          <cell r="U4678" t="str">
            <v>Billy Smith</v>
          </cell>
          <cell r="V4678">
            <v>44715</v>
          </cell>
          <cell r="W4678">
            <v>44853</v>
          </cell>
          <cell r="Y4678">
            <v>44693</v>
          </cell>
          <cell r="AC4678">
            <v>44848</v>
          </cell>
        </row>
        <row r="4679">
          <cell r="I4679" t="str">
            <v>EDI</v>
          </cell>
          <cell r="L4679">
            <v>919</v>
          </cell>
          <cell r="N4679" t="str">
            <v>Production</v>
          </cell>
          <cell r="O4679" t="str">
            <v>No</v>
          </cell>
          <cell r="Q4679" t="str">
            <v>Live</v>
          </cell>
          <cell r="R4679">
            <v>44663.844629629632</v>
          </cell>
          <cell r="S4679" t="str">
            <v>Mina George Old Account</v>
          </cell>
          <cell r="T4679">
            <v>44691</v>
          </cell>
          <cell r="U4679" t="str">
            <v>Billy Smith</v>
          </cell>
          <cell r="V4679">
            <v>44699</v>
          </cell>
          <cell r="W4679">
            <v>44720</v>
          </cell>
          <cell r="Y4679">
            <v>44691</v>
          </cell>
          <cell r="AC4679">
            <v>44713</v>
          </cell>
        </row>
        <row r="4680">
          <cell r="I4680" t="str">
            <v>EDI</v>
          </cell>
          <cell r="N4680" t="str">
            <v>Requirements Gathering</v>
          </cell>
          <cell r="O4680" t="str">
            <v>No</v>
          </cell>
          <cell r="Q4680" t="str">
            <v>Cancelled</v>
          </cell>
          <cell r="R4680">
            <v>44663.844629629632</v>
          </cell>
          <cell r="S4680" t="str">
            <v>Abdulrahman Tarek</v>
          </cell>
          <cell r="T4680">
            <v>44664</v>
          </cell>
          <cell r="U4680" t="str">
            <v>Billy Smith</v>
          </cell>
        </row>
        <row r="4681">
          <cell r="I4681" t="str">
            <v>EDI</v>
          </cell>
          <cell r="L4681">
            <v>896</v>
          </cell>
          <cell r="N4681" t="str">
            <v>Production</v>
          </cell>
          <cell r="O4681" t="str">
            <v>No</v>
          </cell>
          <cell r="Q4681" t="str">
            <v>Cancelled</v>
          </cell>
          <cell r="R4681">
            <v>44663.803124999999</v>
          </cell>
          <cell r="S4681" t="str">
            <v>Mina Adel Old Account</v>
          </cell>
          <cell r="T4681">
            <v>44685</v>
          </cell>
          <cell r="U4681" t="str">
            <v>Miranda Naeem</v>
          </cell>
          <cell r="V4681">
            <v>44692</v>
          </cell>
          <cell r="W4681">
            <v>44706</v>
          </cell>
          <cell r="Y4681">
            <v>44685</v>
          </cell>
          <cell r="AC4681">
            <v>44699</v>
          </cell>
        </row>
        <row r="4682">
          <cell r="I4682" t="str">
            <v>EDI</v>
          </cell>
          <cell r="L4682">
            <v>861</v>
          </cell>
          <cell r="N4682" t="str">
            <v>Production</v>
          </cell>
          <cell r="O4682" t="str">
            <v>No</v>
          </cell>
          <cell r="Q4682" t="str">
            <v>Cancelled</v>
          </cell>
          <cell r="R4682">
            <v>44663.803113425929</v>
          </cell>
          <cell r="S4682" t="str">
            <v>Omar Elmahalwy Old Account</v>
          </cell>
          <cell r="T4682">
            <v>44685</v>
          </cell>
          <cell r="U4682" t="str">
            <v>Miranda Naeem</v>
          </cell>
          <cell r="V4682">
            <v>44692</v>
          </cell>
          <cell r="W4682">
            <v>44719</v>
          </cell>
          <cell r="Y4682">
            <v>44685</v>
          </cell>
          <cell r="AC4682">
            <v>44714</v>
          </cell>
        </row>
        <row r="4683">
          <cell r="I4683" t="str">
            <v>EDI</v>
          </cell>
          <cell r="L4683">
            <v>980</v>
          </cell>
          <cell r="N4683" t="str">
            <v>Production</v>
          </cell>
          <cell r="O4683" t="str">
            <v>No</v>
          </cell>
          <cell r="Q4683" t="str">
            <v>Live</v>
          </cell>
          <cell r="R4683">
            <v>44659.851215277777</v>
          </cell>
          <cell r="S4683" t="str">
            <v>Mina Adel Old Account</v>
          </cell>
          <cell r="T4683">
            <v>44698</v>
          </cell>
          <cell r="U4683" t="str">
            <v>Denise Stubenvoll</v>
          </cell>
          <cell r="V4683">
            <v>44720</v>
          </cell>
          <cell r="W4683">
            <v>44748</v>
          </cell>
          <cell r="Y4683">
            <v>44697</v>
          </cell>
          <cell r="AC4683">
            <v>44745</v>
          </cell>
        </row>
        <row r="4684">
          <cell r="I4684" t="str">
            <v>EDI</v>
          </cell>
          <cell r="L4684">
            <v>1553</v>
          </cell>
          <cell r="N4684" t="str">
            <v>Production</v>
          </cell>
          <cell r="O4684" t="str">
            <v>No</v>
          </cell>
          <cell r="Q4684" t="str">
            <v>Live</v>
          </cell>
          <cell r="R4684">
            <v>44659.826481481483</v>
          </cell>
          <cell r="S4684" t="str">
            <v>Ahmed Sami</v>
          </cell>
          <cell r="T4684">
            <v>44895</v>
          </cell>
          <cell r="U4684" t="str">
            <v>Vicky Wright</v>
          </cell>
          <cell r="V4684">
            <v>44823</v>
          </cell>
          <cell r="W4684">
            <v>25569</v>
          </cell>
          <cell r="Y4684">
            <v>44818</v>
          </cell>
          <cell r="AC4684">
            <v>45009</v>
          </cell>
        </row>
        <row r="4685">
          <cell r="I4685" t="str">
            <v>EDI</v>
          </cell>
          <cell r="L4685">
            <v>822</v>
          </cell>
          <cell r="N4685" t="str">
            <v>Production</v>
          </cell>
          <cell r="O4685" t="str">
            <v>No</v>
          </cell>
          <cell r="Q4685" t="str">
            <v>Cancelled</v>
          </cell>
          <cell r="R4685">
            <v>44659.81486111111</v>
          </cell>
          <cell r="S4685" t="str">
            <v>Haytham Mohamed</v>
          </cell>
          <cell r="T4685">
            <v>44671</v>
          </cell>
          <cell r="U4685" t="str">
            <v>Billy Smith</v>
          </cell>
          <cell r="V4685">
            <v>44773</v>
          </cell>
          <cell r="W4685">
            <v>44832</v>
          </cell>
          <cell r="Y4685">
            <v>44670</v>
          </cell>
          <cell r="AC4685">
            <v>44826</v>
          </cell>
        </row>
        <row r="4686">
          <cell r="I4686" t="str">
            <v>EDI</v>
          </cell>
          <cell r="L4686">
            <v>971</v>
          </cell>
          <cell r="N4686" t="str">
            <v>Testing</v>
          </cell>
          <cell r="O4686" t="str">
            <v>No</v>
          </cell>
          <cell r="Q4686" t="str">
            <v>Cancelled</v>
          </cell>
          <cell r="R4686">
            <v>44659.798564814817</v>
          </cell>
          <cell r="S4686" t="str">
            <v>Mina George Old Account</v>
          </cell>
          <cell r="T4686">
            <v>44696</v>
          </cell>
          <cell r="Y4686">
            <v>44693</v>
          </cell>
        </row>
        <row r="4687">
          <cell r="I4687" t="str">
            <v>EDI</v>
          </cell>
          <cell r="L4687">
            <v>781</v>
          </cell>
          <cell r="N4687" t="str">
            <v>Production</v>
          </cell>
          <cell r="O4687" t="str">
            <v>No</v>
          </cell>
          <cell r="Q4687" t="str">
            <v>Live</v>
          </cell>
          <cell r="R4687">
            <v>44659.79855324074</v>
          </cell>
          <cell r="S4687" t="str">
            <v>Mina George Old Account</v>
          </cell>
          <cell r="T4687">
            <v>44665</v>
          </cell>
          <cell r="V4687">
            <v>44690</v>
          </cell>
          <cell r="W4687">
            <v>44698</v>
          </cell>
          <cell r="Y4687">
            <v>44664</v>
          </cell>
          <cell r="AC4687">
            <v>44692</v>
          </cell>
        </row>
        <row r="4688">
          <cell r="I4688" t="str">
            <v>EDI</v>
          </cell>
          <cell r="L4688">
            <v>802</v>
          </cell>
          <cell r="N4688" t="str">
            <v>Production</v>
          </cell>
          <cell r="O4688" t="str">
            <v>No</v>
          </cell>
          <cell r="Q4688" t="str">
            <v>Live</v>
          </cell>
          <cell r="R4688">
            <v>44659.79855324074</v>
          </cell>
          <cell r="S4688" t="str">
            <v>Mina Adel Old Account</v>
          </cell>
          <cell r="T4688">
            <v>44665</v>
          </cell>
          <cell r="V4688">
            <v>44678</v>
          </cell>
          <cell r="W4688">
            <v>44727</v>
          </cell>
          <cell r="Y4688">
            <v>44664</v>
          </cell>
          <cell r="AC4688">
            <v>44724</v>
          </cell>
        </row>
        <row r="4689">
          <cell r="I4689" t="str">
            <v>EDI</v>
          </cell>
          <cell r="L4689">
            <v>770</v>
          </cell>
          <cell r="N4689" t="str">
            <v>Production</v>
          </cell>
          <cell r="O4689" t="str">
            <v>No</v>
          </cell>
          <cell r="Q4689" t="str">
            <v>Live</v>
          </cell>
          <cell r="R4689">
            <v>44658.843472222223</v>
          </cell>
          <cell r="S4689" t="str">
            <v>Mina George Old Account</v>
          </cell>
          <cell r="T4689">
            <v>44662</v>
          </cell>
          <cell r="U4689" t="str">
            <v>Miranda Naeem</v>
          </cell>
          <cell r="V4689">
            <v>44690</v>
          </cell>
          <cell r="W4689">
            <v>44768</v>
          </cell>
          <cell r="Y4689">
            <v>44661</v>
          </cell>
          <cell r="AC4689">
            <v>44755</v>
          </cell>
        </row>
        <row r="4690">
          <cell r="I4690" t="str">
            <v>EDI</v>
          </cell>
          <cell r="L4690">
            <v>870</v>
          </cell>
          <cell r="N4690" t="str">
            <v>Production</v>
          </cell>
          <cell r="O4690" t="str">
            <v>No</v>
          </cell>
          <cell r="Q4690" t="str">
            <v>Cancelled</v>
          </cell>
          <cell r="R4690">
            <v>44658.827627314808</v>
          </cell>
          <cell r="S4690" t="str">
            <v>Ahmed Sami Old Account</v>
          </cell>
          <cell r="T4690">
            <v>44671</v>
          </cell>
          <cell r="U4690" t="str">
            <v>Miranda Naeem</v>
          </cell>
          <cell r="V4690">
            <v>44697</v>
          </cell>
          <cell r="W4690">
            <v>44733</v>
          </cell>
          <cell r="Y4690">
            <v>44669</v>
          </cell>
          <cell r="AC4690">
            <v>44728</v>
          </cell>
        </row>
        <row r="4691">
          <cell r="I4691" t="str">
            <v>EDI</v>
          </cell>
          <cell r="L4691">
            <v>823</v>
          </cell>
          <cell r="N4691" t="str">
            <v>Production</v>
          </cell>
          <cell r="O4691" t="str">
            <v>No</v>
          </cell>
          <cell r="Q4691" t="str">
            <v>Cancelled</v>
          </cell>
          <cell r="R4691">
            <v>44658.827627314808</v>
          </cell>
          <cell r="S4691" t="str">
            <v>Haytham Mohamed</v>
          </cell>
          <cell r="T4691">
            <v>44674</v>
          </cell>
          <cell r="U4691" t="str">
            <v>Miranda Naeem</v>
          </cell>
          <cell r="V4691">
            <v>44693</v>
          </cell>
          <cell r="W4691">
            <v>44719</v>
          </cell>
          <cell r="Y4691">
            <v>44671</v>
          </cell>
          <cell r="AC4691">
            <v>44716</v>
          </cell>
        </row>
        <row r="4692">
          <cell r="I4692" t="str">
            <v>EDI</v>
          </cell>
          <cell r="L4692">
            <v>933</v>
          </cell>
          <cell r="N4692" t="str">
            <v>Production</v>
          </cell>
          <cell r="O4692" t="str">
            <v>No</v>
          </cell>
          <cell r="Q4692" t="str">
            <v>Cancelled</v>
          </cell>
          <cell r="R4692">
            <v>44658.827627314808</v>
          </cell>
          <cell r="S4692" t="str">
            <v>Joseph Atef Old Account</v>
          </cell>
          <cell r="T4692">
            <v>44682</v>
          </cell>
          <cell r="U4692" t="str">
            <v>Miranda Naeem</v>
          </cell>
          <cell r="V4692">
            <v>44781</v>
          </cell>
          <cell r="W4692">
            <v>44824</v>
          </cell>
          <cell r="Y4692">
            <v>44680</v>
          </cell>
          <cell r="AC4692">
            <v>44823</v>
          </cell>
        </row>
        <row r="4693">
          <cell r="I4693" t="str">
            <v>EDI</v>
          </cell>
          <cell r="L4693">
            <v>893</v>
          </cell>
          <cell r="N4693" t="str">
            <v>Production</v>
          </cell>
          <cell r="O4693" t="str">
            <v>No</v>
          </cell>
          <cell r="Q4693" t="str">
            <v>Cancelled</v>
          </cell>
          <cell r="R4693">
            <v>44658.827615740738</v>
          </cell>
          <cell r="S4693" t="str">
            <v>Joseph Atef Old Account</v>
          </cell>
          <cell r="T4693">
            <v>44674</v>
          </cell>
          <cell r="U4693" t="str">
            <v>Miranda Naeem</v>
          </cell>
          <cell r="V4693">
            <v>44720</v>
          </cell>
          <cell r="W4693">
            <v>44834</v>
          </cell>
          <cell r="Y4693">
            <v>44672</v>
          </cell>
          <cell r="AC4693">
            <v>44833</v>
          </cell>
        </row>
        <row r="4694">
          <cell r="I4694" t="str">
            <v>EDI</v>
          </cell>
          <cell r="N4694" t="str">
            <v>Requirements Gathering</v>
          </cell>
          <cell r="O4694" t="str">
            <v>No</v>
          </cell>
          <cell r="Q4694" t="str">
            <v>Cancelled</v>
          </cell>
          <cell r="R4694">
            <v>44658.827407407407</v>
          </cell>
          <cell r="S4694" t="str">
            <v>Lourina Edmon Old Account</v>
          </cell>
          <cell r="T4694">
            <v>44888</v>
          </cell>
          <cell r="U4694" t="str">
            <v>Miranda Naeem</v>
          </cell>
        </row>
        <row r="4695">
          <cell r="I4695" t="str">
            <v>EDI</v>
          </cell>
          <cell r="N4695" t="str">
            <v>Requirements Gathering</v>
          </cell>
          <cell r="O4695" t="str">
            <v>No</v>
          </cell>
          <cell r="Q4695" t="str">
            <v>Cancelled</v>
          </cell>
          <cell r="R4695">
            <v>44658.82739583333</v>
          </cell>
          <cell r="S4695" t="str">
            <v>Lourina Edmon Old Account</v>
          </cell>
          <cell r="T4695">
            <v>44888</v>
          </cell>
          <cell r="U4695" t="str">
            <v>Miranda Naeem</v>
          </cell>
        </row>
        <row r="4696">
          <cell r="I4696" t="str">
            <v>EDI</v>
          </cell>
          <cell r="N4696" t="str">
            <v>Requirements Gathering</v>
          </cell>
          <cell r="O4696" t="str">
            <v>No</v>
          </cell>
          <cell r="Q4696" t="str">
            <v>Cancelled</v>
          </cell>
          <cell r="R4696">
            <v>44658.82739583333</v>
          </cell>
          <cell r="S4696" t="str">
            <v>Lourina Edmon Old Account</v>
          </cell>
          <cell r="T4696">
            <v>44888</v>
          </cell>
          <cell r="U4696" t="str">
            <v>Miranda Naeem</v>
          </cell>
        </row>
        <row r="4697">
          <cell r="I4697" t="str">
            <v>EDI</v>
          </cell>
          <cell r="N4697" t="str">
            <v>Requirements Gathering</v>
          </cell>
          <cell r="O4697" t="str">
            <v>No</v>
          </cell>
          <cell r="Q4697" t="str">
            <v>Cancelled</v>
          </cell>
          <cell r="R4697">
            <v>44658.82739583333</v>
          </cell>
          <cell r="S4697" t="str">
            <v>Lourina Edmon Old Account</v>
          </cell>
          <cell r="T4697">
            <v>44661</v>
          </cell>
          <cell r="U4697" t="str">
            <v>Miranda Naeem</v>
          </cell>
        </row>
        <row r="4698">
          <cell r="I4698" t="str">
            <v>EDI</v>
          </cell>
          <cell r="L4698">
            <v>964</v>
          </cell>
          <cell r="N4698" t="str">
            <v>Production</v>
          </cell>
          <cell r="O4698" t="str">
            <v>No</v>
          </cell>
          <cell r="Q4698" t="str">
            <v>Cancelled</v>
          </cell>
          <cell r="R4698">
            <v>44658.742199074077</v>
          </cell>
          <cell r="S4698" t="str">
            <v>Mohamed Samy</v>
          </cell>
          <cell r="T4698">
            <v>44691</v>
          </cell>
          <cell r="U4698" t="str">
            <v>Miranda Naeem</v>
          </cell>
          <cell r="W4698">
            <v>44747</v>
          </cell>
          <cell r="Y4698">
            <v>44690</v>
          </cell>
          <cell r="AC4698">
            <v>44742</v>
          </cell>
        </row>
        <row r="4699">
          <cell r="I4699" t="str">
            <v>EDI</v>
          </cell>
          <cell r="L4699">
            <v>917</v>
          </cell>
          <cell r="N4699" t="str">
            <v>Production</v>
          </cell>
          <cell r="O4699" t="str">
            <v>No</v>
          </cell>
          <cell r="Q4699" t="str">
            <v>Cancelled</v>
          </cell>
          <cell r="R4699">
            <v>44658.733946759261</v>
          </cell>
          <cell r="S4699" t="str">
            <v>Omar Elmahalwy Old Account</v>
          </cell>
          <cell r="T4699">
            <v>44691</v>
          </cell>
          <cell r="U4699" t="str">
            <v>Miranda Naeem</v>
          </cell>
          <cell r="V4699">
            <v>44698</v>
          </cell>
          <cell r="W4699">
            <v>44740</v>
          </cell>
          <cell r="Y4699">
            <v>44691</v>
          </cell>
          <cell r="AC4699">
            <v>44733</v>
          </cell>
        </row>
        <row r="4700">
          <cell r="I4700" t="str">
            <v>EDI</v>
          </cell>
          <cell r="L4700">
            <v>787</v>
          </cell>
          <cell r="N4700" t="str">
            <v>Production</v>
          </cell>
          <cell r="O4700" t="str">
            <v>eBenefits Network</v>
          </cell>
          <cell r="P4700" t="str">
            <v>Production</v>
          </cell>
          <cell r="Q4700" t="str">
            <v>Cancelled</v>
          </cell>
          <cell r="R4700">
            <v>44657.514328703714</v>
          </cell>
          <cell r="S4700" t="str">
            <v>Fady Maged Old Account</v>
          </cell>
          <cell r="T4700">
            <v>44657</v>
          </cell>
          <cell r="U4700" t="str">
            <v>Billy Smith</v>
          </cell>
          <cell r="V4700">
            <v>44667</v>
          </cell>
          <cell r="W4700">
            <v>25569</v>
          </cell>
          <cell r="AC4700">
            <v>44703</v>
          </cell>
        </row>
        <row r="4701">
          <cell r="I4701" t="str">
            <v>EDI</v>
          </cell>
          <cell r="L4701">
            <v>740</v>
          </cell>
          <cell r="N4701" t="str">
            <v>Production</v>
          </cell>
          <cell r="O4701" t="str">
            <v>eBenefits Network</v>
          </cell>
          <cell r="P4701" t="str">
            <v>Production</v>
          </cell>
          <cell r="Q4701" t="str">
            <v>Cancelled</v>
          </cell>
          <cell r="R4701">
            <v>44657.465243055558</v>
          </cell>
          <cell r="S4701" t="str">
            <v>Ahmed Gamal</v>
          </cell>
          <cell r="T4701">
            <v>44657</v>
          </cell>
          <cell r="V4701">
            <v>44888</v>
          </cell>
          <cell r="W4701">
            <v>44724</v>
          </cell>
          <cell r="AC4701">
            <v>44719</v>
          </cell>
        </row>
        <row r="4702">
          <cell r="I4702" t="str">
            <v>EDI</v>
          </cell>
          <cell r="L4702">
            <v>741</v>
          </cell>
          <cell r="N4702" t="str">
            <v>Production</v>
          </cell>
          <cell r="O4702" t="str">
            <v>eBenefits Network</v>
          </cell>
          <cell r="P4702" t="str">
            <v>Production</v>
          </cell>
          <cell r="Q4702" t="str">
            <v>Cancelled</v>
          </cell>
          <cell r="R4702">
            <v>44657.463263888887</v>
          </cell>
          <cell r="S4702" t="str">
            <v>Ahmed Gamal</v>
          </cell>
          <cell r="T4702">
            <v>44657</v>
          </cell>
          <cell r="V4702">
            <v>44888</v>
          </cell>
          <cell r="W4702">
            <v>44724</v>
          </cell>
          <cell r="AC4702">
            <v>44719</v>
          </cell>
        </row>
        <row r="4703">
          <cell r="I4703" t="str">
            <v>EDI</v>
          </cell>
          <cell r="L4703">
            <v>1264</v>
          </cell>
          <cell r="N4703" t="str">
            <v>Mapping</v>
          </cell>
          <cell r="O4703" t="str">
            <v>eBenefits Network</v>
          </cell>
          <cell r="P4703" t="str">
            <v>Phase 2</v>
          </cell>
          <cell r="Q4703" t="str">
            <v>Cancelled</v>
          </cell>
          <cell r="R4703">
            <v>44655.476793981477</v>
          </cell>
          <cell r="S4703" t="str">
            <v>Amira Elshora Old Account</v>
          </cell>
          <cell r="T4703">
            <v>44655</v>
          </cell>
          <cell r="U4703" t="str">
            <v>Billy Smith</v>
          </cell>
        </row>
        <row r="4704">
          <cell r="I4704" t="str">
            <v>EDI</v>
          </cell>
          <cell r="N4704" t="str">
            <v>Pending Start</v>
          </cell>
          <cell r="O4704" t="str">
            <v>No</v>
          </cell>
          <cell r="Q4704" t="str">
            <v>Cancelled</v>
          </cell>
          <cell r="R4704">
            <v>44654.462002314824</v>
          </cell>
          <cell r="S4704" t="str">
            <v>Naila  Adly</v>
          </cell>
          <cell r="T4704">
            <v>44654</v>
          </cell>
          <cell r="U4704" t="str">
            <v>Miranda Naeem</v>
          </cell>
        </row>
        <row r="4705">
          <cell r="I4705" t="str">
            <v>EDI</v>
          </cell>
          <cell r="L4705">
            <v>795</v>
          </cell>
          <cell r="N4705" t="str">
            <v>Production</v>
          </cell>
          <cell r="O4705" t="str">
            <v>No</v>
          </cell>
          <cell r="Q4705" t="str">
            <v>Cancelled</v>
          </cell>
          <cell r="R4705">
            <v>44652.81958333333</v>
          </cell>
          <cell r="S4705" t="str">
            <v>Omar Elmahalwy Old Account</v>
          </cell>
          <cell r="T4705">
            <v>44667</v>
          </cell>
          <cell r="U4705" t="str">
            <v>Denise Stubenvoll</v>
          </cell>
          <cell r="V4705">
            <v>44672</v>
          </cell>
          <cell r="W4705">
            <v>44690</v>
          </cell>
          <cell r="Y4705">
            <v>44666</v>
          </cell>
          <cell r="AC4705">
            <v>44685</v>
          </cell>
        </row>
        <row r="4706">
          <cell r="I4706" t="str">
            <v>EDI</v>
          </cell>
          <cell r="N4706" t="str">
            <v>Requirements Gathering</v>
          </cell>
          <cell r="O4706" t="str">
            <v>No</v>
          </cell>
          <cell r="Q4706" t="str">
            <v>Cancelled</v>
          </cell>
          <cell r="R4706">
            <v>44652.81958333333</v>
          </cell>
          <cell r="S4706" t="str">
            <v>Sandra Adel</v>
          </cell>
          <cell r="T4706">
            <v>44654</v>
          </cell>
          <cell r="U4706" t="str">
            <v>Denise Stubenvoll</v>
          </cell>
        </row>
        <row r="4707">
          <cell r="I4707" t="str">
            <v>EDI</v>
          </cell>
          <cell r="L4707">
            <v>1024</v>
          </cell>
          <cell r="N4707" t="str">
            <v>Production</v>
          </cell>
          <cell r="O4707" t="str">
            <v>No</v>
          </cell>
          <cell r="Q4707" t="str">
            <v>Live</v>
          </cell>
          <cell r="R4707">
            <v>44652.819571759261</v>
          </cell>
          <cell r="S4707" t="str">
            <v>Aya Fathy</v>
          </cell>
          <cell r="T4707">
            <v>44707</v>
          </cell>
          <cell r="U4707" t="str">
            <v>Denise Stubenvoll</v>
          </cell>
          <cell r="V4707">
            <v>25569</v>
          </cell>
          <cell r="W4707">
            <v>44888</v>
          </cell>
          <cell r="Y4707">
            <v>44705</v>
          </cell>
          <cell r="AC4707">
            <v>44886</v>
          </cell>
        </row>
        <row r="4708">
          <cell r="I4708" t="str">
            <v>EDI</v>
          </cell>
          <cell r="L4708">
            <v>842</v>
          </cell>
          <cell r="N4708" t="str">
            <v>Production</v>
          </cell>
          <cell r="O4708" t="str">
            <v>No</v>
          </cell>
          <cell r="Q4708" t="str">
            <v>Live</v>
          </cell>
          <cell r="R4708">
            <v>44652.679293981477</v>
          </cell>
          <cell r="S4708" t="str">
            <v>Fady Bassel</v>
          </cell>
          <cell r="T4708">
            <v>44671</v>
          </cell>
          <cell r="U4708" t="str">
            <v>Miranda Naeem</v>
          </cell>
          <cell r="V4708">
            <v>44690</v>
          </cell>
          <cell r="W4708">
            <v>44706</v>
          </cell>
          <cell r="Y4708">
            <v>44670</v>
          </cell>
          <cell r="AC4708">
            <v>44699</v>
          </cell>
        </row>
        <row r="4709">
          <cell r="I4709" t="str">
            <v>EDI</v>
          </cell>
          <cell r="L4709">
            <v>747</v>
          </cell>
          <cell r="N4709" t="str">
            <v>Production</v>
          </cell>
          <cell r="O4709" t="str">
            <v>No</v>
          </cell>
          <cell r="Q4709" t="str">
            <v>Live</v>
          </cell>
          <cell r="R4709">
            <v>44652.605636574073</v>
          </cell>
          <cell r="S4709" t="str">
            <v>Omar Elmahalwy Old Account</v>
          </cell>
          <cell r="T4709">
            <v>44658</v>
          </cell>
          <cell r="U4709" t="str">
            <v>Miranda Naeem</v>
          </cell>
          <cell r="V4709">
            <v>44671</v>
          </cell>
          <cell r="W4709">
            <v>25569</v>
          </cell>
          <cell r="Y4709">
            <v>44657</v>
          </cell>
          <cell r="AC4709">
            <v>44689</v>
          </cell>
        </row>
        <row r="4710">
          <cell r="I4710" t="str">
            <v>EDI</v>
          </cell>
          <cell r="L4710">
            <v>837</v>
          </cell>
          <cell r="N4710" t="str">
            <v>Production</v>
          </cell>
          <cell r="O4710" t="str">
            <v>No</v>
          </cell>
          <cell r="Q4710" t="str">
            <v>Live</v>
          </cell>
          <cell r="R4710">
            <v>44652.605624999997</v>
          </cell>
          <cell r="S4710" t="str">
            <v>Joseph Atef Old Account</v>
          </cell>
          <cell r="T4710">
            <v>44671</v>
          </cell>
          <cell r="U4710" t="str">
            <v>Miranda Naeem</v>
          </cell>
          <cell r="V4710">
            <v>44705</v>
          </cell>
          <cell r="W4710">
            <v>44726</v>
          </cell>
          <cell r="Y4710">
            <v>44670</v>
          </cell>
          <cell r="AC4710">
            <v>44724</v>
          </cell>
        </row>
        <row r="4711">
          <cell r="I4711" t="str">
            <v>EDI</v>
          </cell>
          <cell r="L4711">
            <v>736</v>
          </cell>
          <cell r="N4711" t="str">
            <v>Production</v>
          </cell>
          <cell r="O4711" t="str">
            <v>No</v>
          </cell>
          <cell r="Q4711" t="str">
            <v>Live</v>
          </cell>
          <cell r="R4711">
            <v>44652.605624999997</v>
          </cell>
          <cell r="S4711" t="str">
            <v>Mina George Old Account</v>
          </cell>
          <cell r="T4711">
            <v>44657</v>
          </cell>
          <cell r="U4711" t="str">
            <v>Miranda Naeem</v>
          </cell>
          <cell r="V4711">
            <v>44662</v>
          </cell>
          <cell r="W4711">
            <v>44698</v>
          </cell>
          <cell r="Y4711">
            <v>44656</v>
          </cell>
          <cell r="AC4711">
            <v>44693</v>
          </cell>
        </row>
        <row r="4712">
          <cell r="I4712" t="str">
            <v>EDI</v>
          </cell>
          <cell r="L4712">
            <v>731</v>
          </cell>
          <cell r="N4712" t="str">
            <v>Production</v>
          </cell>
          <cell r="O4712" t="str">
            <v>No</v>
          </cell>
          <cell r="Q4712" t="str">
            <v>Cancelled</v>
          </cell>
          <cell r="R4712">
            <v>44652.605624999997</v>
          </cell>
          <cell r="S4712" t="str">
            <v>Mina Adel Old Account</v>
          </cell>
          <cell r="T4712">
            <v>44656</v>
          </cell>
          <cell r="U4712" t="str">
            <v>Miranda Naeem</v>
          </cell>
          <cell r="V4712">
            <v>44691</v>
          </cell>
          <cell r="W4712">
            <v>44726</v>
          </cell>
          <cell r="Y4712">
            <v>44655</v>
          </cell>
          <cell r="AC4712">
            <v>44717</v>
          </cell>
        </row>
        <row r="4713">
          <cell r="I4713" t="str">
            <v>EDI</v>
          </cell>
          <cell r="L4713">
            <v>894</v>
          </cell>
          <cell r="N4713" t="str">
            <v>Production</v>
          </cell>
          <cell r="O4713" t="str">
            <v>No</v>
          </cell>
          <cell r="Q4713" t="str">
            <v>Cancelled</v>
          </cell>
          <cell r="R4713">
            <v>44652.605613425927</v>
          </cell>
          <cell r="S4713" t="str">
            <v>Haytham Mohamed</v>
          </cell>
          <cell r="T4713">
            <v>44679</v>
          </cell>
          <cell r="U4713" t="str">
            <v>Miranda Naeem</v>
          </cell>
          <cell r="V4713">
            <v>44725</v>
          </cell>
          <cell r="W4713">
            <v>44740</v>
          </cell>
          <cell r="Y4713">
            <v>44678</v>
          </cell>
          <cell r="AC4713">
            <v>44734</v>
          </cell>
        </row>
        <row r="4714">
          <cell r="I4714" t="str">
            <v>EDI</v>
          </cell>
          <cell r="L4714">
            <v>852</v>
          </cell>
          <cell r="N4714" t="str">
            <v>Production</v>
          </cell>
          <cell r="O4714" t="str">
            <v>No</v>
          </cell>
          <cell r="Q4714" t="str">
            <v>Cancelled</v>
          </cell>
          <cell r="R4714">
            <v>44652.591805555552</v>
          </cell>
          <cell r="S4714" t="str">
            <v>Mina Adel Old Account</v>
          </cell>
          <cell r="T4714">
            <v>44679</v>
          </cell>
          <cell r="U4714" t="str">
            <v>Billy Smith</v>
          </cell>
          <cell r="W4714">
            <v>44734</v>
          </cell>
          <cell r="Y4714">
            <v>44677</v>
          </cell>
          <cell r="AC4714">
            <v>44733</v>
          </cell>
        </row>
        <row r="4715">
          <cell r="I4715" t="str">
            <v>EDI</v>
          </cell>
          <cell r="L4715">
            <v>782</v>
          </cell>
          <cell r="N4715" t="str">
            <v>Production</v>
          </cell>
          <cell r="O4715" t="str">
            <v>No</v>
          </cell>
          <cell r="Q4715" t="str">
            <v>Cancelled</v>
          </cell>
          <cell r="R4715">
            <v>44652.591805555552</v>
          </cell>
          <cell r="S4715" t="str">
            <v>Haytham Mohamed</v>
          </cell>
          <cell r="T4715">
            <v>44662</v>
          </cell>
          <cell r="U4715" t="str">
            <v>Billy Smith</v>
          </cell>
          <cell r="V4715">
            <v>44670</v>
          </cell>
          <cell r="W4715">
            <v>44804</v>
          </cell>
          <cell r="Y4715">
            <v>44661</v>
          </cell>
          <cell r="AC4715">
            <v>44802</v>
          </cell>
        </row>
        <row r="4716">
          <cell r="I4716" t="str">
            <v>EDI</v>
          </cell>
          <cell r="L4716">
            <v>843</v>
          </cell>
          <cell r="N4716" t="str">
            <v>Production</v>
          </cell>
          <cell r="O4716" t="str">
            <v>No</v>
          </cell>
          <cell r="Q4716" t="str">
            <v>Cancelled</v>
          </cell>
          <cell r="R4716">
            <v>44652.591805555552</v>
          </cell>
          <cell r="S4716" t="str">
            <v>Mina George Old Account</v>
          </cell>
          <cell r="T4716">
            <v>44679</v>
          </cell>
          <cell r="U4716" t="str">
            <v>Billy Smith</v>
          </cell>
          <cell r="V4716">
            <v>44686</v>
          </cell>
          <cell r="W4716">
            <v>44712</v>
          </cell>
          <cell r="Y4716">
            <v>44677</v>
          </cell>
          <cell r="AC4716">
            <v>44700</v>
          </cell>
        </row>
        <row r="4717">
          <cell r="I4717" t="str">
            <v>EDI</v>
          </cell>
          <cell r="L4717">
            <v>1423</v>
          </cell>
          <cell r="N4717" t="str">
            <v>Testing</v>
          </cell>
          <cell r="O4717" t="str">
            <v>No</v>
          </cell>
          <cell r="Q4717" t="str">
            <v>Cancelled</v>
          </cell>
          <cell r="R4717">
            <v>44651.886736111112</v>
          </cell>
          <cell r="S4717" t="str">
            <v>Omnia Abdelaziz Old Account</v>
          </cell>
          <cell r="T4717">
            <v>44797</v>
          </cell>
          <cell r="U4717" t="str">
            <v>Denise Stubenvoll</v>
          </cell>
          <cell r="Y4717">
            <v>44797</v>
          </cell>
        </row>
        <row r="4718">
          <cell r="I4718" t="str">
            <v>EDI</v>
          </cell>
          <cell r="N4718" t="str">
            <v>Resource Assignment</v>
          </cell>
          <cell r="O4718" t="str">
            <v>No</v>
          </cell>
          <cell r="Q4718" t="str">
            <v>Cancelled</v>
          </cell>
          <cell r="R4718">
            <v>44651.886736111112</v>
          </cell>
          <cell r="S4718" t="str">
            <v>Dina Medhat</v>
          </cell>
          <cell r="T4718">
            <v>44791</v>
          </cell>
          <cell r="U4718" t="str">
            <v>Denise Stubenvoll</v>
          </cell>
          <cell r="Y4718">
            <v>44791</v>
          </cell>
        </row>
        <row r="4719">
          <cell r="I4719" t="str">
            <v>EDI</v>
          </cell>
          <cell r="L4719">
            <v>1634</v>
          </cell>
          <cell r="N4719" t="str">
            <v>Production</v>
          </cell>
          <cell r="O4719" t="str">
            <v>No</v>
          </cell>
          <cell r="Q4719" t="str">
            <v>Live</v>
          </cell>
          <cell r="R4719">
            <v>44651.886724537027</v>
          </cell>
          <cell r="S4719" t="str">
            <v>Ahmed Sami</v>
          </cell>
          <cell r="T4719">
            <v>44895</v>
          </cell>
          <cell r="U4719" t="str">
            <v>Denise Stubenvoll</v>
          </cell>
          <cell r="V4719">
            <v>44902</v>
          </cell>
          <cell r="W4719">
            <v>44972</v>
          </cell>
          <cell r="Y4719">
            <v>44844</v>
          </cell>
          <cell r="AC4719">
            <v>44959</v>
          </cell>
        </row>
        <row r="4720">
          <cell r="I4720" t="str">
            <v>EDI</v>
          </cell>
          <cell r="L4720">
            <v>892</v>
          </cell>
          <cell r="N4720" t="str">
            <v>Production</v>
          </cell>
          <cell r="O4720" t="str">
            <v>No</v>
          </cell>
          <cell r="Q4720" t="str">
            <v>Cancelled</v>
          </cell>
          <cell r="R4720">
            <v>44651.846539351849</v>
          </cell>
          <cell r="S4720" t="str">
            <v>Mina George</v>
          </cell>
          <cell r="T4720">
            <v>44889</v>
          </cell>
          <cell r="U4720" t="str">
            <v>Denise Stubenvoll</v>
          </cell>
          <cell r="V4720">
            <v>44711</v>
          </cell>
          <cell r="W4720">
            <v>44965</v>
          </cell>
          <cell r="Y4720">
            <v>44685</v>
          </cell>
          <cell r="AC4720">
            <v>44964</v>
          </cell>
        </row>
        <row r="4721">
          <cell r="I4721" t="str">
            <v>EDI</v>
          </cell>
          <cell r="L4721">
            <v>1140</v>
          </cell>
          <cell r="N4721" t="str">
            <v>Production</v>
          </cell>
          <cell r="O4721" t="str">
            <v>No</v>
          </cell>
          <cell r="Q4721" t="str">
            <v>Cancelled</v>
          </cell>
          <cell r="R4721">
            <v>44651.826006944437</v>
          </cell>
          <cell r="S4721" t="str">
            <v>Andrew Ramy</v>
          </cell>
          <cell r="T4721">
            <v>44732</v>
          </cell>
          <cell r="U4721" t="str">
            <v>Denise Stubenvoll</v>
          </cell>
          <cell r="V4721">
            <v>44777</v>
          </cell>
          <cell r="W4721">
            <v>44818</v>
          </cell>
          <cell r="Y4721">
            <v>44732</v>
          </cell>
          <cell r="AC4721">
            <v>44817</v>
          </cell>
        </row>
        <row r="4722">
          <cell r="I4722" t="str">
            <v>EDI</v>
          </cell>
          <cell r="L4722">
            <v>796</v>
          </cell>
          <cell r="N4722" t="str">
            <v>Production</v>
          </cell>
          <cell r="O4722" t="str">
            <v>Everything Benefits</v>
          </cell>
          <cell r="P4722" t="str">
            <v>Production</v>
          </cell>
          <cell r="Q4722" t="str">
            <v>Live</v>
          </cell>
          <cell r="R4722">
            <v>44651.675706018519</v>
          </cell>
          <cell r="S4722" t="str">
            <v>Mohamed Abdelhamed</v>
          </cell>
          <cell r="T4722">
            <v>44666</v>
          </cell>
          <cell r="U4722" t="str">
            <v>Melodie Coles</v>
          </cell>
          <cell r="V4722">
            <v>44683</v>
          </cell>
          <cell r="W4722">
            <v>44767</v>
          </cell>
          <cell r="Y4722">
            <v>44664</v>
          </cell>
          <cell r="AC4722">
            <v>44763</v>
          </cell>
        </row>
        <row r="4723">
          <cell r="I4723" t="str">
            <v>EDI</v>
          </cell>
          <cell r="L4723">
            <v>799</v>
          </cell>
          <cell r="N4723" t="str">
            <v>Production</v>
          </cell>
          <cell r="O4723" t="str">
            <v>Everything Benefits</v>
          </cell>
          <cell r="P4723" t="str">
            <v>Production</v>
          </cell>
          <cell r="Q4723" t="str">
            <v>Live</v>
          </cell>
          <cell r="R4723">
            <v>44651.675706018519</v>
          </cell>
          <cell r="S4723" t="str">
            <v>Mohamed Abdelhamed</v>
          </cell>
          <cell r="T4723">
            <v>44666</v>
          </cell>
          <cell r="U4723" t="str">
            <v>Melodie Coles</v>
          </cell>
          <cell r="V4723">
            <v>44677</v>
          </cell>
          <cell r="W4723">
            <v>44788</v>
          </cell>
          <cell r="Y4723">
            <v>44665</v>
          </cell>
          <cell r="AC4723">
            <v>44787</v>
          </cell>
        </row>
        <row r="4724">
          <cell r="I4724" t="str">
            <v>EDI</v>
          </cell>
          <cell r="L4724">
            <v>801</v>
          </cell>
          <cell r="N4724" t="str">
            <v>Production</v>
          </cell>
          <cell r="O4724" t="str">
            <v>Everything Benefits</v>
          </cell>
          <cell r="P4724" t="str">
            <v>Production</v>
          </cell>
          <cell r="Q4724" t="str">
            <v>Cancelled</v>
          </cell>
          <cell r="R4724">
            <v>44651.675694444442</v>
          </cell>
          <cell r="S4724" t="str">
            <v>Mohamed Abdelhamed</v>
          </cell>
          <cell r="T4724">
            <v>44666</v>
          </cell>
          <cell r="U4724" t="str">
            <v>Melodie Coles</v>
          </cell>
          <cell r="V4724">
            <v>44750</v>
          </cell>
          <cell r="W4724">
            <v>44960</v>
          </cell>
          <cell r="Y4724">
            <v>44665</v>
          </cell>
          <cell r="AC4724">
            <v>44957</v>
          </cell>
        </row>
        <row r="4725">
          <cell r="I4725" t="str">
            <v>EDI</v>
          </cell>
          <cell r="L4725">
            <v>1032</v>
          </cell>
          <cell r="N4725" t="str">
            <v>Production</v>
          </cell>
          <cell r="O4725" t="str">
            <v>Everything Benefits</v>
          </cell>
          <cell r="P4725" t="str">
            <v>Production</v>
          </cell>
          <cell r="Q4725" t="str">
            <v>Live</v>
          </cell>
          <cell r="R4725">
            <v>44651.675694444442</v>
          </cell>
          <cell r="S4725" t="str">
            <v>Tarek Medhat</v>
          </cell>
          <cell r="T4725">
            <v>44711</v>
          </cell>
          <cell r="U4725" t="str">
            <v>Melodie Coles</v>
          </cell>
          <cell r="V4725">
            <v>44764</v>
          </cell>
          <cell r="W4725">
            <v>44855</v>
          </cell>
          <cell r="Y4725">
            <v>44680</v>
          </cell>
          <cell r="AC4725">
            <v>44850</v>
          </cell>
        </row>
        <row r="4726">
          <cell r="I4726" t="str">
            <v>EDI</v>
          </cell>
          <cell r="L4726">
            <v>862</v>
          </cell>
          <cell r="N4726" t="str">
            <v>Testing</v>
          </cell>
          <cell r="O4726" t="str">
            <v>eBenefits Network</v>
          </cell>
          <cell r="P4726" t="str">
            <v>Migration Testing</v>
          </cell>
          <cell r="Q4726" t="str">
            <v>Cancelled</v>
          </cell>
          <cell r="R4726">
            <v>44650.888819444437</v>
          </cell>
          <cell r="S4726" t="str">
            <v>Amira Elshora Old Account</v>
          </cell>
          <cell r="T4726">
            <v>44677</v>
          </cell>
          <cell r="U4726" t="str">
            <v>Melodie Coles</v>
          </cell>
          <cell r="V4726">
            <v>44685</v>
          </cell>
          <cell r="Y4726">
            <v>44654</v>
          </cell>
        </row>
        <row r="4727">
          <cell r="I4727" t="str">
            <v>EDI</v>
          </cell>
          <cell r="L4727">
            <v>791</v>
          </cell>
          <cell r="N4727" t="str">
            <v>Production</v>
          </cell>
          <cell r="O4727" t="str">
            <v>eBenefits Network</v>
          </cell>
          <cell r="P4727" t="str">
            <v>Production</v>
          </cell>
          <cell r="Q4727" t="str">
            <v>Cancelled</v>
          </cell>
          <cell r="R4727">
            <v>44650.877662037034</v>
          </cell>
          <cell r="S4727" t="str">
            <v>Fady Maged Old Account</v>
          </cell>
          <cell r="T4727">
            <v>44666</v>
          </cell>
          <cell r="U4727" t="str">
            <v>Melodie Coles</v>
          </cell>
          <cell r="V4727">
            <v>44667</v>
          </cell>
          <cell r="W4727">
            <v>44691</v>
          </cell>
          <cell r="Y4727">
            <v>44657</v>
          </cell>
          <cell r="AC4727">
            <v>44690</v>
          </cell>
        </row>
        <row r="4728">
          <cell r="I4728" t="str">
            <v>EDI</v>
          </cell>
          <cell r="L4728">
            <v>790</v>
          </cell>
          <cell r="N4728" t="str">
            <v>Production</v>
          </cell>
          <cell r="O4728" t="str">
            <v>eBenefits Network</v>
          </cell>
          <cell r="P4728" t="str">
            <v>Production</v>
          </cell>
          <cell r="Q4728" t="str">
            <v>Cancelled</v>
          </cell>
          <cell r="R4728">
            <v>44650.877662037034</v>
          </cell>
          <cell r="S4728" t="str">
            <v>Fady Maged Old Account</v>
          </cell>
          <cell r="T4728">
            <v>44666</v>
          </cell>
          <cell r="U4728" t="str">
            <v>Melodie Coles</v>
          </cell>
          <cell r="V4728">
            <v>44667</v>
          </cell>
          <cell r="W4728">
            <v>44698</v>
          </cell>
          <cell r="Y4728">
            <v>44657</v>
          </cell>
          <cell r="AC4728">
            <v>44697</v>
          </cell>
        </row>
        <row r="4729">
          <cell r="I4729" t="str">
            <v>EDI</v>
          </cell>
          <cell r="L4729">
            <v>797</v>
          </cell>
          <cell r="N4729" t="str">
            <v>Production</v>
          </cell>
          <cell r="O4729" t="str">
            <v>eBenefits Network</v>
          </cell>
          <cell r="P4729" t="str">
            <v>Production</v>
          </cell>
          <cell r="Q4729" t="str">
            <v>Cancelled</v>
          </cell>
          <cell r="R4729">
            <v>44650.873171296298</v>
          </cell>
          <cell r="S4729" t="str">
            <v>Amira Elshora Old Account</v>
          </cell>
          <cell r="T4729">
            <v>44666</v>
          </cell>
          <cell r="U4729" t="str">
            <v>Melodie Coles</v>
          </cell>
          <cell r="V4729">
            <v>25569</v>
          </cell>
          <cell r="W4729">
            <v>44811</v>
          </cell>
          <cell r="Y4729">
            <v>44654</v>
          </cell>
          <cell r="AC4729">
            <v>44811</v>
          </cell>
        </row>
        <row r="4730">
          <cell r="I4730" t="str">
            <v>EDI</v>
          </cell>
          <cell r="L4730">
            <v>882</v>
          </cell>
          <cell r="N4730" t="str">
            <v>Production</v>
          </cell>
          <cell r="O4730" t="str">
            <v>eBenefits Network</v>
          </cell>
          <cell r="P4730" t="str">
            <v>Production</v>
          </cell>
          <cell r="Q4730" t="str">
            <v>Cancelled</v>
          </cell>
          <cell r="R4730">
            <v>44650.870057870372</v>
          </cell>
          <cell r="S4730" t="str">
            <v>Fady Maged Old Account</v>
          </cell>
          <cell r="T4730">
            <v>44687</v>
          </cell>
          <cell r="U4730" t="str">
            <v>Billy Smith</v>
          </cell>
          <cell r="V4730">
            <v>44695</v>
          </cell>
          <cell r="W4730">
            <v>44745</v>
          </cell>
          <cell r="Y4730">
            <v>44654</v>
          </cell>
          <cell r="AC4730">
            <v>44745</v>
          </cell>
        </row>
        <row r="4731">
          <cell r="I4731" t="str">
            <v>EDI</v>
          </cell>
          <cell r="L4731">
            <v>742</v>
          </cell>
          <cell r="N4731" t="str">
            <v>Production</v>
          </cell>
          <cell r="O4731" t="str">
            <v>No</v>
          </cell>
          <cell r="Q4731" t="str">
            <v>Cancelled</v>
          </cell>
          <cell r="R4731">
            <v>44650.851307870369</v>
          </cell>
          <cell r="S4731" t="str">
            <v>Mina Adel Old Account</v>
          </cell>
          <cell r="T4731">
            <v>44657</v>
          </cell>
          <cell r="U4731" t="str">
            <v>Denise Stubenvoll</v>
          </cell>
          <cell r="V4731">
            <v>44671</v>
          </cell>
          <cell r="W4731">
            <v>44677</v>
          </cell>
          <cell r="Y4731">
            <v>44656</v>
          </cell>
          <cell r="AC4731">
            <v>44676</v>
          </cell>
        </row>
        <row r="4732">
          <cell r="I4732" t="str">
            <v>EDI</v>
          </cell>
          <cell r="L4732">
            <v>773</v>
          </cell>
          <cell r="N4732" t="str">
            <v>Production</v>
          </cell>
          <cell r="O4732" t="str">
            <v>No</v>
          </cell>
          <cell r="Q4732" t="str">
            <v>Live</v>
          </cell>
          <cell r="R4732">
            <v>44650.60728009259</v>
          </cell>
          <cell r="S4732" t="str">
            <v>Omnia Abdelaziz</v>
          </cell>
          <cell r="T4732">
            <v>44892</v>
          </cell>
          <cell r="U4732" t="str">
            <v>Miranda Naeem</v>
          </cell>
          <cell r="V4732">
            <v>44672</v>
          </cell>
          <cell r="W4732">
            <v>44698</v>
          </cell>
          <cell r="Y4732">
            <v>44658</v>
          </cell>
          <cell r="AC4732">
            <v>44690</v>
          </cell>
        </row>
        <row r="4733">
          <cell r="I4733" t="str">
            <v>EDI</v>
          </cell>
          <cell r="L4733">
            <v>735</v>
          </cell>
          <cell r="N4733" t="str">
            <v>Production</v>
          </cell>
          <cell r="O4733" t="str">
            <v>No</v>
          </cell>
          <cell r="Q4733" t="str">
            <v>Live</v>
          </cell>
          <cell r="R4733">
            <v>44650.60728009259</v>
          </cell>
          <cell r="S4733" t="str">
            <v>Omar Elmahalwy Old Account</v>
          </cell>
          <cell r="T4733">
            <v>44657</v>
          </cell>
          <cell r="U4733" t="str">
            <v>Miranda Naeem</v>
          </cell>
          <cell r="V4733">
            <v>44693</v>
          </cell>
          <cell r="W4733">
            <v>44775</v>
          </cell>
          <cell r="Y4733">
            <v>44656</v>
          </cell>
          <cell r="AC4733">
            <v>44774</v>
          </cell>
        </row>
        <row r="4734">
          <cell r="I4734" t="str">
            <v>EDI</v>
          </cell>
          <cell r="L4734">
            <v>806</v>
          </cell>
          <cell r="N4734" t="str">
            <v>Production</v>
          </cell>
          <cell r="O4734" t="str">
            <v>No</v>
          </cell>
          <cell r="Q4734" t="str">
            <v>Cancelled</v>
          </cell>
          <cell r="R4734">
            <v>44650.60728009259</v>
          </cell>
          <cell r="S4734" t="str">
            <v>Omar Elmahalwy Old Account</v>
          </cell>
          <cell r="T4734">
            <v>44671</v>
          </cell>
          <cell r="U4734" t="str">
            <v>Miranda Naeem</v>
          </cell>
          <cell r="V4734">
            <v>44685</v>
          </cell>
          <cell r="W4734">
            <v>44698</v>
          </cell>
          <cell r="Y4734">
            <v>44670</v>
          </cell>
          <cell r="AC4734">
            <v>44694</v>
          </cell>
        </row>
        <row r="4735">
          <cell r="I4735" t="str">
            <v>EDI</v>
          </cell>
          <cell r="L4735">
            <v>833</v>
          </cell>
          <cell r="N4735" t="str">
            <v>Production</v>
          </cell>
          <cell r="O4735" t="str">
            <v>eBenefits Network</v>
          </cell>
          <cell r="P4735" t="str">
            <v>Production</v>
          </cell>
          <cell r="Q4735" t="str">
            <v>Cancelled</v>
          </cell>
          <cell r="R4735">
            <v>44650.563935185193</v>
          </cell>
          <cell r="S4735" t="str">
            <v>Amira Elshora Old Account</v>
          </cell>
          <cell r="T4735">
            <v>44670</v>
          </cell>
          <cell r="U4735" t="str">
            <v>Billy Smith</v>
          </cell>
          <cell r="V4735">
            <v>44678</v>
          </cell>
          <cell r="W4735">
            <v>44706</v>
          </cell>
          <cell r="Y4735">
            <v>44662</v>
          </cell>
          <cell r="AC4735">
            <v>44703</v>
          </cell>
        </row>
        <row r="4736">
          <cell r="I4736" t="str">
            <v>EDI</v>
          </cell>
          <cell r="L4736">
            <v>793</v>
          </cell>
          <cell r="N4736" t="str">
            <v>Production</v>
          </cell>
          <cell r="O4736" t="str">
            <v>eBenefits Network</v>
          </cell>
          <cell r="P4736" t="str">
            <v>Production</v>
          </cell>
          <cell r="Q4736" t="str">
            <v>Live</v>
          </cell>
          <cell r="R4736">
            <v>44650.560335648152</v>
          </cell>
          <cell r="S4736" t="str">
            <v>Ahmed Gamal</v>
          </cell>
          <cell r="T4736">
            <v>44666</v>
          </cell>
          <cell r="U4736" t="str">
            <v>Billy Smith</v>
          </cell>
          <cell r="W4736">
            <v>44698</v>
          </cell>
          <cell r="Y4736">
            <v>44662</v>
          </cell>
          <cell r="AC4736">
            <v>44697</v>
          </cell>
        </row>
        <row r="4737">
          <cell r="I4737" t="str">
            <v>EDI</v>
          </cell>
          <cell r="L4737">
            <v>859</v>
          </cell>
          <cell r="N4737" t="str">
            <v>Production</v>
          </cell>
          <cell r="O4737" t="str">
            <v>eBenefits Network</v>
          </cell>
          <cell r="P4737" t="str">
            <v>Production</v>
          </cell>
          <cell r="Q4737" t="str">
            <v>Cancelled</v>
          </cell>
          <cell r="R4737">
            <v>44650.55667824074</v>
          </cell>
          <cell r="S4737" t="str">
            <v>Ahmed Gamal</v>
          </cell>
          <cell r="T4737">
            <v>44677</v>
          </cell>
          <cell r="U4737" t="str">
            <v>Billy Smith</v>
          </cell>
          <cell r="W4737">
            <v>44747</v>
          </cell>
          <cell r="Y4737">
            <v>44654</v>
          </cell>
          <cell r="AC4737">
            <v>44746</v>
          </cell>
        </row>
        <row r="4738">
          <cell r="I4738" t="str">
            <v>EDI</v>
          </cell>
          <cell r="L4738">
            <v>849</v>
          </cell>
          <cell r="N4738" t="str">
            <v>Production</v>
          </cell>
          <cell r="O4738" t="str">
            <v>eBenefits Network</v>
          </cell>
          <cell r="P4738" t="str">
            <v>Production</v>
          </cell>
          <cell r="Q4738" t="str">
            <v>Cancelled</v>
          </cell>
          <cell r="R4738">
            <v>44650.556666666656</v>
          </cell>
          <cell r="S4738" t="str">
            <v>Ahmed Gamal</v>
          </cell>
          <cell r="T4738">
            <v>44687</v>
          </cell>
          <cell r="U4738" t="str">
            <v>Billy Smith</v>
          </cell>
          <cell r="W4738">
            <v>44741</v>
          </cell>
          <cell r="Y4738">
            <v>44654</v>
          </cell>
          <cell r="AC4738">
            <v>44719</v>
          </cell>
        </row>
        <row r="4739">
          <cell r="I4739" t="str">
            <v>EDI</v>
          </cell>
          <cell r="L4739">
            <v>945</v>
          </cell>
          <cell r="N4739" t="str">
            <v>Production</v>
          </cell>
          <cell r="O4739" t="str">
            <v>eBenefits Network</v>
          </cell>
          <cell r="P4739" t="str">
            <v>Production</v>
          </cell>
          <cell r="Q4739" t="str">
            <v>Cancelled</v>
          </cell>
          <cell r="R4739">
            <v>44650.556666666656</v>
          </cell>
          <cell r="S4739" t="str">
            <v>Fady Maged Old Account</v>
          </cell>
          <cell r="T4739">
            <v>44691</v>
          </cell>
          <cell r="U4739" t="str">
            <v>Billy Smith</v>
          </cell>
          <cell r="V4739">
            <v>25569</v>
          </cell>
          <cell r="W4739">
            <v>44832</v>
          </cell>
          <cell r="Y4739">
            <v>44654</v>
          </cell>
          <cell r="AC4739">
            <v>44830</v>
          </cell>
        </row>
        <row r="4740">
          <cell r="I4740" t="str">
            <v>EDI</v>
          </cell>
          <cell r="L4740">
            <v>887</v>
          </cell>
          <cell r="N4740" t="str">
            <v>Production</v>
          </cell>
          <cell r="O4740" t="str">
            <v>eBenefits Network</v>
          </cell>
          <cell r="P4740" t="str">
            <v>Production</v>
          </cell>
          <cell r="Q4740" t="str">
            <v>Cancelled</v>
          </cell>
          <cell r="R4740">
            <v>44650.556655092587</v>
          </cell>
          <cell r="S4740" t="str">
            <v>Fady Maged Old Account</v>
          </cell>
          <cell r="T4740">
            <v>44691</v>
          </cell>
          <cell r="U4740" t="str">
            <v>Billy Smith</v>
          </cell>
          <cell r="V4740">
            <v>44693</v>
          </cell>
          <cell r="W4740">
            <v>44719</v>
          </cell>
          <cell r="Y4740">
            <v>44654</v>
          </cell>
          <cell r="AC4740">
            <v>44719</v>
          </cell>
        </row>
        <row r="4741">
          <cell r="I4741" t="str">
            <v>EDI</v>
          </cell>
          <cell r="L4741">
            <v>876</v>
          </cell>
          <cell r="N4741" t="str">
            <v>Production</v>
          </cell>
          <cell r="O4741" t="str">
            <v>eBenefits Network</v>
          </cell>
          <cell r="P4741" t="str">
            <v>Production</v>
          </cell>
          <cell r="Q4741" t="str">
            <v>Cancelled</v>
          </cell>
          <cell r="R4741">
            <v>44650.556655092587</v>
          </cell>
          <cell r="S4741" t="str">
            <v>Fady Maged Old Account</v>
          </cell>
          <cell r="T4741">
            <v>44677</v>
          </cell>
          <cell r="U4741" t="str">
            <v>Billy Smith</v>
          </cell>
          <cell r="V4741">
            <v>44686</v>
          </cell>
          <cell r="W4741">
            <v>44714</v>
          </cell>
          <cell r="Y4741">
            <v>44654</v>
          </cell>
          <cell r="AC4741">
            <v>44705</v>
          </cell>
        </row>
        <row r="4742">
          <cell r="I4742" t="str">
            <v>EDI</v>
          </cell>
          <cell r="L4742">
            <v>827</v>
          </cell>
          <cell r="N4742" t="str">
            <v>Production</v>
          </cell>
          <cell r="O4742" t="str">
            <v>eBenefits Network</v>
          </cell>
          <cell r="P4742" t="str">
            <v>Production</v>
          </cell>
          <cell r="Q4742" t="str">
            <v>Cancelled</v>
          </cell>
          <cell r="R4742">
            <v>44650.545208333337</v>
          </cell>
          <cell r="S4742" t="str">
            <v>Amira Elshora Old Account</v>
          </cell>
          <cell r="T4742">
            <v>44670</v>
          </cell>
          <cell r="U4742" t="str">
            <v>Billy Smith</v>
          </cell>
          <cell r="V4742">
            <v>44676</v>
          </cell>
          <cell r="W4742">
            <v>25569</v>
          </cell>
          <cell r="Y4742">
            <v>44661</v>
          </cell>
          <cell r="AC4742">
            <v>44714</v>
          </cell>
        </row>
        <row r="4743">
          <cell r="I4743" t="str">
            <v>EDI</v>
          </cell>
          <cell r="L4743">
            <v>936</v>
          </cell>
          <cell r="N4743" t="str">
            <v>Production</v>
          </cell>
          <cell r="O4743" t="str">
            <v>eBenefits Network</v>
          </cell>
          <cell r="P4743" t="str">
            <v>Production</v>
          </cell>
          <cell r="Q4743" t="str">
            <v>Cancelled</v>
          </cell>
          <cell r="R4743">
            <v>44650.54011574074</v>
          </cell>
          <cell r="S4743" t="str">
            <v>Amira Elshora Old Account</v>
          </cell>
          <cell r="T4743">
            <v>44691</v>
          </cell>
          <cell r="U4743" t="str">
            <v>Billy Smith</v>
          </cell>
          <cell r="V4743">
            <v>44692</v>
          </cell>
          <cell r="W4743">
            <v>44747</v>
          </cell>
          <cell r="Y4743">
            <v>44662</v>
          </cell>
          <cell r="AC4743">
            <v>44727</v>
          </cell>
        </row>
        <row r="4744">
          <cell r="I4744" t="str">
            <v>EDI</v>
          </cell>
          <cell r="L4744">
            <v>786</v>
          </cell>
          <cell r="N4744" t="str">
            <v>Production</v>
          </cell>
          <cell r="O4744" t="str">
            <v>eBenefits Network</v>
          </cell>
          <cell r="P4744" t="str">
            <v>Production</v>
          </cell>
          <cell r="Q4744" t="str">
            <v>Live</v>
          </cell>
          <cell r="R4744">
            <v>44650.536932870367</v>
          </cell>
          <cell r="S4744" t="str">
            <v>Fady Maged Old Account</v>
          </cell>
          <cell r="T4744">
            <v>44670</v>
          </cell>
          <cell r="U4744" t="str">
            <v>Billy Smith</v>
          </cell>
          <cell r="V4744">
            <v>44674</v>
          </cell>
          <cell r="W4744">
            <v>44712</v>
          </cell>
          <cell r="Y4744">
            <v>44662</v>
          </cell>
          <cell r="AC4744">
            <v>44712</v>
          </cell>
        </row>
        <row r="4745">
          <cell r="I4745" t="str">
            <v>EDI</v>
          </cell>
          <cell r="L4745">
            <v>1018</v>
          </cell>
          <cell r="N4745" t="str">
            <v>Production</v>
          </cell>
          <cell r="O4745" t="str">
            <v>Everything Benefits</v>
          </cell>
          <cell r="P4745" t="str">
            <v>Production</v>
          </cell>
          <cell r="Q4745" t="str">
            <v>Cancelled</v>
          </cell>
          <cell r="R4745">
            <v>44649.839699074073</v>
          </cell>
          <cell r="S4745" t="str">
            <v>Alaa Yehia</v>
          </cell>
          <cell r="T4745">
            <v>44704</v>
          </cell>
          <cell r="U4745" t="str">
            <v>Melodie Coles</v>
          </cell>
          <cell r="V4745">
            <v>44774</v>
          </cell>
          <cell r="W4745">
            <v>44823</v>
          </cell>
          <cell r="Y4745">
            <v>44666</v>
          </cell>
          <cell r="AC4745">
            <v>44820</v>
          </cell>
        </row>
        <row r="4746">
          <cell r="I4746" t="str">
            <v>EDI</v>
          </cell>
          <cell r="L4746">
            <v>1058</v>
          </cell>
          <cell r="N4746" t="str">
            <v>Production</v>
          </cell>
          <cell r="O4746" t="str">
            <v>Everything Benefits</v>
          </cell>
          <cell r="P4746" t="str">
            <v>Production</v>
          </cell>
          <cell r="Q4746" t="str">
            <v>Live</v>
          </cell>
          <cell r="R4746">
            <v>44649.839699074073</v>
          </cell>
          <cell r="S4746" t="str">
            <v>Tarek Medhat</v>
          </cell>
          <cell r="T4746">
            <v>44717</v>
          </cell>
          <cell r="U4746" t="str">
            <v>Melodie Coles</v>
          </cell>
          <cell r="V4746">
            <v>44781</v>
          </cell>
          <cell r="W4746">
            <v>44809</v>
          </cell>
          <cell r="Y4746">
            <v>44685</v>
          </cell>
          <cell r="AC4746">
            <v>44808</v>
          </cell>
        </row>
        <row r="4747">
          <cell r="I4747" t="str">
            <v>EDI</v>
          </cell>
          <cell r="L4747">
            <v>990</v>
          </cell>
          <cell r="N4747" t="str">
            <v>Production</v>
          </cell>
          <cell r="O4747" t="str">
            <v>Everything Benefits</v>
          </cell>
          <cell r="P4747" t="str">
            <v>Production</v>
          </cell>
          <cell r="Q4747" t="str">
            <v>Cancelled</v>
          </cell>
          <cell r="R4747">
            <v>44649.839687500003</v>
          </cell>
          <cell r="S4747" t="str">
            <v>Khalid Walid</v>
          </cell>
          <cell r="T4747">
            <v>44698</v>
          </cell>
          <cell r="U4747" t="str">
            <v>Melodie Coles</v>
          </cell>
          <cell r="V4747">
            <v>44732</v>
          </cell>
          <cell r="W4747">
            <v>44746</v>
          </cell>
          <cell r="Y4747">
            <v>44678</v>
          </cell>
          <cell r="AC4747">
            <v>44793</v>
          </cell>
        </row>
        <row r="4748">
          <cell r="I4748" t="str">
            <v>EDI</v>
          </cell>
          <cell r="L4748">
            <v>863</v>
          </cell>
          <cell r="N4748" t="str">
            <v>Production</v>
          </cell>
          <cell r="O4748" t="str">
            <v>Everything Benefits</v>
          </cell>
          <cell r="P4748" t="str">
            <v>Production</v>
          </cell>
          <cell r="Q4748" t="str">
            <v>Live</v>
          </cell>
          <cell r="R4748">
            <v>44649.809537037043</v>
          </cell>
          <cell r="S4748" t="str">
            <v>Mostafa Amin</v>
          </cell>
          <cell r="T4748">
            <v>44691</v>
          </cell>
          <cell r="U4748" t="str">
            <v>Melodie Coles</v>
          </cell>
          <cell r="W4748">
            <v>44788</v>
          </cell>
          <cell r="Y4748">
            <v>44677</v>
          </cell>
          <cell r="AC4748">
            <v>44787</v>
          </cell>
        </row>
        <row r="4749">
          <cell r="I4749" t="str">
            <v>EDI</v>
          </cell>
          <cell r="L4749">
            <v>1022</v>
          </cell>
          <cell r="N4749" t="str">
            <v>Production</v>
          </cell>
          <cell r="O4749" t="str">
            <v>Everything Benefits</v>
          </cell>
          <cell r="P4749" t="str">
            <v>Production</v>
          </cell>
          <cell r="Q4749" t="str">
            <v>Live</v>
          </cell>
          <cell r="R4749">
            <v>44649.809537037043</v>
          </cell>
          <cell r="S4749" t="str">
            <v>Salma Yamani</v>
          </cell>
          <cell r="T4749">
            <v>44706</v>
          </cell>
          <cell r="U4749" t="str">
            <v>Melodie Coles</v>
          </cell>
          <cell r="W4749">
            <v>44767</v>
          </cell>
          <cell r="Y4749">
            <v>44679</v>
          </cell>
          <cell r="AC4749">
            <v>44763</v>
          </cell>
        </row>
        <row r="4750">
          <cell r="I4750" t="str">
            <v>EDI</v>
          </cell>
          <cell r="L4750">
            <v>1017</v>
          </cell>
          <cell r="N4750" t="str">
            <v>Production</v>
          </cell>
          <cell r="O4750" t="str">
            <v>Everything Benefits</v>
          </cell>
          <cell r="P4750" t="str">
            <v>Production</v>
          </cell>
          <cell r="Q4750" t="str">
            <v>Live</v>
          </cell>
          <cell r="R4750">
            <v>44649.809537037043</v>
          </cell>
          <cell r="S4750" t="str">
            <v>Zeyad Khaled</v>
          </cell>
          <cell r="T4750">
            <v>44706</v>
          </cell>
          <cell r="U4750" t="str">
            <v>Melodie Coles</v>
          </cell>
          <cell r="V4750">
            <v>44767</v>
          </cell>
          <cell r="W4750">
            <v>44837</v>
          </cell>
          <cell r="Y4750">
            <v>44670</v>
          </cell>
          <cell r="AC4750">
            <v>44836</v>
          </cell>
        </row>
        <row r="4751">
          <cell r="I4751" t="str">
            <v>EDI</v>
          </cell>
          <cell r="L4751">
            <v>987</v>
          </cell>
          <cell r="N4751" t="str">
            <v>Production</v>
          </cell>
          <cell r="O4751" t="str">
            <v>Everything Benefits</v>
          </cell>
          <cell r="P4751" t="str">
            <v>Production</v>
          </cell>
          <cell r="Q4751" t="str">
            <v>Live</v>
          </cell>
          <cell r="R4751">
            <v>44649.809525462973</v>
          </cell>
          <cell r="S4751" t="str">
            <v>Zeyad Khaled</v>
          </cell>
          <cell r="T4751">
            <v>44698</v>
          </cell>
          <cell r="U4751" t="str">
            <v>Melodie Coles</v>
          </cell>
          <cell r="V4751">
            <v>44767</v>
          </cell>
          <cell r="W4751">
            <v>44809</v>
          </cell>
          <cell r="Y4751">
            <v>44678</v>
          </cell>
          <cell r="AC4751">
            <v>44808</v>
          </cell>
        </row>
        <row r="4752">
          <cell r="I4752" t="str">
            <v>EDI</v>
          </cell>
          <cell r="L4752">
            <v>1004</v>
          </cell>
          <cell r="N4752" t="str">
            <v>Production</v>
          </cell>
          <cell r="O4752" t="str">
            <v>Everything Benefits</v>
          </cell>
          <cell r="P4752" t="str">
            <v>Production</v>
          </cell>
          <cell r="Q4752" t="str">
            <v>Live</v>
          </cell>
          <cell r="R4752">
            <v>44649.809525462973</v>
          </cell>
          <cell r="S4752" t="str">
            <v>Mohamed Abdelhamed</v>
          </cell>
          <cell r="T4752">
            <v>44713</v>
          </cell>
          <cell r="U4752" t="str">
            <v>Melodie Coles</v>
          </cell>
          <cell r="V4752">
            <v>44725</v>
          </cell>
          <cell r="W4752">
            <v>25569</v>
          </cell>
          <cell r="Y4752">
            <v>44686</v>
          </cell>
          <cell r="AC4752">
            <v>44790</v>
          </cell>
        </row>
        <row r="4753">
          <cell r="I4753" t="str">
            <v>EDI</v>
          </cell>
          <cell r="L4753">
            <v>775</v>
          </cell>
          <cell r="N4753" t="str">
            <v>Production</v>
          </cell>
          <cell r="O4753" t="str">
            <v>No</v>
          </cell>
          <cell r="Q4753" t="str">
            <v>Cancelled</v>
          </cell>
          <cell r="R4753">
            <v>44649.796932870369</v>
          </cell>
          <cell r="S4753" t="str">
            <v>Mina Adel Old Account</v>
          </cell>
          <cell r="T4753">
            <v>44671</v>
          </cell>
          <cell r="U4753" t="str">
            <v>Miranda Naeem</v>
          </cell>
          <cell r="V4753">
            <v>44692</v>
          </cell>
          <cell r="W4753">
            <v>44747</v>
          </cell>
          <cell r="Y4753">
            <v>44662</v>
          </cell>
          <cell r="AC4753">
            <v>44741</v>
          </cell>
        </row>
        <row r="4754">
          <cell r="I4754" t="str">
            <v>EDI</v>
          </cell>
          <cell r="N4754" t="str">
            <v>Requirements Gathering</v>
          </cell>
          <cell r="O4754" t="str">
            <v>No</v>
          </cell>
          <cell r="Q4754" t="str">
            <v>Cancelled</v>
          </cell>
          <cell r="R4754">
            <v>44649.567199074067</v>
          </cell>
          <cell r="S4754" t="str">
            <v>Sandra Adel</v>
          </cell>
          <cell r="T4754">
            <v>44649</v>
          </cell>
          <cell r="U4754" t="str">
            <v>Miranda Naeem</v>
          </cell>
        </row>
        <row r="4755">
          <cell r="I4755" t="str">
            <v>EDI</v>
          </cell>
          <cell r="L4755">
            <v>1101</v>
          </cell>
          <cell r="N4755" t="str">
            <v>Production</v>
          </cell>
          <cell r="O4755" t="str">
            <v>No</v>
          </cell>
          <cell r="Q4755" t="str">
            <v>Live</v>
          </cell>
          <cell r="R4755">
            <v>44649.509108796286</v>
          </cell>
          <cell r="S4755" t="str">
            <v>Aya Fathy</v>
          </cell>
          <cell r="T4755">
            <v>44724</v>
          </cell>
          <cell r="U4755" t="str">
            <v>Billy Smith</v>
          </cell>
          <cell r="V4755">
            <v>25569</v>
          </cell>
          <cell r="W4755">
            <v>44776</v>
          </cell>
          <cell r="Y4755">
            <v>44721</v>
          </cell>
          <cell r="AC4755">
            <v>44768</v>
          </cell>
        </row>
        <row r="4756">
          <cell r="I4756" t="str">
            <v>EDI</v>
          </cell>
          <cell r="L4756">
            <v>1030</v>
          </cell>
          <cell r="N4756" t="str">
            <v>Production</v>
          </cell>
          <cell r="O4756" t="str">
            <v>No</v>
          </cell>
          <cell r="Q4756" t="str">
            <v>Live</v>
          </cell>
          <cell r="R4756">
            <v>44649.509108796286</v>
          </cell>
          <cell r="S4756" t="str">
            <v>Andrew Ramy</v>
          </cell>
          <cell r="T4756">
            <v>44710</v>
          </cell>
          <cell r="U4756" t="str">
            <v>Billy Smith</v>
          </cell>
          <cell r="V4756">
            <v>44756</v>
          </cell>
          <cell r="W4756">
            <v>44762</v>
          </cell>
          <cell r="Y4756">
            <v>44710</v>
          </cell>
          <cell r="AC4756">
            <v>44762</v>
          </cell>
        </row>
        <row r="4757">
          <cell r="I4757" t="str">
            <v>EDI</v>
          </cell>
          <cell r="L4757">
            <v>733</v>
          </cell>
          <cell r="N4757" t="str">
            <v>Production</v>
          </cell>
          <cell r="O4757" t="str">
            <v>eBenefits Network</v>
          </cell>
          <cell r="P4757" t="str">
            <v>Production</v>
          </cell>
          <cell r="Q4757" t="str">
            <v>Cancelled</v>
          </cell>
          <cell r="R4757">
            <v>44649.401423611111</v>
          </cell>
          <cell r="S4757" t="str">
            <v>Amira Elshora Old Account</v>
          </cell>
          <cell r="T4757">
            <v>44656</v>
          </cell>
          <cell r="U4757" t="str">
            <v>Billy Smith</v>
          </cell>
          <cell r="V4757">
            <v>44656</v>
          </cell>
          <cell r="W4757">
            <v>25569</v>
          </cell>
          <cell r="AC4757">
            <v>44697</v>
          </cell>
        </row>
        <row r="4758">
          <cell r="I4758" t="str">
            <v>EDI</v>
          </cell>
          <cell r="L4758">
            <v>891</v>
          </cell>
          <cell r="N4758" t="str">
            <v>Production</v>
          </cell>
          <cell r="O4758" t="str">
            <v>Everything Benefits</v>
          </cell>
          <cell r="P4758" t="str">
            <v>Production</v>
          </cell>
          <cell r="Q4758" t="str">
            <v>Cancelled</v>
          </cell>
          <cell r="R4758">
            <v>44648.822905092587</v>
          </cell>
          <cell r="S4758" t="str">
            <v>Mina Kamil Old Account</v>
          </cell>
          <cell r="T4758">
            <v>44687</v>
          </cell>
          <cell r="U4758" t="str">
            <v>Melodie Coles</v>
          </cell>
          <cell r="V4758">
            <v>44867</v>
          </cell>
          <cell r="W4758">
            <v>44879</v>
          </cell>
          <cell r="Y4758">
            <v>44670</v>
          </cell>
          <cell r="AC4758">
            <v>44878</v>
          </cell>
        </row>
        <row r="4759">
          <cell r="I4759" t="str">
            <v>EDI</v>
          </cell>
          <cell r="L4759">
            <v>830</v>
          </cell>
          <cell r="N4759" t="str">
            <v>Production</v>
          </cell>
          <cell r="O4759" t="str">
            <v>Everything Benefits</v>
          </cell>
          <cell r="P4759" t="str">
            <v>Production</v>
          </cell>
          <cell r="Q4759" t="str">
            <v>Cancelled</v>
          </cell>
          <cell r="R4759">
            <v>44648.822905092587</v>
          </cell>
          <cell r="S4759" t="str">
            <v>Mohamed Abdelhamed</v>
          </cell>
          <cell r="T4759">
            <v>44697</v>
          </cell>
          <cell r="U4759" t="str">
            <v>Melodie Coles</v>
          </cell>
          <cell r="V4759">
            <v>44700</v>
          </cell>
          <cell r="W4759">
            <v>44788</v>
          </cell>
          <cell r="Y4759">
            <v>44665</v>
          </cell>
          <cell r="AC4759">
            <v>44787</v>
          </cell>
        </row>
        <row r="4760">
          <cell r="I4760" t="str">
            <v>EDI</v>
          </cell>
          <cell r="N4760" t="str">
            <v>Production</v>
          </cell>
          <cell r="O4760" t="str">
            <v>No</v>
          </cell>
          <cell r="Q4760" t="str">
            <v>Cancelled</v>
          </cell>
          <cell r="R4760">
            <v>44648.727337962962</v>
          </cell>
          <cell r="S4760" t="str">
            <v>Dina Medhat</v>
          </cell>
          <cell r="T4760">
            <v>44649</v>
          </cell>
          <cell r="U4760" t="str">
            <v>Elizabeth Kahle</v>
          </cell>
          <cell r="AC4760">
            <v>44651</v>
          </cell>
        </row>
        <row r="4761">
          <cell r="I4761" t="str">
            <v>EDI</v>
          </cell>
          <cell r="N4761" t="str">
            <v>Production</v>
          </cell>
          <cell r="O4761" t="str">
            <v>No</v>
          </cell>
          <cell r="Q4761" t="str">
            <v>Cancelled</v>
          </cell>
          <cell r="R4761">
            <v>44648.725960648153</v>
          </cell>
          <cell r="S4761" t="str">
            <v>Dina Medhat</v>
          </cell>
          <cell r="T4761">
            <v>44649</v>
          </cell>
          <cell r="U4761" t="str">
            <v>Elizabeth Kahle</v>
          </cell>
          <cell r="AC4761">
            <v>44649</v>
          </cell>
        </row>
        <row r="4762">
          <cell r="I4762" t="str">
            <v>EDI</v>
          </cell>
          <cell r="L4762">
            <v>749</v>
          </cell>
          <cell r="N4762" t="str">
            <v>Production</v>
          </cell>
          <cell r="O4762" t="str">
            <v>eBenefits Network</v>
          </cell>
          <cell r="P4762" t="str">
            <v>Production</v>
          </cell>
          <cell r="Q4762" t="str">
            <v>Live</v>
          </cell>
          <cell r="R4762">
            <v>44648.604328703703</v>
          </cell>
          <cell r="S4762" t="str">
            <v>Fady Maged Old Account</v>
          </cell>
          <cell r="T4762">
            <v>44656</v>
          </cell>
          <cell r="U4762" t="str">
            <v>Billy Smith</v>
          </cell>
          <cell r="V4762">
            <v>44693</v>
          </cell>
          <cell r="W4762">
            <v>44747</v>
          </cell>
          <cell r="AC4762">
            <v>44718</v>
          </cell>
        </row>
        <row r="4763">
          <cell r="I4763" t="str">
            <v>EDI</v>
          </cell>
          <cell r="L4763">
            <v>824</v>
          </cell>
          <cell r="N4763" t="str">
            <v>Production</v>
          </cell>
          <cell r="O4763" t="str">
            <v>No</v>
          </cell>
          <cell r="Q4763" t="str">
            <v>Cancelled</v>
          </cell>
          <cell r="R4763">
            <v>44645.605995370373</v>
          </cell>
          <cell r="S4763" t="str">
            <v>Omar Elmahalwy Old Account</v>
          </cell>
          <cell r="T4763">
            <v>44674</v>
          </cell>
          <cell r="U4763" t="str">
            <v>Miranda Naeem</v>
          </cell>
          <cell r="V4763">
            <v>44690</v>
          </cell>
          <cell r="W4763">
            <v>44803</v>
          </cell>
          <cell r="Y4763">
            <v>44672</v>
          </cell>
          <cell r="AC4763">
            <v>44796</v>
          </cell>
        </row>
        <row r="4764">
          <cell r="I4764" t="str">
            <v>EDI</v>
          </cell>
          <cell r="L4764">
            <v>972</v>
          </cell>
          <cell r="N4764" t="str">
            <v>Production</v>
          </cell>
          <cell r="O4764" t="str">
            <v>Everything Benefits</v>
          </cell>
          <cell r="P4764" t="str">
            <v>Production</v>
          </cell>
          <cell r="Q4764" t="str">
            <v>Live</v>
          </cell>
          <cell r="R4764">
            <v>44645.095092592594</v>
          </cell>
          <cell r="S4764" t="str">
            <v>Nada Ashraf</v>
          </cell>
          <cell r="T4764">
            <v>44698</v>
          </cell>
          <cell r="U4764" t="str">
            <v>Billy Smith</v>
          </cell>
          <cell r="W4764">
            <v>44762</v>
          </cell>
          <cell r="Y4764">
            <v>44677</v>
          </cell>
          <cell r="AC4764">
            <v>44762</v>
          </cell>
        </row>
        <row r="4765">
          <cell r="I4765" t="str">
            <v>EDI</v>
          </cell>
          <cell r="L4765">
            <v>994</v>
          </cell>
          <cell r="N4765" t="str">
            <v>Production</v>
          </cell>
          <cell r="O4765" t="str">
            <v>Everything Benefits</v>
          </cell>
          <cell r="P4765" t="str">
            <v>Production</v>
          </cell>
          <cell r="Q4765" t="str">
            <v>Cancelled</v>
          </cell>
          <cell r="R4765">
            <v>44645.095092592594</v>
          </cell>
          <cell r="S4765" t="str">
            <v>Mohamed Abdelhamed</v>
          </cell>
          <cell r="T4765">
            <v>44713</v>
          </cell>
          <cell r="U4765" t="str">
            <v>Billy Smith</v>
          </cell>
          <cell r="V4765">
            <v>44739</v>
          </cell>
          <cell r="W4765">
            <v>44781</v>
          </cell>
          <cell r="Y4765">
            <v>44685</v>
          </cell>
          <cell r="AC4765">
            <v>44780</v>
          </cell>
        </row>
        <row r="4766">
          <cell r="I4766" t="str">
            <v>EDI</v>
          </cell>
          <cell r="L4766">
            <v>1037</v>
          </cell>
          <cell r="N4766" t="str">
            <v>Production</v>
          </cell>
          <cell r="O4766" t="str">
            <v>Everything Benefits</v>
          </cell>
          <cell r="P4766" t="str">
            <v>Production</v>
          </cell>
          <cell r="Q4766" t="str">
            <v>Cancelled</v>
          </cell>
          <cell r="R4766">
            <v>44645.086909722217</v>
          </cell>
          <cell r="S4766" t="str">
            <v>Mohamed Abdelhamed</v>
          </cell>
          <cell r="T4766">
            <v>44711</v>
          </cell>
          <cell r="U4766" t="str">
            <v>Billy Smith</v>
          </cell>
          <cell r="V4766">
            <v>44721</v>
          </cell>
          <cell r="W4766">
            <v>44781</v>
          </cell>
          <cell r="Y4766">
            <v>44671</v>
          </cell>
          <cell r="AC4766">
            <v>44780</v>
          </cell>
        </row>
        <row r="4767">
          <cell r="I4767" t="str">
            <v>EDI</v>
          </cell>
          <cell r="L4767">
            <v>935</v>
          </cell>
          <cell r="N4767" t="str">
            <v>Testing</v>
          </cell>
          <cell r="O4767" t="str">
            <v>Everything Benefits</v>
          </cell>
          <cell r="P4767" t="str">
            <v>Phase 2</v>
          </cell>
          <cell r="Q4767" t="str">
            <v>Cancelled</v>
          </cell>
          <cell r="R4767">
            <v>44645.079050925917</v>
          </cell>
          <cell r="S4767" t="str">
            <v>Mirna Azmy</v>
          </cell>
          <cell r="T4767">
            <v>44654</v>
          </cell>
          <cell r="U4767" t="str">
            <v>Billy Smith</v>
          </cell>
          <cell r="Y4767">
            <v>44651</v>
          </cell>
        </row>
        <row r="4768">
          <cell r="I4768" t="str">
            <v>EDI</v>
          </cell>
          <cell r="L4768">
            <v>923</v>
          </cell>
          <cell r="N4768" t="str">
            <v>Production</v>
          </cell>
          <cell r="O4768" t="str">
            <v>Everything Benefits</v>
          </cell>
          <cell r="P4768" t="str">
            <v>Production</v>
          </cell>
          <cell r="Q4768" t="str">
            <v>Cancelled</v>
          </cell>
          <cell r="R4768">
            <v>44645.073634259257</v>
          </cell>
          <cell r="S4768" t="str">
            <v>Karim Tarek</v>
          </cell>
          <cell r="T4768">
            <v>44879</v>
          </cell>
          <cell r="U4768" t="str">
            <v>Billy Smith</v>
          </cell>
          <cell r="V4768">
            <v>44781</v>
          </cell>
          <cell r="W4768">
            <v>25569</v>
          </cell>
          <cell r="Y4768">
            <v>44666</v>
          </cell>
          <cell r="AC4768">
            <v>44962</v>
          </cell>
        </row>
        <row r="4769">
          <cell r="I4769" t="str">
            <v>EDI</v>
          </cell>
          <cell r="L4769">
            <v>1014</v>
          </cell>
          <cell r="N4769" t="str">
            <v>Production</v>
          </cell>
          <cell r="O4769" t="str">
            <v>Everything Benefits</v>
          </cell>
          <cell r="P4769" t="str">
            <v>Production</v>
          </cell>
          <cell r="Q4769" t="str">
            <v>Live</v>
          </cell>
          <cell r="R4769">
            <v>44645.067928240736</v>
          </cell>
          <cell r="S4769" t="str">
            <v>Nada Ashraf</v>
          </cell>
          <cell r="T4769">
            <v>44956</v>
          </cell>
          <cell r="U4769" t="str">
            <v>Billy Smith</v>
          </cell>
          <cell r="V4769">
            <v>44718</v>
          </cell>
          <cell r="W4769">
            <v>45012</v>
          </cell>
          <cell r="Y4769">
            <v>44666</v>
          </cell>
          <cell r="AC4769">
            <v>45011</v>
          </cell>
        </row>
        <row r="4770">
          <cell r="I4770" t="str">
            <v>EDI</v>
          </cell>
          <cell r="L4770">
            <v>975</v>
          </cell>
          <cell r="N4770" t="str">
            <v>Production</v>
          </cell>
          <cell r="O4770" t="str">
            <v>Everything Benefits</v>
          </cell>
          <cell r="P4770" t="str">
            <v>Production</v>
          </cell>
          <cell r="Q4770" t="str">
            <v>Cancelled</v>
          </cell>
          <cell r="R4770">
            <v>44645.062928240739</v>
          </cell>
          <cell r="S4770" t="str">
            <v>Tarek Medhat</v>
          </cell>
          <cell r="T4770">
            <v>44698</v>
          </cell>
          <cell r="U4770" t="str">
            <v>Billy Smith</v>
          </cell>
          <cell r="V4770">
            <v>44710</v>
          </cell>
          <cell r="W4770">
            <v>44732</v>
          </cell>
          <cell r="Y4770">
            <v>44678</v>
          </cell>
          <cell r="AC4770">
            <v>44732</v>
          </cell>
        </row>
        <row r="4771">
          <cell r="I4771" t="str">
            <v>EDI</v>
          </cell>
          <cell r="L4771">
            <v>1126</v>
          </cell>
          <cell r="N4771" t="str">
            <v>Testing</v>
          </cell>
          <cell r="O4771" t="str">
            <v>Everything Benefits</v>
          </cell>
          <cell r="P4771" t="str">
            <v>Migration Testing</v>
          </cell>
          <cell r="Q4771" t="str">
            <v>Cancelled</v>
          </cell>
          <cell r="R4771">
            <v>44645.062916666669</v>
          </cell>
          <cell r="S4771" t="str">
            <v>Mahmoud Ahmed</v>
          </cell>
          <cell r="T4771">
            <v>44728</v>
          </cell>
          <cell r="U4771" t="str">
            <v>Billy Smith</v>
          </cell>
          <cell r="V4771">
            <v>25569</v>
          </cell>
          <cell r="Y4771">
            <v>44728</v>
          </cell>
        </row>
        <row r="4772">
          <cell r="I4772" t="str">
            <v>EDI</v>
          </cell>
          <cell r="L4772">
            <v>976</v>
          </cell>
          <cell r="N4772" t="str">
            <v>Production</v>
          </cell>
          <cell r="O4772" t="str">
            <v>Everything Benefits</v>
          </cell>
          <cell r="P4772" t="str">
            <v>Production</v>
          </cell>
          <cell r="Q4772" t="str">
            <v>Cancelled</v>
          </cell>
          <cell r="R4772">
            <v>44645.055312500001</v>
          </cell>
          <cell r="S4772" t="str">
            <v>Khalid Walid</v>
          </cell>
          <cell r="T4772">
            <v>44698</v>
          </cell>
          <cell r="U4772" t="str">
            <v>Billy Smith</v>
          </cell>
          <cell r="W4772">
            <v>44767</v>
          </cell>
          <cell r="Y4772">
            <v>44670</v>
          </cell>
          <cell r="AC4772">
            <v>44766</v>
          </cell>
        </row>
        <row r="4773">
          <cell r="I4773" t="str">
            <v>EDI</v>
          </cell>
          <cell r="L4773">
            <v>997</v>
          </cell>
          <cell r="N4773" t="str">
            <v>Production</v>
          </cell>
          <cell r="O4773" t="str">
            <v>Everything Benefits</v>
          </cell>
          <cell r="P4773" t="str">
            <v>Production</v>
          </cell>
          <cell r="Q4773" t="str">
            <v>Cancelled</v>
          </cell>
          <cell r="R4773">
            <v>44644.794699074067</v>
          </cell>
          <cell r="S4773" t="str">
            <v>Kareem Osama</v>
          </cell>
          <cell r="T4773">
            <v>44703</v>
          </cell>
          <cell r="U4773" t="str">
            <v>Billy Smith</v>
          </cell>
          <cell r="V4773">
            <v>44710</v>
          </cell>
          <cell r="W4773">
            <v>44732</v>
          </cell>
          <cell r="Y4773">
            <v>44678</v>
          </cell>
          <cell r="AC4773">
            <v>44732</v>
          </cell>
        </row>
        <row r="4774">
          <cell r="I4774" t="str">
            <v>EDI</v>
          </cell>
          <cell r="L4774">
            <v>966</v>
          </cell>
          <cell r="N4774" t="str">
            <v>Production</v>
          </cell>
          <cell r="O4774" t="str">
            <v>Everything Benefits</v>
          </cell>
          <cell r="P4774" t="str">
            <v>Production</v>
          </cell>
          <cell r="Q4774" t="str">
            <v>Cancelled</v>
          </cell>
          <cell r="R4774">
            <v>44644.787928240738</v>
          </cell>
          <cell r="S4774" t="str">
            <v>Mahmoud Ahmed</v>
          </cell>
          <cell r="T4774">
            <v>44698</v>
          </cell>
          <cell r="U4774" t="str">
            <v>Billy Smith</v>
          </cell>
          <cell r="V4774">
            <v>44815</v>
          </cell>
          <cell r="W4774">
            <v>25569</v>
          </cell>
          <cell r="Y4774">
            <v>44665</v>
          </cell>
          <cell r="AC4774">
            <v>44850</v>
          </cell>
        </row>
        <row r="4775">
          <cell r="I4775" t="str">
            <v>EDI</v>
          </cell>
          <cell r="L4775">
            <v>1624</v>
          </cell>
          <cell r="N4775" t="str">
            <v>Testing</v>
          </cell>
          <cell r="O4775" t="str">
            <v>Everything Benefits</v>
          </cell>
          <cell r="P4775" t="str">
            <v>Migration Testing</v>
          </cell>
          <cell r="Q4775" t="str">
            <v>Cancelled</v>
          </cell>
          <cell r="R4775">
            <v>44644.784745370373</v>
          </cell>
          <cell r="S4775" t="str">
            <v>Salma Yamani</v>
          </cell>
          <cell r="T4775">
            <v>44843</v>
          </cell>
          <cell r="U4775" t="str">
            <v>Billy Smith</v>
          </cell>
          <cell r="V4775">
            <v>44854</v>
          </cell>
          <cell r="Y4775">
            <v>44651</v>
          </cell>
        </row>
        <row r="4776">
          <cell r="I4776" t="str">
            <v>EDI</v>
          </cell>
          <cell r="L4776">
            <v>710</v>
          </cell>
          <cell r="N4776" t="str">
            <v>Production</v>
          </cell>
          <cell r="O4776" t="str">
            <v>Everything Benefits</v>
          </cell>
          <cell r="P4776" t="str">
            <v>Production</v>
          </cell>
          <cell r="Q4776" t="str">
            <v>Live</v>
          </cell>
          <cell r="R4776">
            <v>44644.77952546296</v>
          </cell>
          <cell r="S4776" t="str">
            <v>Mirna Azmy</v>
          </cell>
          <cell r="T4776">
            <v>44654</v>
          </cell>
          <cell r="U4776" t="str">
            <v>Billy Smith</v>
          </cell>
          <cell r="W4776">
            <v>44767</v>
          </cell>
          <cell r="Y4776">
            <v>44651</v>
          </cell>
          <cell r="AC4776">
            <v>44763</v>
          </cell>
        </row>
        <row r="4777">
          <cell r="I4777" t="str">
            <v>EDI</v>
          </cell>
          <cell r="L4777">
            <v>854</v>
          </cell>
          <cell r="N4777" t="str">
            <v>Production</v>
          </cell>
          <cell r="O4777" t="str">
            <v>Everything Benefits</v>
          </cell>
          <cell r="P4777" t="str">
            <v>Production</v>
          </cell>
          <cell r="Q4777" t="str">
            <v>Live</v>
          </cell>
          <cell r="R4777">
            <v>44644.779513888891</v>
          </cell>
          <cell r="S4777" t="str">
            <v>Mostafa Amin</v>
          </cell>
          <cell r="T4777">
            <v>44699</v>
          </cell>
          <cell r="U4777" t="str">
            <v>Billy Smith</v>
          </cell>
          <cell r="W4777">
            <v>25569</v>
          </cell>
          <cell r="Y4777">
            <v>44669</v>
          </cell>
          <cell r="AC4777">
            <v>44780</v>
          </cell>
        </row>
        <row r="4778">
          <cell r="I4778" t="str">
            <v>EDI</v>
          </cell>
          <cell r="L4778">
            <v>840</v>
          </cell>
          <cell r="N4778" t="str">
            <v>Production</v>
          </cell>
          <cell r="O4778" t="str">
            <v>Everything Benefits</v>
          </cell>
          <cell r="P4778" t="str">
            <v>Production</v>
          </cell>
          <cell r="Q4778" t="str">
            <v>Live</v>
          </cell>
          <cell r="R4778">
            <v>44644.779502314806</v>
          </cell>
          <cell r="S4778" t="str">
            <v>Omar Gaafar</v>
          </cell>
          <cell r="T4778">
            <v>44669</v>
          </cell>
          <cell r="U4778" t="str">
            <v>Billy Smith</v>
          </cell>
          <cell r="V4778">
            <v>44781</v>
          </cell>
          <cell r="W4778">
            <v>44837</v>
          </cell>
          <cell r="Y4778">
            <v>44665</v>
          </cell>
          <cell r="AC4778">
            <v>44836</v>
          </cell>
        </row>
        <row r="4779">
          <cell r="I4779" t="str">
            <v>EDI</v>
          </cell>
          <cell r="L4779">
            <v>983</v>
          </cell>
          <cell r="N4779" t="str">
            <v>Production</v>
          </cell>
          <cell r="O4779" t="str">
            <v>Everything Benefits</v>
          </cell>
          <cell r="P4779" t="str">
            <v>Production</v>
          </cell>
          <cell r="Q4779" t="str">
            <v>Live</v>
          </cell>
          <cell r="R4779">
            <v>44644.769432870373</v>
          </cell>
          <cell r="S4779" t="str">
            <v>Hazem Rostom</v>
          </cell>
          <cell r="T4779">
            <v>44698</v>
          </cell>
          <cell r="U4779" t="str">
            <v>Billy Smith</v>
          </cell>
          <cell r="V4779">
            <v>44725</v>
          </cell>
          <cell r="W4779">
            <v>44858</v>
          </cell>
          <cell r="Y4779">
            <v>44665</v>
          </cell>
          <cell r="AC4779">
            <v>44857</v>
          </cell>
        </row>
        <row r="4780">
          <cell r="I4780" t="str">
            <v>EDI</v>
          </cell>
          <cell r="L4780">
            <v>1098</v>
          </cell>
          <cell r="N4780" t="str">
            <v>Production</v>
          </cell>
          <cell r="O4780" t="str">
            <v>Everything Benefits</v>
          </cell>
          <cell r="P4780" t="str">
            <v>Production</v>
          </cell>
          <cell r="Q4780" t="str">
            <v>Live</v>
          </cell>
          <cell r="R4780">
            <v>44644.769421296303</v>
          </cell>
          <cell r="S4780" t="str">
            <v>Zeyad Khaled</v>
          </cell>
          <cell r="T4780">
            <v>44724</v>
          </cell>
          <cell r="U4780" t="str">
            <v>Billy Smith</v>
          </cell>
          <cell r="V4780">
            <v>44767</v>
          </cell>
          <cell r="W4780">
            <v>44830</v>
          </cell>
          <cell r="Y4780">
            <v>44724</v>
          </cell>
          <cell r="AC4780">
            <v>44826</v>
          </cell>
        </row>
        <row r="4781">
          <cell r="I4781" t="str">
            <v>EDI</v>
          </cell>
          <cell r="L4781">
            <v>978</v>
          </cell>
          <cell r="N4781" t="str">
            <v>Production</v>
          </cell>
          <cell r="O4781" t="str">
            <v>Everything Benefits</v>
          </cell>
          <cell r="P4781" t="str">
            <v>Production</v>
          </cell>
          <cell r="Q4781" t="str">
            <v>Cancelled</v>
          </cell>
          <cell r="R4781">
            <v>44644.672199074077</v>
          </cell>
          <cell r="S4781" t="str">
            <v>Salma Yamani</v>
          </cell>
          <cell r="T4781">
            <v>44706</v>
          </cell>
          <cell r="U4781" t="str">
            <v>Billy Smith</v>
          </cell>
          <cell r="V4781">
            <v>44816</v>
          </cell>
          <cell r="W4781">
            <v>44830</v>
          </cell>
          <cell r="Y4781">
            <v>44677</v>
          </cell>
          <cell r="AC4781">
            <v>44829</v>
          </cell>
        </row>
        <row r="4782">
          <cell r="I4782" t="str">
            <v>EDI</v>
          </cell>
          <cell r="L4782">
            <v>666</v>
          </cell>
          <cell r="N4782" t="str">
            <v>Production</v>
          </cell>
          <cell r="O4782" t="str">
            <v>Everything Benefits</v>
          </cell>
          <cell r="P4782" t="str">
            <v>Production</v>
          </cell>
          <cell r="Q4782" t="str">
            <v>Live</v>
          </cell>
          <cell r="R4782">
            <v>44644.153634259259</v>
          </cell>
          <cell r="S4782" t="str">
            <v>Mina Kamil Old Account</v>
          </cell>
          <cell r="T4782">
            <v>44644</v>
          </cell>
          <cell r="U4782" t="str">
            <v>Billy Smith</v>
          </cell>
          <cell r="W4782">
            <v>44683</v>
          </cell>
          <cell r="AC4782">
            <v>44679</v>
          </cell>
        </row>
        <row r="4783">
          <cell r="I4783" t="str">
            <v>EDI</v>
          </cell>
          <cell r="L4783">
            <v>1010</v>
          </cell>
          <cell r="N4783" t="str">
            <v>Production</v>
          </cell>
          <cell r="O4783" t="str">
            <v>Everything Benefits</v>
          </cell>
          <cell r="P4783" t="str">
            <v>Production</v>
          </cell>
          <cell r="Q4783" t="str">
            <v>Live</v>
          </cell>
          <cell r="R4783">
            <v>44644.153622685182</v>
          </cell>
          <cell r="S4783" t="str">
            <v>Hazem Rostom</v>
          </cell>
          <cell r="T4783">
            <v>44705</v>
          </cell>
          <cell r="U4783" t="str">
            <v>Billy Smith</v>
          </cell>
          <cell r="V4783">
            <v>44832</v>
          </cell>
          <cell r="W4783">
            <v>44837</v>
          </cell>
          <cell r="Y4783">
            <v>44669</v>
          </cell>
          <cell r="AC4783">
            <v>44836</v>
          </cell>
        </row>
        <row r="4784">
          <cell r="I4784" t="str">
            <v>EDI</v>
          </cell>
          <cell r="L4784">
            <v>1009</v>
          </cell>
          <cell r="N4784" t="str">
            <v>Production</v>
          </cell>
          <cell r="O4784" t="str">
            <v>Everything Benefits</v>
          </cell>
          <cell r="P4784" t="str">
            <v>Production</v>
          </cell>
          <cell r="Q4784" t="str">
            <v>Cancelled</v>
          </cell>
          <cell r="R4784">
            <v>44644.153611111113</v>
          </cell>
          <cell r="S4784" t="str">
            <v>Mina Kamil</v>
          </cell>
          <cell r="T4784">
            <v>44889</v>
          </cell>
          <cell r="U4784" t="str">
            <v>Billy Smith</v>
          </cell>
          <cell r="V4784">
            <v>44782</v>
          </cell>
          <cell r="W4784">
            <v>44949</v>
          </cell>
          <cell r="Y4784">
            <v>44677</v>
          </cell>
          <cell r="AC4784">
            <v>44948</v>
          </cell>
        </row>
        <row r="4785">
          <cell r="I4785" t="str">
            <v>EDI</v>
          </cell>
          <cell r="L4785">
            <v>988</v>
          </cell>
          <cell r="N4785" t="str">
            <v>Production</v>
          </cell>
          <cell r="O4785" t="str">
            <v>Everything Benefits</v>
          </cell>
          <cell r="P4785" t="str">
            <v>Production</v>
          </cell>
          <cell r="Q4785" t="str">
            <v>Live</v>
          </cell>
          <cell r="R4785">
            <v>44644.153599537043</v>
          </cell>
          <cell r="S4785" t="str">
            <v>Mahmoud Ahmed</v>
          </cell>
          <cell r="T4785">
            <v>44698</v>
          </cell>
          <cell r="U4785" t="str">
            <v>Billy Smith</v>
          </cell>
          <cell r="V4785">
            <v>44712</v>
          </cell>
          <cell r="W4785">
            <v>44781</v>
          </cell>
          <cell r="Y4785">
            <v>44691</v>
          </cell>
          <cell r="AC4785">
            <v>44780</v>
          </cell>
        </row>
        <row r="4786">
          <cell r="I4786" t="str">
            <v>EDI</v>
          </cell>
          <cell r="L4786">
            <v>1006</v>
          </cell>
          <cell r="N4786" t="str">
            <v>Production</v>
          </cell>
          <cell r="O4786" t="str">
            <v>Everything Benefits</v>
          </cell>
          <cell r="P4786" t="str">
            <v>Production</v>
          </cell>
          <cell r="Q4786" t="str">
            <v>Cancelled</v>
          </cell>
          <cell r="R4786">
            <v>44644.142314814817</v>
          </cell>
          <cell r="S4786" t="str">
            <v>Hazem Rostom</v>
          </cell>
          <cell r="T4786">
            <v>44956</v>
          </cell>
          <cell r="U4786" t="str">
            <v>Matt Howell</v>
          </cell>
          <cell r="V4786">
            <v>44844</v>
          </cell>
          <cell r="W4786">
            <v>45131</v>
          </cell>
          <cell r="Y4786">
            <v>44672</v>
          </cell>
          <cell r="AC4786">
            <v>45131</v>
          </cell>
        </row>
        <row r="4787">
          <cell r="I4787" t="str">
            <v>EDI</v>
          </cell>
          <cell r="L4787">
            <v>1012</v>
          </cell>
          <cell r="N4787" t="str">
            <v>Production</v>
          </cell>
          <cell r="O4787" t="str">
            <v>Everything Benefits</v>
          </cell>
          <cell r="P4787" t="str">
            <v>Production</v>
          </cell>
          <cell r="Q4787" t="str">
            <v>Live</v>
          </cell>
          <cell r="R4787">
            <v>44644.137997685182</v>
          </cell>
          <cell r="S4787" t="str">
            <v>Mahmoud Ahmed</v>
          </cell>
          <cell r="T4787">
            <v>44705</v>
          </cell>
          <cell r="U4787" t="str">
            <v>Billy Smith</v>
          </cell>
          <cell r="W4787">
            <v>44839</v>
          </cell>
          <cell r="Y4787">
            <v>44665</v>
          </cell>
          <cell r="AC4787">
            <v>44836</v>
          </cell>
        </row>
        <row r="4788">
          <cell r="I4788" t="str">
            <v>EDI</v>
          </cell>
          <cell r="L4788">
            <v>1895</v>
          </cell>
          <cell r="N4788" t="str">
            <v>Production</v>
          </cell>
          <cell r="O4788" t="str">
            <v>Everything Benefits</v>
          </cell>
          <cell r="P4788" t="str">
            <v>Production</v>
          </cell>
          <cell r="Q4788" t="str">
            <v>Live</v>
          </cell>
          <cell r="R4788">
            <v>44644.137986111113</v>
          </cell>
          <cell r="S4788" t="str">
            <v>Karim Tarek</v>
          </cell>
          <cell r="T4788">
            <v>44804</v>
          </cell>
          <cell r="U4788" t="str">
            <v>Billy Smith</v>
          </cell>
          <cell r="V4788">
            <v>44985</v>
          </cell>
          <cell r="W4788">
            <v>44992</v>
          </cell>
          <cell r="Y4788">
            <v>44665</v>
          </cell>
          <cell r="AC4788">
            <v>44990</v>
          </cell>
        </row>
        <row r="4789">
          <cell r="I4789" t="str">
            <v>EDI</v>
          </cell>
          <cell r="L4789">
            <v>1044</v>
          </cell>
          <cell r="N4789" t="str">
            <v>Production</v>
          </cell>
          <cell r="O4789" t="str">
            <v>Everything Benefits</v>
          </cell>
          <cell r="P4789" t="str">
            <v>Production</v>
          </cell>
          <cell r="Q4789" t="str">
            <v>Cancelled</v>
          </cell>
          <cell r="R4789">
            <v>44644.114131944443</v>
          </cell>
          <cell r="S4789" t="str">
            <v>Mina Kamil</v>
          </cell>
          <cell r="T4789">
            <v>44889</v>
          </cell>
          <cell r="U4789" t="str">
            <v>Billy Smith</v>
          </cell>
          <cell r="V4789">
            <v>44879</v>
          </cell>
          <cell r="W4789">
            <v>45096</v>
          </cell>
          <cell r="Y4789">
            <v>44669</v>
          </cell>
          <cell r="AC4789">
            <v>45095</v>
          </cell>
        </row>
        <row r="4790">
          <cell r="I4790" t="str">
            <v>EDI</v>
          </cell>
          <cell r="L4790">
            <v>1007</v>
          </cell>
          <cell r="N4790" t="str">
            <v>Testing</v>
          </cell>
          <cell r="O4790" t="str">
            <v>Everything Benefits</v>
          </cell>
          <cell r="P4790" t="str">
            <v>Migration Testing</v>
          </cell>
          <cell r="Q4790" t="str">
            <v>Cancelled</v>
          </cell>
          <cell r="R4790">
            <v>44644.114120370366</v>
          </cell>
          <cell r="S4790" t="str">
            <v>Zeyad Khaled</v>
          </cell>
          <cell r="T4790">
            <v>44704</v>
          </cell>
          <cell r="U4790" t="str">
            <v>Matt Howell</v>
          </cell>
          <cell r="V4790">
            <v>44767</v>
          </cell>
          <cell r="Y4790">
            <v>44691</v>
          </cell>
        </row>
        <row r="4791">
          <cell r="I4791" t="str">
            <v>EDI</v>
          </cell>
          <cell r="L4791">
            <v>973</v>
          </cell>
          <cell r="N4791" t="str">
            <v>Production</v>
          </cell>
          <cell r="O4791" t="str">
            <v>Everything Benefits</v>
          </cell>
          <cell r="P4791" t="str">
            <v>Production</v>
          </cell>
          <cell r="Q4791" t="str">
            <v>Cancelled</v>
          </cell>
          <cell r="R4791">
            <v>44644.114108796297</v>
          </cell>
          <cell r="S4791" t="str">
            <v>Hazem Rostom</v>
          </cell>
          <cell r="T4791">
            <v>44698</v>
          </cell>
          <cell r="U4791" t="str">
            <v>Billy Smith</v>
          </cell>
          <cell r="W4791">
            <v>44732</v>
          </cell>
          <cell r="Y4791">
            <v>44669</v>
          </cell>
          <cell r="AC4791">
            <v>44732</v>
          </cell>
        </row>
        <row r="4792">
          <cell r="I4792" t="str">
            <v>EDI</v>
          </cell>
          <cell r="L4792">
            <v>996</v>
          </cell>
          <cell r="N4792" t="str">
            <v>Production</v>
          </cell>
          <cell r="O4792" t="str">
            <v>Everything Benefits</v>
          </cell>
          <cell r="P4792" t="str">
            <v>Production</v>
          </cell>
          <cell r="Q4792" t="str">
            <v>Cancelled</v>
          </cell>
          <cell r="R4792">
            <v>44644.11409722222</v>
          </cell>
          <cell r="S4792" t="str">
            <v>Nada Ashraf</v>
          </cell>
          <cell r="T4792">
            <v>44698</v>
          </cell>
          <cell r="U4792" t="str">
            <v>Billy Smith</v>
          </cell>
          <cell r="V4792">
            <v>44746</v>
          </cell>
          <cell r="W4792">
            <v>45054</v>
          </cell>
          <cell r="Y4792">
            <v>44672</v>
          </cell>
          <cell r="AC4792">
            <v>45053</v>
          </cell>
        </row>
        <row r="4793">
          <cell r="I4793" t="str">
            <v>EDI</v>
          </cell>
          <cell r="L4793">
            <v>667</v>
          </cell>
          <cell r="N4793" t="str">
            <v>Production</v>
          </cell>
          <cell r="O4793" t="str">
            <v>Everything Benefits</v>
          </cell>
          <cell r="P4793" t="str">
            <v>Production</v>
          </cell>
          <cell r="Q4793" t="str">
            <v>Live</v>
          </cell>
          <cell r="R4793">
            <v>44644.102581018517</v>
          </cell>
          <cell r="S4793" t="str">
            <v>Mina Kamil Old Account</v>
          </cell>
          <cell r="T4793">
            <v>44644</v>
          </cell>
          <cell r="U4793" t="str">
            <v>Billy Smith</v>
          </cell>
          <cell r="W4793">
            <v>25569</v>
          </cell>
          <cell r="AC4793">
            <v>44679</v>
          </cell>
        </row>
        <row r="4794">
          <cell r="I4794" t="str">
            <v>EDI</v>
          </cell>
          <cell r="L4794">
            <v>1426</v>
          </cell>
          <cell r="N4794" t="str">
            <v>Production</v>
          </cell>
          <cell r="O4794" t="str">
            <v>Everything Benefits</v>
          </cell>
          <cell r="P4794" t="str">
            <v>Production</v>
          </cell>
          <cell r="Q4794" t="str">
            <v>Live</v>
          </cell>
          <cell r="R4794">
            <v>44644.102569444447</v>
          </cell>
          <cell r="S4794" t="str">
            <v>Mirna Azmy</v>
          </cell>
          <cell r="T4794">
            <v>44797</v>
          </cell>
          <cell r="U4794" t="str">
            <v>Billy Smith</v>
          </cell>
          <cell r="V4794">
            <v>44896</v>
          </cell>
          <cell r="W4794">
            <v>45089</v>
          </cell>
          <cell r="Y4794">
            <v>44651</v>
          </cell>
          <cell r="AC4794">
            <v>45088</v>
          </cell>
        </row>
        <row r="4795">
          <cell r="I4795" t="str">
            <v>EDI</v>
          </cell>
          <cell r="L4795">
            <v>1170</v>
          </cell>
          <cell r="N4795" t="str">
            <v>Production</v>
          </cell>
          <cell r="O4795" t="str">
            <v>Everything Benefits</v>
          </cell>
          <cell r="P4795" t="str">
            <v>Production</v>
          </cell>
          <cell r="Q4795" t="str">
            <v>Live</v>
          </cell>
          <cell r="R4795">
            <v>44644.10255787037</v>
          </cell>
          <cell r="S4795" t="str">
            <v>Mirna Azmy</v>
          </cell>
          <cell r="T4795">
            <v>44739</v>
          </cell>
          <cell r="U4795" t="str">
            <v>Billy Smith</v>
          </cell>
          <cell r="V4795">
            <v>44824</v>
          </cell>
          <cell r="W4795">
            <v>44830</v>
          </cell>
          <cell r="Y4795">
            <v>44738</v>
          </cell>
          <cell r="AC4795">
            <v>44829</v>
          </cell>
        </row>
        <row r="4796">
          <cell r="I4796" t="str">
            <v>EDI</v>
          </cell>
          <cell r="L4796">
            <v>968</v>
          </cell>
          <cell r="N4796" t="str">
            <v>Production</v>
          </cell>
          <cell r="O4796" t="str">
            <v>Everything Benefits</v>
          </cell>
          <cell r="P4796" t="str">
            <v>Production</v>
          </cell>
          <cell r="Q4796" t="str">
            <v>Live</v>
          </cell>
          <cell r="R4796">
            <v>44644.102546296293</v>
          </cell>
          <cell r="S4796" t="str">
            <v>Kareem Osama</v>
          </cell>
          <cell r="T4796">
            <v>44698</v>
          </cell>
          <cell r="U4796" t="str">
            <v>Billy Smith</v>
          </cell>
          <cell r="V4796">
            <v>44707</v>
          </cell>
          <cell r="W4796">
            <v>44788</v>
          </cell>
          <cell r="Y4796">
            <v>44677</v>
          </cell>
          <cell r="AC4796">
            <v>44787</v>
          </cell>
        </row>
        <row r="4797">
          <cell r="I4797" t="str">
            <v>EDI</v>
          </cell>
          <cell r="L4797">
            <v>942</v>
          </cell>
          <cell r="N4797" t="str">
            <v>Mapping</v>
          </cell>
          <cell r="O4797" t="str">
            <v>Everything Benefits</v>
          </cell>
          <cell r="P4797" t="str">
            <v>Phase 1 - Map Built</v>
          </cell>
          <cell r="Q4797" t="str">
            <v>Cancelled</v>
          </cell>
          <cell r="R4797">
            <v>44644.092928240738</v>
          </cell>
          <cell r="S4797" t="str">
            <v>Mahmoud Heidar</v>
          </cell>
          <cell r="T4797">
            <v>44787</v>
          </cell>
          <cell r="U4797" t="str">
            <v>Billy Smith</v>
          </cell>
          <cell r="Y4797">
            <v>44784</v>
          </cell>
        </row>
        <row r="4798">
          <cell r="I4798" t="str">
            <v>EDI</v>
          </cell>
          <cell r="L4798">
            <v>1011</v>
          </cell>
          <cell r="N4798" t="str">
            <v>Testing</v>
          </cell>
          <cell r="O4798" t="str">
            <v>Everything Benefits</v>
          </cell>
          <cell r="P4798" t="str">
            <v>Phase 3</v>
          </cell>
          <cell r="Q4798" t="str">
            <v>Cancelled</v>
          </cell>
          <cell r="R4798">
            <v>44644.092060185183</v>
          </cell>
          <cell r="S4798" t="str">
            <v>Tarek Medhat</v>
          </cell>
          <cell r="T4798">
            <v>44705</v>
          </cell>
          <cell r="U4798" t="str">
            <v>Billy Smith</v>
          </cell>
          <cell r="V4798">
            <v>44762</v>
          </cell>
          <cell r="Y4798">
            <v>44699</v>
          </cell>
        </row>
        <row r="4799">
          <cell r="I4799" t="str">
            <v>EDI</v>
          </cell>
          <cell r="L4799">
            <v>860</v>
          </cell>
          <cell r="N4799" t="str">
            <v>Testing</v>
          </cell>
          <cell r="O4799" t="str">
            <v>Everything Benefits</v>
          </cell>
          <cell r="P4799" t="str">
            <v>Migration Testing</v>
          </cell>
          <cell r="Q4799" t="str">
            <v>Cancelled</v>
          </cell>
          <cell r="R4799">
            <v>44644.092048611114</v>
          </cell>
          <cell r="S4799" t="str">
            <v>Omar Gaafar</v>
          </cell>
          <cell r="T4799">
            <v>44697</v>
          </cell>
          <cell r="U4799" t="str">
            <v>Billy Smith</v>
          </cell>
          <cell r="V4799">
            <v>44749</v>
          </cell>
          <cell r="Y4799">
            <v>44672</v>
          </cell>
        </row>
        <row r="4800">
          <cell r="I4800" t="str">
            <v>EDI</v>
          </cell>
          <cell r="L4800">
            <v>1152</v>
          </cell>
          <cell r="N4800" t="str">
            <v>Testing</v>
          </cell>
          <cell r="O4800" t="str">
            <v>Everything Benefits</v>
          </cell>
          <cell r="P4800" t="str">
            <v>Migration Testing</v>
          </cell>
          <cell r="Q4800" t="str">
            <v>Cancelled</v>
          </cell>
          <cell r="R4800">
            <v>44644.092037037037</v>
          </cell>
          <cell r="S4800" t="str">
            <v>Mirna Azmy</v>
          </cell>
          <cell r="T4800">
            <v>44692</v>
          </cell>
          <cell r="U4800" t="str">
            <v>Billy Smith</v>
          </cell>
          <cell r="Y4800">
            <v>44685</v>
          </cell>
        </row>
        <row r="4801">
          <cell r="I4801" t="str">
            <v>EDI</v>
          </cell>
          <cell r="L4801">
            <v>855</v>
          </cell>
          <cell r="N4801" t="str">
            <v>Testing</v>
          </cell>
          <cell r="O4801" t="str">
            <v>Everything Benefits</v>
          </cell>
          <cell r="P4801" t="str">
            <v>Migration Testing</v>
          </cell>
          <cell r="Q4801" t="str">
            <v>Cancelled</v>
          </cell>
          <cell r="R4801">
            <v>44644.09202546296</v>
          </cell>
          <cell r="S4801" t="str">
            <v>Omar Gaafar</v>
          </cell>
          <cell r="T4801">
            <v>44697</v>
          </cell>
          <cell r="U4801" t="str">
            <v>Billy Smith</v>
          </cell>
          <cell r="V4801">
            <v>44748</v>
          </cell>
          <cell r="Y4801">
            <v>44677</v>
          </cell>
        </row>
        <row r="4802">
          <cell r="I4802" t="str">
            <v>EDI</v>
          </cell>
          <cell r="L4802">
            <v>1008</v>
          </cell>
          <cell r="N4802" t="str">
            <v>Production</v>
          </cell>
          <cell r="O4802" t="str">
            <v>Everything Benefits</v>
          </cell>
          <cell r="P4802" t="str">
            <v>Production</v>
          </cell>
          <cell r="Q4802" t="str">
            <v>Live</v>
          </cell>
          <cell r="R4802">
            <v>44644.080243055563</v>
          </cell>
          <cell r="S4802" t="str">
            <v>Mina Kamil</v>
          </cell>
          <cell r="T4802">
            <v>44889</v>
          </cell>
          <cell r="U4802" t="str">
            <v>Billy Smith</v>
          </cell>
          <cell r="V4802">
            <v>44782</v>
          </cell>
          <cell r="W4802">
            <v>44949</v>
          </cell>
          <cell r="Y4802">
            <v>44677</v>
          </cell>
          <cell r="AC4802">
            <v>44948</v>
          </cell>
        </row>
        <row r="4803">
          <cell r="I4803" t="str">
            <v>EDI</v>
          </cell>
          <cell r="L4803">
            <v>864</v>
          </cell>
          <cell r="N4803" t="str">
            <v>Production</v>
          </cell>
          <cell r="O4803" t="str">
            <v>Everything Benefits</v>
          </cell>
          <cell r="P4803" t="str">
            <v>Production</v>
          </cell>
          <cell r="Q4803" t="str">
            <v>Cancelled</v>
          </cell>
          <cell r="R4803">
            <v>44644.07540509259</v>
          </cell>
          <cell r="S4803" t="str">
            <v>Alaa Yehia</v>
          </cell>
          <cell r="T4803">
            <v>44691</v>
          </cell>
          <cell r="U4803" t="str">
            <v>Billy Smith</v>
          </cell>
          <cell r="V4803">
            <v>44774</v>
          </cell>
          <cell r="W4803">
            <v>44788</v>
          </cell>
          <cell r="Y4803">
            <v>44677</v>
          </cell>
          <cell r="AC4803">
            <v>44787</v>
          </cell>
        </row>
        <row r="4804">
          <cell r="I4804" t="str">
            <v>EDI</v>
          </cell>
          <cell r="L4804">
            <v>1406</v>
          </cell>
          <cell r="N4804" t="str">
            <v>Production</v>
          </cell>
          <cell r="O4804" t="str">
            <v>Everything Benefits</v>
          </cell>
          <cell r="P4804" t="str">
            <v>Production</v>
          </cell>
          <cell r="Q4804" t="str">
            <v>Cancelled</v>
          </cell>
          <cell r="R4804">
            <v>44644.07539351852</v>
          </cell>
          <cell r="S4804" t="str">
            <v>Fady Maged Old Account</v>
          </cell>
          <cell r="T4804">
            <v>44791</v>
          </cell>
          <cell r="U4804" t="str">
            <v>Billy Smith</v>
          </cell>
          <cell r="V4804">
            <v>44796</v>
          </cell>
          <cell r="W4804">
            <v>25569</v>
          </cell>
          <cell r="Y4804">
            <v>44791</v>
          </cell>
          <cell r="AC4804">
            <v>44850</v>
          </cell>
        </row>
        <row r="4805">
          <cell r="I4805" t="str">
            <v>EDI</v>
          </cell>
          <cell r="L4805">
            <v>992</v>
          </cell>
          <cell r="N4805" t="str">
            <v>Production</v>
          </cell>
          <cell r="O4805" t="str">
            <v>Everything Benefits</v>
          </cell>
          <cell r="P4805" t="str">
            <v>Production</v>
          </cell>
          <cell r="Q4805" t="str">
            <v>Cancelled</v>
          </cell>
          <cell r="R4805">
            <v>44644.075381944444</v>
          </cell>
          <cell r="S4805" t="str">
            <v>Tarek Medhat</v>
          </cell>
          <cell r="T4805">
            <v>44700</v>
          </cell>
          <cell r="U4805" t="str">
            <v>Billy Smith</v>
          </cell>
          <cell r="V4805">
            <v>44767</v>
          </cell>
          <cell r="W4805">
            <v>45033</v>
          </cell>
          <cell r="Y4805">
            <v>44696</v>
          </cell>
          <cell r="AC4805">
            <v>45029</v>
          </cell>
        </row>
        <row r="4806">
          <cell r="I4806" t="str">
            <v>EDI</v>
          </cell>
          <cell r="L4806">
            <v>1102</v>
          </cell>
          <cell r="N4806" t="str">
            <v>Production</v>
          </cell>
          <cell r="O4806" t="str">
            <v>Everything Benefits</v>
          </cell>
          <cell r="P4806" t="str">
            <v>Production</v>
          </cell>
          <cell r="Q4806" t="str">
            <v>Cancelled</v>
          </cell>
          <cell r="R4806">
            <v>44644.063981481479</v>
          </cell>
          <cell r="S4806" t="str">
            <v>Mina Kamil</v>
          </cell>
          <cell r="T4806">
            <v>44889</v>
          </cell>
          <cell r="U4806" t="str">
            <v>Jene Hamm</v>
          </cell>
          <cell r="V4806">
            <v>45028</v>
          </cell>
          <cell r="W4806">
            <v>45090</v>
          </cell>
          <cell r="Y4806">
            <v>44685</v>
          </cell>
          <cell r="AC4806">
            <v>45088</v>
          </cell>
        </row>
        <row r="4807">
          <cell r="I4807" t="str">
            <v>EDI</v>
          </cell>
          <cell r="L4807">
            <v>1112</v>
          </cell>
          <cell r="N4807" t="str">
            <v>Production</v>
          </cell>
          <cell r="O4807" t="str">
            <v>Everything Benefits</v>
          </cell>
          <cell r="P4807" t="str">
            <v>Production</v>
          </cell>
          <cell r="Q4807" t="str">
            <v>Cancelled</v>
          </cell>
          <cell r="R4807">
            <v>44644.062430555547</v>
          </cell>
          <cell r="S4807" t="str">
            <v>Mina Kamil</v>
          </cell>
          <cell r="T4807">
            <v>44889</v>
          </cell>
          <cell r="U4807" t="str">
            <v>Jene Hamm</v>
          </cell>
          <cell r="W4807">
            <v>45089</v>
          </cell>
          <cell r="Y4807">
            <v>44651</v>
          </cell>
          <cell r="AC4807">
            <v>45088</v>
          </cell>
        </row>
        <row r="4808">
          <cell r="I4808" t="str">
            <v>EDI</v>
          </cell>
          <cell r="L4808">
            <v>984</v>
          </cell>
          <cell r="N4808" t="str">
            <v>Testing</v>
          </cell>
          <cell r="O4808" t="str">
            <v>Everything Benefits</v>
          </cell>
          <cell r="P4808" t="str">
            <v>Phase 3</v>
          </cell>
          <cell r="Q4808" t="str">
            <v>Cancelled</v>
          </cell>
          <cell r="R4808">
            <v>44644.062418981477</v>
          </cell>
          <cell r="S4808" t="str">
            <v>Tarek Medhat</v>
          </cell>
          <cell r="T4808">
            <v>44698</v>
          </cell>
          <cell r="U4808" t="str">
            <v>Billy Smith</v>
          </cell>
          <cell r="V4808">
            <v>44707</v>
          </cell>
          <cell r="Y4808">
            <v>44686</v>
          </cell>
        </row>
        <row r="4809">
          <cell r="I4809" t="str">
            <v>EDI</v>
          </cell>
          <cell r="L4809">
            <v>753</v>
          </cell>
          <cell r="N4809" t="str">
            <v>Testing</v>
          </cell>
          <cell r="O4809" t="str">
            <v>No</v>
          </cell>
          <cell r="Q4809" t="str">
            <v>Cancelled</v>
          </cell>
          <cell r="R4809">
            <v>44643.730254629627</v>
          </cell>
          <cell r="S4809" t="str">
            <v>Ahmed Sami</v>
          </cell>
          <cell r="T4809">
            <v>44895</v>
          </cell>
          <cell r="U4809" t="str">
            <v>Miranda Naeem</v>
          </cell>
          <cell r="V4809">
            <v>44665</v>
          </cell>
          <cell r="Y4809">
            <v>44648</v>
          </cell>
        </row>
        <row r="4810">
          <cell r="I4810" t="str">
            <v>EDI</v>
          </cell>
          <cell r="L4810">
            <v>962</v>
          </cell>
          <cell r="N4810" t="str">
            <v>Production</v>
          </cell>
          <cell r="O4810" t="str">
            <v>No</v>
          </cell>
          <cell r="Q4810" t="str">
            <v>Cancelled</v>
          </cell>
          <cell r="R4810">
            <v>44643.730254629627</v>
          </cell>
          <cell r="S4810" t="str">
            <v>Mina Adel</v>
          </cell>
          <cell r="T4810">
            <v>44888</v>
          </cell>
          <cell r="U4810" t="str">
            <v>Miranda Naeem</v>
          </cell>
          <cell r="V4810">
            <v>44745</v>
          </cell>
          <cell r="W4810">
            <v>44936</v>
          </cell>
          <cell r="Y4810">
            <v>44692</v>
          </cell>
          <cell r="AC4810">
            <v>44935</v>
          </cell>
        </row>
        <row r="4811">
          <cell r="I4811" t="str">
            <v>EDI</v>
          </cell>
          <cell r="L4811">
            <v>1379</v>
          </cell>
          <cell r="N4811" t="str">
            <v>Production</v>
          </cell>
          <cell r="O4811" t="str">
            <v>Everything Benefits</v>
          </cell>
          <cell r="P4811" t="str">
            <v>Production</v>
          </cell>
          <cell r="Q4811" t="str">
            <v>Live</v>
          </cell>
          <cell r="R4811">
            <v>44642.891180555547</v>
          </cell>
          <cell r="S4811" t="str">
            <v>Alaa Yehia</v>
          </cell>
          <cell r="T4811">
            <v>44788</v>
          </cell>
          <cell r="U4811" t="str">
            <v>Melodie Coles</v>
          </cell>
          <cell r="V4811">
            <v>44796</v>
          </cell>
          <cell r="W4811">
            <v>44865</v>
          </cell>
          <cell r="Y4811">
            <v>44642</v>
          </cell>
          <cell r="AC4811">
            <v>44863</v>
          </cell>
        </row>
        <row r="4812">
          <cell r="I4812" t="str">
            <v>EDI</v>
          </cell>
          <cell r="L4812">
            <v>1396</v>
          </cell>
          <cell r="N4812" t="str">
            <v>Testing</v>
          </cell>
          <cell r="O4812" t="str">
            <v>Everything Benefits</v>
          </cell>
          <cell r="P4812" t="str">
            <v>Migration Testing</v>
          </cell>
          <cell r="Q4812" t="str">
            <v>Cancelled</v>
          </cell>
          <cell r="R4812">
            <v>44642.873124999998</v>
          </cell>
          <cell r="S4812" t="str">
            <v>Mahmoud Ahmed</v>
          </cell>
          <cell r="T4812">
            <v>44791</v>
          </cell>
          <cell r="U4812" t="str">
            <v>Billy Smith</v>
          </cell>
          <cell r="V4812">
            <v>44865</v>
          </cell>
          <cell r="Y4812">
            <v>44642</v>
          </cell>
        </row>
        <row r="4813">
          <cell r="I4813" t="str">
            <v>EDI</v>
          </cell>
          <cell r="L4813">
            <v>1393</v>
          </cell>
          <cell r="N4813" t="str">
            <v>Testing</v>
          </cell>
          <cell r="O4813" t="str">
            <v>Everything Benefits</v>
          </cell>
          <cell r="P4813" t="str">
            <v>Migration Testing</v>
          </cell>
          <cell r="Q4813" t="str">
            <v>Cancelled</v>
          </cell>
          <cell r="R4813">
            <v>44642.873113425929</v>
          </cell>
          <cell r="S4813" t="str">
            <v>Tarek Medhat</v>
          </cell>
          <cell r="T4813">
            <v>44791</v>
          </cell>
          <cell r="U4813" t="str">
            <v>Billy Smith</v>
          </cell>
          <cell r="V4813">
            <v>44802</v>
          </cell>
          <cell r="Y4813">
            <v>44642</v>
          </cell>
        </row>
        <row r="4814">
          <cell r="I4814" t="str">
            <v>EDI</v>
          </cell>
          <cell r="L4814">
            <v>857</v>
          </cell>
          <cell r="N4814" t="str">
            <v>Production</v>
          </cell>
          <cell r="O4814" t="str">
            <v>Everything Benefits</v>
          </cell>
          <cell r="P4814" t="str">
            <v>Production</v>
          </cell>
          <cell r="Q4814" t="str">
            <v>Live</v>
          </cell>
          <cell r="R4814">
            <v>44642.873101851852</v>
          </cell>
          <cell r="S4814" t="str">
            <v>Zeyad Khaled</v>
          </cell>
          <cell r="T4814">
            <v>44700</v>
          </cell>
          <cell r="U4814" t="str">
            <v>Billy Smith</v>
          </cell>
          <cell r="W4814">
            <v>44747</v>
          </cell>
          <cell r="Y4814">
            <v>44677</v>
          </cell>
          <cell r="AC4814">
            <v>44745</v>
          </cell>
        </row>
        <row r="4815">
          <cell r="I4815" t="str">
            <v>EDI</v>
          </cell>
          <cell r="L4815">
            <v>853</v>
          </cell>
          <cell r="N4815" t="str">
            <v>Production</v>
          </cell>
          <cell r="O4815" t="str">
            <v>Everything Benefits</v>
          </cell>
          <cell r="P4815" t="str">
            <v>Production</v>
          </cell>
          <cell r="Q4815" t="str">
            <v>Live</v>
          </cell>
          <cell r="R4815">
            <v>44642.873090277782</v>
          </cell>
          <cell r="S4815" t="str">
            <v>Mina Kamil</v>
          </cell>
          <cell r="T4815">
            <v>44889</v>
          </cell>
          <cell r="U4815" t="str">
            <v>Billy Smith</v>
          </cell>
          <cell r="V4815">
            <v>44879</v>
          </cell>
          <cell r="W4815">
            <v>25569</v>
          </cell>
          <cell r="Y4815">
            <v>44677</v>
          </cell>
          <cell r="AC4815">
            <v>44997</v>
          </cell>
        </row>
        <row r="4816">
          <cell r="I4816" t="str">
            <v>EDI</v>
          </cell>
          <cell r="L4816">
            <v>816</v>
          </cell>
          <cell r="N4816" t="str">
            <v>Mapping</v>
          </cell>
          <cell r="O4816" t="str">
            <v>Everything Benefits</v>
          </cell>
          <cell r="P4816" t="str">
            <v>Phase 1 - Map Built</v>
          </cell>
          <cell r="Q4816" t="str">
            <v>Cancelled</v>
          </cell>
          <cell r="R4816">
            <v>44642.778865740736</v>
          </cell>
          <cell r="S4816" t="str">
            <v>Mostafa Amin</v>
          </cell>
          <cell r="T4816">
            <v>44669</v>
          </cell>
          <cell r="U4816" t="str">
            <v>Melodie Coles</v>
          </cell>
          <cell r="Y4816">
            <v>44668</v>
          </cell>
        </row>
        <row r="4817">
          <cell r="I4817" t="str">
            <v>EDI</v>
          </cell>
          <cell r="L4817">
            <v>777</v>
          </cell>
          <cell r="N4817" t="str">
            <v>Production</v>
          </cell>
          <cell r="O4817" t="str">
            <v>Everything Benefits</v>
          </cell>
          <cell r="P4817" t="str">
            <v>Production</v>
          </cell>
          <cell r="Q4817" t="str">
            <v>Live</v>
          </cell>
          <cell r="R4817">
            <v>44642.702731481477</v>
          </cell>
          <cell r="S4817" t="str">
            <v>Alaa Yehia</v>
          </cell>
          <cell r="T4817">
            <v>44655</v>
          </cell>
          <cell r="U4817" t="str">
            <v>Melodie Coles</v>
          </cell>
          <cell r="V4817">
            <v>44774</v>
          </cell>
          <cell r="W4817">
            <v>44788</v>
          </cell>
          <cell r="Y4817">
            <v>44642</v>
          </cell>
          <cell r="AC4817">
            <v>44787</v>
          </cell>
        </row>
        <row r="4818">
          <cell r="I4818" t="str">
            <v>EDI</v>
          </cell>
          <cell r="L4818">
            <v>778</v>
          </cell>
          <cell r="N4818" t="str">
            <v>Production</v>
          </cell>
          <cell r="O4818" t="str">
            <v>Everything Benefits</v>
          </cell>
          <cell r="P4818" t="str">
            <v>Production</v>
          </cell>
          <cell r="Q4818" t="str">
            <v>Live</v>
          </cell>
          <cell r="R4818">
            <v>44642.702731481477</v>
          </cell>
          <cell r="S4818" t="str">
            <v>Alaa Yehia</v>
          </cell>
          <cell r="T4818">
            <v>44655</v>
          </cell>
          <cell r="U4818" t="str">
            <v>Melodie Coles</v>
          </cell>
          <cell r="V4818">
            <v>44774</v>
          </cell>
          <cell r="W4818">
            <v>44795</v>
          </cell>
          <cell r="Y4818">
            <v>44642</v>
          </cell>
          <cell r="AC4818">
            <v>44793</v>
          </cell>
        </row>
        <row r="4819">
          <cell r="I4819" t="str">
            <v>EDI</v>
          </cell>
          <cell r="L4819">
            <v>877</v>
          </cell>
          <cell r="N4819" t="str">
            <v>Production</v>
          </cell>
          <cell r="O4819" t="str">
            <v>Everything Benefits</v>
          </cell>
          <cell r="P4819" t="str">
            <v>Production</v>
          </cell>
          <cell r="Q4819" t="str">
            <v>Cancelled</v>
          </cell>
          <cell r="R4819">
            <v>44642.702731481477</v>
          </cell>
          <cell r="S4819" t="str">
            <v>Mohamed Abdelhamed</v>
          </cell>
          <cell r="T4819">
            <v>44686</v>
          </cell>
          <cell r="U4819" t="str">
            <v>Melodie Coles</v>
          </cell>
          <cell r="V4819">
            <v>44697</v>
          </cell>
          <cell r="W4819">
            <v>25569</v>
          </cell>
          <cell r="Y4819">
            <v>44666</v>
          </cell>
          <cell r="AC4819">
            <v>44790</v>
          </cell>
        </row>
        <row r="4820">
          <cell r="I4820" t="str">
            <v>EDI</v>
          </cell>
          <cell r="L4820">
            <v>764</v>
          </cell>
          <cell r="N4820" t="str">
            <v>Production</v>
          </cell>
          <cell r="O4820" t="str">
            <v>Everything Benefits</v>
          </cell>
          <cell r="P4820" t="str">
            <v>Production</v>
          </cell>
          <cell r="Q4820" t="str">
            <v>Cancelled</v>
          </cell>
          <cell r="R4820">
            <v>44642.702719907407</v>
          </cell>
          <cell r="S4820" t="str">
            <v>Alaa Yehia</v>
          </cell>
          <cell r="T4820">
            <v>44655</v>
          </cell>
          <cell r="U4820" t="str">
            <v>Melodie Coles</v>
          </cell>
          <cell r="V4820">
            <v>44774</v>
          </cell>
          <cell r="W4820">
            <v>44788</v>
          </cell>
          <cell r="Y4820">
            <v>44642</v>
          </cell>
          <cell r="AC4820">
            <v>44787</v>
          </cell>
        </row>
        <row r="4821">
          <cell r="I4821" t="str">
            <v>EDI</v>
          </cell>
          <cell r="L4821">
            <v>1000</v>
          </cell>
          <cell r="N4821" t="str">
            <v>Production</v>
          </cell>
          <cell r="O4821" t="str">
            <v>Everything Benefits</v>
          </cell>
          <cell r="P4821" t="str">
            <v>Production</v>
          </cell>
          <cell r="Q4821" t="str">
            <v>Live</v>
          </cell>
          <cell r="R4821">
            <v>44642.683831018519</v>
          </cell>
          <cell r="S4821" t="str">
            <v>Mahmoud Ahmed</v>
          </cell>
          <cell r="T4821">
            <v>44703</v>
          </cell>
          <cell r="U4821" t="str">
            <v>Melodie Coles</v>
          </cell>
          <cell r="V4821">
            <v>44721</v>
          </cell>
          <cell r="W4821">
            <v>45089</v>
          </cell>
          <cell r="Y4821">
            <v>44672</v>
          </cell>
          <cell r="AC4821">
            <v>45088</v>
          </cell>
        </row>
        <row r="4822">
          <cell r="I4822" t="str">
            <v>EDI</v>
          </cell>
          <cell r="L4822">
            <v>1089</v>
          </cell>
          <cell r="N4822" t="str">
            <v>Production</v>
          </cell>
          <cell r="O4822" t="str">
            <v>Everything Benefits</v>
          </cell>
          <cell r="P4822" t="str">
            <v>Production</v>
          </cell>
          <cell r="Q4822" t="str">
            <v>Live</v>
          </cell>
          <cell r="R4822">
            <v>44642.683831018519</v>
          </cell>
          <cell r="S4822" t="str">
            <v>Hazem Rostom</v>
          </cell>
          <cell r="T4822">
            <v>44719</v>
          </cell>
          <cell r="U4822" t="str">
            <v>Melodie Coles</v>
          </cell>
          <cell r="W4822">
            <v>44788</v>
          </cell>
          <cell r="Y4822">
            <v>44717</v>
          </cell>
          <cell r="AC4822">
            <v>44787</v>
          </cell>
        </row>
        <row r="4823">
          <cell r="I4823" t="str">
            <v>EDI</v>
          </cell>
          <cell r="L4823">
            <v>974</v>
          </cell>
          <cell r="N4823" t="str">
            <v>Production</v>
          </cell>
          <cell r="O4823" t="str">
            <v>Everything Benefits</v>
          </cell>
          <cell r="P4823" t="str">
            <v>Production</v>
          </cell>
          <cell r="Q4823" t="str">
            <v>Live</v>
          </cell>
          <cell r="R4823">
            <v>44642.656041666669</v>
          </cell>
          <cell r="S4823" t="str">
            <v>Zeyad Khaled</v>
          </cell>
          <cell r="T4823">
            <v>44698</v>
          </cell>
          <cell r="U4823" t="str">
            <v>Billy Smith</v>
          </cell>
          <cell r="V4823">
            <v>44727</v>
          </cell>
          <cell r="W4823">
            <v>44732</v>
          </cell>
          <cell r="Y4823">
            <v>44672</v>
          </cell>
          <cell r="AC4823">
            <v>44732</v>
          </cell>
        </row>
        <row r="4824">
          <cell r="I4824" t="str">
            <v>EDI</v>
          </cell>
          <cell r="L4824">
            <v>1369</v>
          </cell>
          <cell r="N4824" t="str">
            <v>Production</v>
          </cell>
          <cell r="O4824" t="str">
            <v>Everything Benefits</v>
          </cell>
          <cell r="P4824" t="str">
            <v>Production</v>
          </cell>
          <cell r="Q4824" t="str">
            <v>Live</v>
          </cell>
          <cell r="R4824">
            <v>44642.656030092592</v>
          </cell>
          <cell r="S4824" t="str">
            <v>Mahmoud Ahmed</v>
          </cell>
          <cell r="T4824">
            <v>44787</v>
          </cell>
          <cell r="U4824" t="str">
            <v>Billy Smith</v>
          </cell>
          <cell r="V4824">
            <v>44823</v>
          </cell>
          <cell r="W4824">
            <v>44830</v>
          </cell>
          <cell r="Y4824">
            <v>44784</v>
          </cell>
          <cell r="AC4824">
            <v>44829</v>
          </cell>
        </row>
        <row r="4825">
          <cell r="I4825" t="str">
            <v>EDI</v>
          </cell>
          <cell r="L4825">
            <v>871</v>
          </cell>
          <cell r="N4825" t="str">
            <v>Production</v>
          </cell>
          <cell r="O4825" t="str">
            <v>Everything Benefits</v>
          </cell>
          <cell r="P4825" t="str">
            <v>Production</v>
          </cell>
          <cell r="Q4825" t="str">
            <v>Live</v>
          </cell>
          <cell r="R4825">
            <v>44642.656018518523</v>
          </cell>
          <cell r="S4825" t="str">
            <v>Mohamed Abdelhamed</v>
          </cell>
          <cell r="T4825">
            <v>44713</v>
          </cell>
          <cell r="U4825" t="str">
            <v>Billy Smith</v>
          </cell>
          <cell r="V4825">
            <v>44720</v>
          </cell>
          <cell r="W4825">
            <v>44783</v>
          </cell>
          <cell r="Y4825">
            <v>44664</v>
          </cell>
          <cell r="AC4825">
            <v>44780</v>
          </cell>
        </row>
        <row r="4826">
          <cell r="I4826" t="str">
            <v>EDI</v>
          </cell>
          <cell r="L4826">
            <v>985</v>
          </cell>
          <cell r="N4826" t="str">
            <v>Testing</v>
          </cell>
          <cell r="O4826" t="str">
            <v>Everything Benefits</v>
          </cell>
          <cell r="P4826" t="str">
            <v>Migration Testing</v>
          </cell>
          <cell r="Q4826" t="str">
            <v>Cancelled</v>
          </cell>
          <cell r="R4826">
            <v>44642.640787037039</v>
          </cell>
          <cell r="S4826" t="str">
            <v>Mirna Azmy</v>
          </cell>
          <cell r="T4826">
            <v>44699</v>
          </cell>
          <cell r="U4826" t="str">
            <v>Billy Smith</v>
          </cell>
          <cell r="V4826">
            <v>44858</v>
          </cell>
          <cell r="Y4826">
            <v>44670</v>
          </cell>
        </row>
        <row r="4827">
          <cell r="I4827" t="str">
            <v>EDI</v>
          </cell>
          <cell r="L4827">
            <v>834</v>
          </cell>
          <cell r="N4827" t="str">
            <v>Production</v>
          </cell>
          <cell r="O4827" t="str">
            <v>Everything Benefits</v>
          </cell>
          <cell r="P4827" t="str">
            <v>Production</v>
          </cell>
          <cell r="Q4827" t="str">
            <v>Cancelled</v>
          </cell>
          <cell r="R4827">
            <v>44642.640775462962</v>
          </cell>
          <cell r="S4827" t="str">
            <v>Alaa Yehia</v>
          </cell>
          <cell r="T4827">
            <v>44713</v>
          </cell>
          <cell r="U4827" t="str">
            <v>Billy Smith</v>
          </cell>
          <cell r="V4827">
            <v>44847</v>
          </cell>
          <cell r="W4827">
            <v>44858</v>
          </cell>
          <cell r="Y4827">
            <v>44665</v>
          </cell>
          <cell r="AC4827">
            <v>44856</v>
          </cell>
        </row>
        <row r="4828">
          <cell r="I4828" t="str">
            <v>EDI</v>
          </cell>
          <cell r="L4828">
            <v>873</v>
          </cell>
          <cell r="N4828" t="str">
            <v>Production</v>
          </cell>
          <cell r="O4828" t="str">
            <v>Everything Benefits</v>
          </cell>
          <cell r="P4828" t="str">
            <v>Production</v>
          </cell>
          <cell r="Q4828" t="str">
            <v>Live</v>
          </cell>
          <cell r="R4828">
            <v>44642.629513888889</v>
          </cell>
          <cell r="S4828" t="str">
            <v>Mina Kamil Old Account</v>
          </cell>
          <cell r="T4828">
            <v>44686</v>
          </cell>
          <cell r="U4828" t="str">
            <v>Billy Smith</v>
          </cell>
          <cell r="V4828">
            <v>44818</v>
          </cell>
          <cell r="W4828">
            <v>44851</v>
          </cell>
          <cell r="Y4828">
            <v>44664</v>
          </cell>
          <cell r="AC4828">
            <v>44850</v>
          </cell>
        </row>
        <row r="4829">
          <cell r="I4829" t="str">
            <v>EDI</v>
          </cell>
          <cell r="L4829">
            <v>1275</v>
          </cell>
          <cell r="N4829" t="str">
            <v>Production</v>
          </cell>
          <cell r="O4829" t="str">
            <v>Everything Benefits</v>
          </cell>
          <cell r="P4829" t="str">
            <v>Production</v>
          </cell>
          <cell r="Q4829" t="str">
            <v>Cancelled</v>
          </cell>
          <cell r="R4829">
            <v>44642.629513888889</v>
          </cell>
          <cell r="S4829" t="str">
            <v>Mirna Azmy</v>
          </cell>
          <cell r="T4829">
            <v>44766</v>
          </cell>
          <cell r="U4829" t="str">
            <v>Billy Smith</v>
          </cell>
          <cell r="V4829">
            <v>44846</v>
          </cell>
          <cell r="W4829">
            <v>45082</v>
          </cell>
          <cell r="Y4829">
            <v>44763</v>
          </cell>
          <cell r="AC4829">
            <v>45081</v>
          </cell>
        </row>
        <row r="4830">
          <cell r="I4830" t="str">
            <v>EDI</v>
          </cell>
          <cell r="N4830" t="str">
            <v>Requirements Gathering</v>
          </cell>
          <cell r="O4830" t="str">
            <v>No</v>
          </cell>
          <cell r="Q4830" t="str">
            <v>Cancelled</v>
          </cell>
          <cell r="R4830">
            <v>44642.616724537038</v>
          </cell>
          <cell r="S4830" t="str">
            <v>Lourina Edmon Old Account</v>
          </cell>
          <cell r="T4830">
            <v>44888</v>
          </cell>
          <cell r="U4830" t="str">
            <v>Miranda Naeem</v>
          </cell>
        </row>
        <row r="4831">
          <cell r="I4831" t="str">
            <v>EDI</v>
          </cell>
          <cell r="L4831">
            <v>993</v>
          </cell>
          <cell r="N4831" t="str">
            <v>Production</v>
          </cell>
          <cell r="O4831" t="str">
            <v>Everything Benefits</v>
          </cell>
          <cell r="P4831" t="str">
            <v>Production</v>
          </cell>
          <cell r="Q4831" t="str">
            <v>Cancelled</v>
          </cell>
          <cell r="R4831">
            <v>44642.612175925933</v>
          </cell>
          <cell r="S4831" t="str">
            <v>Mirna Azmy</v>
          </cell>
          <cell r="T4831">
            <v>44699</v>
          </cell>
          <cell r="U4831" t="str">
            <v>Billy Smith</v>
          </cell>
          <cell r="W4831">
            <v>44781</v>
          </cell>
          <cell r="Y4831">
            <v>44669</v>
          </cell>
          <cell r="AC4831">
            <v>44765</v>
          </cell>
        </row>
        <row r="4832">
          <cell r="I4832" t="str">
            <v>EDI</v>
          </cell>
          <cell r="L4832">
            <v>999</v>
          </cell>
          <cell r="N4832" t="str">
            <v>Testing</v>
          </cell>
          <cell r="O4832" t="str">
            <v>Everything Benefits</v>
          </cell>
          <cell r="P4832" t="str">
            <v>Migration Testing</v>
          </cell>
          <cell r="Q4832" t="str">
            <v>Cancelled</v>
          </cell>
          <cell r="R4832">
            <v>44642.612164351849</v>
          </cell>
          <cell r="S4832" t="str">
            <v>Mohamed Abdelhamed</v>
          </cell>
          <cell r="T4832">
            <v>44703</v>
          </cell>
          <cell r="U4832" t="str">
            <v>Billy Smith</v>
          </cell>
          <cell r="V4832">
            <v>44727</v>
          </cell>
          <cell r="Y4832">
            <v>44666</v>
          </cell>
        </row>
        <row r="4833">
          <cell r="I4833" t="str">
            <v>EDI</v>
          </cell>
          <cell r="L4833">
            <v>986</v>
          </cell>
          <cell r="N4833" t="str">
            <v>Production</v>
          </cell>
          <cell r="O4833" t="str">
            <v>Everything Benefits</v>
          </cell>
          <cell r="P4833" t="str">
            <v>Production</v>
          </cell>
          <cell r="Q4833" t="str">
            <v>Cancelled</v>
          </cell>
          <cell r="R4833">
            <v>44642.61215277778</v>
          </cell>
          <cell r="S4833" t="str">
            <v>Kareem Osama</v>
          </cell>
          <cell r="T4833">
            <v>44698</v>
          </cell>
          <cell r="U4833" t="str">
            <v>Billy Smith</v>
          </cell>
          <cell r="V4833">
            <v>44713</v>
          </cell>
          <cell r="W4833">
            <v>25569</v>
          </cell>
          <cell r="Y4833">
            <v>44696</v>
          </cell>
          <cell r="AC4833">
            <v>44829</v>
          </cell>
        </row>
        <row r="4834">
          <cell r="I4834" t="str">
            <v>EDI</v>
          </cell>
          <cell r="L4834">
            <v>916</v>
          </cell>
          <cell r="N4834" t="str">
            <v>Production</v>
          </cell>
          <cell r="O4834" t="str">
            <v>Everything Benefits</v>
          </cell>
          <cell r="P4834" t="str">
            <v>Production</v>
          </cell>
          <cell r="Q4834" t="str">
            <v>Cancelled</v>
          </cell>
          <cell r="R4834">
            <v>44642.61215277778</v>
          </cell>
          <cell r="S4834" t="str">
            <v>Mohamed Abdelhamed</v>
          </cell>
          <cell r="T4834">
            <v>44691</v>
          </cell>
          <cell r="U4834" t="str">
            <v>Billy Smith</v>
          </cell>
          <cell r="V4834">
            <v>44696</v>
          </cell>
          <cell r="W4834">
            <v>44823</v>
          </cell>
          <cell r="Y4834">
            <v>44671</v>
          </cell>
          <cell r="AC4834">
            <v>44822</v>
          </cell>
        </row>
        <row r="4835">
          <cell r="I4835" t="str">
            <v>EDI</v>
          </cell>
          <cell r="L4835">
            <v>722</v>
          </cell>
          <cell r="N4835" t="str">
            <v>Production</v>
          </cell>
          <cell r="O4835" t="str">
            <v>Everything Benefits</v>
          </cell>
          <cell r="P4835" t="str">
            <v>Production</v>
          </cell>
          <cell r="Q4835" t="str">
            <v>Cancelled</v>
          </cell>
          <cell r="R4835">
            <v>44642.612129629633</v>
          </cell>
          <cell r="S4835" t="str">
            <v>Mahmoud Heidar</v>
          </cell>
          <cell r="T4835">
            <v>44655</v>
          </cell>
          <cell r="U4835" t="str">
            <v>Billy Smith</v>
          </cell>
          <cell r="V4835">
            <v>44668</v>
          </cell>
          <cell r="W4835">
            <v>44746</v>
          </cell>
          <cell r="Y4835">
            <v>44642</v>
          </cell>
          <cell r="AC4835">
            <v>44745</v>
          </cell>
        </row>
        <row r="4836">
          <cell r="I4836" t="str">
            <v>EDI</v>
          </cell>
          <cell r="L4836">
            <v>723</v>
          </cell>
          <cell r="N4836" t="str">
            <v>Production</v>
          </cell>
          <cell r="O4836" t="str">
            <v>Everything Benefits</v>
          </cell>
          <cell r="P4836" t="str">
            <v>Production</v>
          </cell>
          <cell r="Q4836" t="str">
            <v>Cancelled</v>
          </cell>
          <cell r="R4836">
            <v>44642.612129629633</v>
          </cell>
          <cell r="S4836" t="str">
            <v>Mahmoud Heidar</v>
          </cell>
          <cell r="T4836">
            <v>44655</v>
          </cell>
          <cell r="U4836" t="str">
            <v>Billy Smith</v>
          </cell>
          <cell r="V4836">
            <v>44671</v>
          </cell>
          <cell r="W4836">
            <v>44788</v>
          </cell>
          <cell r="Y4836">
            <v>44642</v>
          </cell>
          <cell r="AC4836">
            <v>44787</v>
          </cell>
        </row>
        <row r="4837">
          <cell r="I4837" t="str">
            <v>EDI</v>
          </cell>
          <cell r="L4837">
            <v>785</v>
          </cell>
          <cell r="N4837" t="str">
            <v>Production</v>
          </cell>
          <cell r="O4837" t="str">
            <v>Everything Benefits</v>
          </cell>
          <cell r="P4837" t="str">
            <v>Production</v>
          </cell>
          <cell r="Q4837" t="str">
            <v>Cancelled</v>
          </cell>
          <cell r="R4837">
            <v>44642.61210648148</v>
          </cell>
          <cell r="S4837" t="str">
            <v>Mahmoud Heidar</v>
          </cell>
          <cell r="T4837">
            <v>44655</v>
          </cell>
          <cell r="U4837" t="str">
            <v>Matt Howell</v>
          </cell>
          <cell r="V4837">
            <v>44720</v>
          </cell>
          <cell r="W4837">
            <v>45180</v>
          </cell>
          <cell r="Y4837">
            <v>44642</v>
          </cell>
          <cell r="AC4837">
            <v>45179</v>
          </cell>
        </row>
        <row r="4838">
          <cell r="I4838" t="str">
            <v>EDI</v>
          </cell>
          <cell r="L4838">
            <v>664</v>
          </cell>
          <cell r="N4838" t="str">
            <v>Production</v>
          </cell>
          <cell r="O4838" t="str">
            <v>No</v>
          </cell>
          <cell r="Q4838" t="str">
            <v>Live</v>
          </cell>
          <cell r="R4838">
            <v>44642.57712962963</v>
          </cell>
          <cell r="S4838" t="str">
            <v>Omar Elmahalwy Old Account</v>
          </cell>
          <cell r="T4838">
            <v>44644</v>
          </cell>
          <cell r="U4838" t="str">
            <v>Vicky Wright</v>
          </cell>
          <cell r="V4838">
            <v>25569</v>
          </cell>
          <cell r="W4838">
            <v>44684</v>
          </cell>
          <cell r="Y4838">
            <v>44643</v>
          </cell>
          <cell r="AC4838">
            <v>44672</v>
          </cell>
        </row>
        <row r="4839">
          <cell r="I4839" t="str">
            <v>EDI</v>
          </cell>
          <cell r="L4839">
            <v>726</v>
          </cell>
          <cell r="N4839" t="str">
            <v>Production</v>
          </cell>
          <cell r="O4839" t="str">
            <v>Everything Benefits</v>
          </cell>
          <cell r="P4839" t="str">
            <v>Production</v>
          </cell>
          <cell r="Q4839" t="str">
            <v>Live</v>
          </cell>
          <cell r="R4839">
            <v>44642.574745370373</v>
          </cell>
          <cell r="S4839" t="str">
            <v>Mina Kamil</v>
          </cell>
          <cell r="T4839">
            <v>44889</v>
          </cell>
          <cell r="U4839" t="str">
            <v>Billy Smith</v>
          </cell>
          <cell r="V4839">
            <v>44818</v>
          </cell>
          <cell r="W4839">
            <v>44929</v>
          </cell>
          <cell r="Y4839">
            <v>44642</v>
          </cell>
          <cell r="AC4839">
            <v>44929</v>
          </cell>
        </row>
        <row r="4840">
          <cell r="I4840" t="str">
            <v>EDI</v>
          </cell>
          <cell r="L4840">
            <v>725</v>
          </cell>
          <cell r="N4840" t="str">
            <v>Production</v>
          </cell>
          <cell r="O4840" t="str">
            <v>Everything Benefits</v>
          </cell>
          <cell r="P4840" t="str">
            <v>Production</v>
          </cell>
          <cell r="Q4840" t="str">
            <v>Cancelled</v>
          </cell>
          <cell r="R4840">
            <v>44642.558148148149</v>
          </cell>
          <cell r="S4840" t="str">
            <v>Mina Kamil</v>
          </cell>
          <cell r="T4840">
            <v>44889</v>
          </cell>
          <cell r="U4840" t="str">
            <v>Billy Smith</v>
          </cell>
          <cell r="V4840">
            <v>44879</v>
          </cell>
          <cell r="W4840">
            <v>45103</v>
          </cell>
          <cell r="Y4840">
            <v>44642</v>
          </cell>
          <cell r="AC4840">
            <v>45102</v>
          </cell>
        </row>
        <row r="4841">
          <cell r="I4841" t="str">
            <v>EDI</v>
          </cell>
          <cell r="L4841">
            <v>724</v>
          </cell>
          <cell r="N4841" t="str">
            <v>Production</v>
          </cell>
          <cell r="O4841" t="str">
            <v>Everything Benefits</v>
          </cell>
          <cell r="P4841" t="str">
            <v>Production</v>
          </cell>
          <cell r="Q4841" t="str">
            <v>Cancelled</v>
          </cell>
          <cell r="R4841">
            <v>44642.558136574073</v>
          </cell>
          <cell r="S4841" t="str">
            <v>Mina Kamil Old Account</v>
          </cell>
          <cell r="T4841">
            <v>44655</v>
          </cell>
          <cell r="U4841" t="str">
            <v>Billy Smith</v>
          </cell>
          <cell r="W4841">
            <v>44746</v>
          </cell>
          <cell r="Y4841">
            <v>44642</v>
          </cell>
          <cell r="AC4841">
            <v>44745</v>
          </cell>
        </row>
        <row r="4842">
          <cell r="I4842" t="str">
            <v>EDI</v>
          </cell>
          <cell r="L4842">
            <v>727</v>
          </cell>
          <cell r="N4842" t="str">
            <v>Production</v>
          </cell>
          <cell r="O4842" t="str">
            <v>Everything Benefits</v>
          </cell>
          <cell r="P4842" t="str">
            <v>Production</v>
          </cell>
          <cell r="Q4842" t="str">
            <v>Cancelled</v>
          </cell>
          <cell r="R4842">
            <v>44642.542997685188</v>
          </cell>
          <cell r="S4842" t="str">
            <v>Mina Kamil Old Account</v>
          </cell>
          <cell r="T4842">
            <v>44655</v>
          </cell>
          <cell r="U4842" t="str">
            <v>Billy Smith</v>
          </cell>
          <cell r="W4842">
            <v>25569</v>
          </cell>
          <cell r="Y4842">
            <v>44642</v>
          </cell>
          <cell r="AC4842">
            <v>44787</v>
          </cell>
        </row>
        <row r="4843">
          <cell r="I4843" t="str">
            <v>EDI</v>
          </cell>
          <cell r="L4843">
            <v>995</v>
          </cell>
          <cell r="N4843" t="str">
            <v>Production</v>
          </cell>
          <cell r="O4843" t="str">
            <v>Everything Benefits</v>
          </cell>
          <cell r="P4843" t="str">
            <v>Production</v>
          </cell>
          <cell r="Q4843" t="str">
            <v>Cancelled</v>
          </cell>
          <cell r="R4843">
            <v>44642.542997685188</v>
          </cell>
          <cell r="S4843" t="str">
            <v>Salma Yamani</v>
          </cell>
          <cell r="T4843">
            <v>44706</v>
          </cell>
          <cell r="U4843" t="str">
            <v>Billy Smith</v>
          </cell>
          <cell r="W4843">
            <v>44767</v>
          </cell>
          <cell r="Y4843">
            <v>44670</v>
          </cell>
          <cell r="AC4843">
            <v>44763</v>
          </cell>
        </row>
        <row r="4844">
          <cell r="I4844" t="str">
            <v>EDI</v>
          </cell>
          <cell r="L4844">
            <v>817</v>
          </cell>
          <cell r="N4844" t="str">
            <v>Production</v>
          </cell>
          <cell r="O4844" t="str">
            <v>Everything Benefits</v>
          </cell>
          <cell r="P4844" t="str">
            <v>Production</v>
          </cell>
          <cell r="Q4844" t="str">
            <v>Cancelled</v>
          </cell>
          <cell r="R4844">
            <v>44642.5153587963</v>
          </cell>
          <cell r="S4844" t="str">
            <v>Alaa Yehia</v>
          </cell>
          <cell r="T4844">
            <v>44697</v>
          </cell>
          <cell r="U4844" t="str">
            <v>Billy Smith</v>
          </cell>
          <cell r="V4844">
            <v>44712</v>
          </cell>
          <cell r="W4844">
            <v>44987</v>
          </cell>
          <cell r="Y4844">
            <v>44664</v>
          </cell>
          <cell r="AC4844">
            <v>44983</v>
          </cell>
        </row>
        <row r="4845">
          <cell r="I4845" t="str">
            <v>EDI</v>
          </cell>
          <cell r="L4845">
            <v>644</v>
          </cell>
          <cell r="N4845" t="str">
            <v>Production</v>
          </cell>
          <cell r="O4845" t="str">
            <v>Everything Benefits</v>
          </cell>
          <cell r="P4845" t="str">
            <v>Production</v>
          </cell>
          <cell r="Q4845" t="str">
            <v>Cancelled</v>
          </cell>
          <cell r="R4845">
            <v>44642.462835648148</v>
          </cell>
          <cell r="S4845" t="str">
            <v>Mohamed Abdelhamed</v>
          </cell>
          <cell r="T4845">
            <v>44642</v>
          </cell>
          <cell r="U4845" t="str">
            <v>Billy Smith</v>
          </cell>
          <cell r="V4845">
            <v>44647</v>
          </cell>
          <cell r="W4845">
            <v>44683</v>
          </cell>
          <cell r="AC4845">
            <v>44679</v>
          </cell>
        </row>
        <row r="4846">
          <cell r="I4846" t="str">
            <v>EDI</v>
          </cell>
          <cell r="L4846">
            <v>643</v>
          </cell>
          <cell r="N4846" t="str">
            <v>Production</v>
          </cell>
          <cell r="O4846" t="str">
            <v>Everything Benefits</v>
          </cell>
          <cell r="P4846" t="str">
            <v>Production</v>
          </cell>
          <cell r="Q4846" t="str">
            <v>Cancelled</v>
          </cell>
          <cell r="R4846">
            <v>44642.461458333331</v>
          </cell>
          <cell r="S4846" t="str">
            <v>Mohamed Abdelhamed</v>
          </cell>
          <cell r="T4846">
            <v>44642</v>
          </cell>
          <cell r="U4846" t="str">
            <v>Billy Smith</v>
          </cell>
          <cell r="V4846">
            <v>44647</v>
          </cell>
          <cell r="W4846">
            <v>44683</v>
          </cell>
          <cell r="AC4846">
            <v>44679</v>
          </cell>
        </row>
        <row r="4847">
          <cell r="I4847" t="str">
            <v>EDI</v>
          </cell>
          <cell r="L4847">
            <v>641</v>
          </cell>
          <cell r="N4847" t="str">
            <v>Production</v>
          </cell>
          <cell r="O4847" t="str">
            <v>Everything Benefits</v>
          </cell>
          <cell r="P4847" t="str">
            <v>Production</v>
          </cell>
          <cell r="Q4847" t="str">
            <v>Cancelled</v>
          </cell>
          <cell r="R4847">
            <v>44642.458506944437</v>
          </cell>
          <cell r="S4847" t="str">
            <v>Mohamed Abdelhamed</v>
          </cell>
          <cell r="T4847">
            <v>44642</v>
          </cell>
          <cell r="U4847" t="str">
            <v>Billy Smith</v>
          </cell>
          <cell r="V4847">
            <v>44654</v>
          </cell>
          <cell r="W4847">
            <v>44734</v>
          </cell>
          <cell r="AC4847">
            <v>44734</v>
          </cell>
        </row>
        <row r="4848">
          <cell r="I4848" t="str">
            <v>EDI</v>
          </cell>
          <cell r="L4848">
            <v>640</v>
          </cell>
          <cell r="N4848" t="str">
            <v>Production</v>
          </cell>
          <cell r="O4848" t="str">
            <v>Everything Benefits</v>
          </cell>
          <cell r="P4848" t="str">
            <v>Production</v>
          </cell>
          <cell r="Q4848" t="str">
            <v>Cancelled</v>
          </cell>
          <cell r="R4848">
            <v>44642.457627314812</v>
          </cell>
          <cell r="S4848" t="str">
            <v>Mohamed Abdelhamed</v>
          </cell>
          <cell r="T4848">
            <v>44642</v>
          </cell>
          <cell r="U4848" t="str">
            <v>Billy Smith</v>
          </cell>
          <cell r="V4848">
            <v>44649</v>
          </cell>
          <cell r="W4848">
            <v>44735</v>
          </cell>
          <cell r="AC4848">
            <v>44734</v>
          </cell>
        </row>
        <row r="4849">
          <cell r="I4849" t="str">
            <v>EDI</v>
          </cell>
          <cell r="L4849">
            <v>639</v>
          </cell>
          <cell r="N4849" t="str">
            <v>Production</v>
          </cell>
          <cell r="O4849" t="str">
            <v>Everything Benefits</v>
          </cell>
          <cell r="P4849" t="str">
            <v>Production</v>
          </cell>
          <cell r="Q4849" t="str">
            <v>Cancelled</v>
          </cell>
          <cell r="R4849">
            <v>44642.455706018518</v>
          </cell>
          <cell r="S4849" t="str">
            <v>Mohamed Abdelhamed</v>
          </cell>
          <cell r="T4849">
            <v>44642</v>
          </cell>
          <cell r="U4849" t="str">
            <v>Billy Smith</v>
          </cell>
          <cell r="V4849">
            <v>44661</v>
          </cell>
          <cell r="W4849">
            <v>44734</v>
          </cell>
          <cell r="AC4849">
            <v>44734</v>
          </cell>
        </row>
        <row r="4850">
          <cell r="I4850" t="str">
            <v>EDI</v>
          </cell>
          <cell r="L4850">
            <v>647</v>
          </cell>
          <cell r="N4850" t="str">
            <v>Testing</v>
          </cell>
          <cell r="O4850" t="str">
            <v>Everything Benefits</v>
          </cell>
          <cell r="P4850" t="str">
            <v>Migration Testing</v>
          </cell>
          <cell r="Q4850" t="str">
            <v>Cancelled</v>
          </cell>
          <cell r="R4850">
            <v>44641.924780092602</v>
          </cell>
          <cell r="S4850" t="str">
            <v>Mirna Azmy</v>
          </cell>
          <cell r="T4850">
            <v>44642</v>
          </cell>
          <cell r="U4850" t="str">
            <v>Melodie Coles</v>
          </cell>
          <cell r="V4850">
            <v>44888</v>
          </cell>
          <cell r="Y4850">
            <v>44642</v>
          </cell>
        </row>
        <row r="4851">
          <cell r="I4851" t="str">
            <v>EDI</v>
          </cell>
          <cell r="L4851">
            <v>677</v>
          </cell>
          <cell r="N4851" t="str">
            <v>Production</v>
          </cell>
          <cell r="O4851" t="str">
            <v>Everything Benefits</v>
          </cell>
          <cell r="P4851" t="str">
            <v>Production</v>
          </cell>
          <cell r="Q4851" t="str">
            <v>Cancelled</v>
          </cell>
          <cell r="R4851">
            <v>44641.69394675926</v>
          </cell>
          <cell r="S4851" t="str">
            <v>Alaa Yehia</v>
          </cell>
          <cell r="T4851">
            <v>44642</v>
          </cell>
          <cell r="U4851" t="str">
            <v>Melodie Coles</v>
          </cell>
          <cell r="V4851">
            <v>44774</v>
          </cell>
          <cell r="W4851">
            <v>44788</v>
          </cell>
          <cell r="Y4851">
            <v>44642</v>
          </cell>
          <cell r="AC4851">
            <v>44828</v>
          </cell>
        </row>
        <row r="4852">
          <cell r="I4852" t="str">
            <v>EDI</v>
          </cell>
          <cell r="L4852">
            <v>965</v>
          </cell>
          <cell r="N4852" t="str">
            <v>Testing</v>
          </cell>
          <cell r="O4852" t="str">
            <v>Everything Benefits</v>
          </cell>
          <cell r="P4852" t="str">
            <v>Migration Testing</v>
          </cell>
          <cell r="Q4852" t="str">
            <v>Cancelled</v>
          </cell>
          <cell r="R4852">
            <v>44641.693935185183</v>
          </cell>
          <cell r="S4852" t="str">
            <v>Mirna Azmy</v>
          </cell>
          <cell r="T4852">
            <v>44697</v>
          </cell>
          <cell r="U4852" t="str">
            <v>Melodie Coles</v>
          </cell>
          <cell r="V4852">
            <v>44879</v>
          </cell>
          <cell r="Y4852">
            <v>44670</v>
          </cell>
        </row>
        <row r="4853">
          <cell r="I4853" t="str">
            <v>EDI</v>
          </cell>
          <cell r="L4853">
            <v>941</v>
          </cell>
          <cell r="N4853" t="str">
            <v>Production</v>
          </cell>
          <cell r="O4853" t="str">
            <v>Everything Benefits</v>
          </cell>
          <cell r="P4853" t="str">
            <v>Production</v>
          </cell>
          <cell r="Q4853" t="str">
            <v>Cancelled</v>
          </cell>
          <cell r="R4853">
            <v>44641.693935185183</v>
          </cell>
          <cell r="S4853" t="str">
            <v>Mohamed Abdelhamed</v>
          </cell>
          <cell r="T4853">
            <v>44692</v>
          </cell>
          <cell r="U4853" t="str">
            <v>Melodie Coles</v>
          </cell>
          <cell r="V4853">
            <v>44713</v>
          </cell>
          <cell r="W4853">
            <v>44796</v>
          </cell>
          <cell r="Y4853">
            <v>44686</v>
          </cell>
          <cell r="AC4853">
            <v>44790</v>
          </cell>
        </row>
        <row r="4854">
          <cell r="I4854" t="str">
            <v>EDI</v>
          </cell>
          <cell r="L4854">
            <v>1220</v>
          </cell>
          <cell r="N4854" t="str">
            <v>Production</v>
          </cell>
          <cell r="O4854" t="str">
            <v>Everything Benefits</v>
          </cell>
          <cell r="P4854" t="str">
            <v>Production</v>
          </cell>
          <cell r="Q4854" t="str">
            <v>Cancelled</v>
          </cell>
          <cell r="R4854">
            <v>44641.693935185183</v>
          </cell>
          <cell r="S4854" t="str">
            <v>Karen Ramy</v>
          </cell>
          <cell r="T4854">
            <v>44749</v>
          </cell>
          <cell r="U4854" t="str">
            <v>Melodie Coles</v>
          </cell>
          <cell r="V4854">
            <v>44794</v>
          </cell>
          <cell r="W4854">
            <v>44810</v>
          </cell>
          <cell r="Y4854">
            <v>44658</v>
          </cell>
          <cell r="AC4854">
            <v>44808</v>
          </cell>
        </row>
        <row r="4855">
          <cell r="I4855" t="str">
            <v>EDI</v>
          </cell>
          <cell r="L4855">
            <v>661</v>
          </cell>
          <cell r="N4855" t="str">
            <v>Production</v>
          </cell>
          <cell r="O4855" t="str">
            <v>Everything Benefits</v>
          </cell>
          <cell r="P4855" t="str">
            <v>Production</v>
          </cell>
          <cell r="Q4855" t="str">
            <v>Live</v>
          </cell>
          <cell r="R4855">
            <v>44638.745462962957</v>
          </cell>
          <cell r="S4855" t="str">
            <v>Mahmoud Heidar</v>
          </cell>
          <cell r="T4855">
            <v>44642</v>
          </cell>
          <cell r="U4855" t="str">
            <v>Billy Smith</v>
          </cell>
          <cell r="V4855">
            <v>44833</v>
          </cell>
          <cell r="W4855">
            <v>45124</v>
          </cell>
          <cell r="Y4855">
            <v>44640</v>
          </cell>
          <cell r="AC4855">
            <v>45123</v>
          </cell>
        </row>
        <row r="4856">
          <cell r="I4856" t="str">
            <v>EDI</v>
          </cell>
          <cell r="L4856">
            <v>998</v>
          </cell>
          <cell r="N4856" t="str">
            <v>Production</v>
          </cell>
          <cell r="O4856" t="str">
            <v>Everything Benefits</v>
          </cell>
          <cell r="P4856" t="str">
            <v>Production</v>
          </cell>
          <cell r="Q4856" t="str">
            <v>Cancelled</v>
          </cell>
          <cell r="R4856">
            <v>44638.731157407397</v>
          </cell>
          <cell r="S4856" t="str">
            <v>Karim Tarek</v>
          </cell>
          <cell r="T4856">
            <v>44805</v>
          </cell>
          <cell r="U4856" t="str">
            <v>Billy Smith</v>
          </cell>
          <cell r="V4856">
            <v>44767</v>
          </cell>
          <cell r="W4856">
            <v>44746</v>
          </cell>
          <cell r="Y4856">
            <v>44666</v>
          </cell>
          <cell r="AC4856">
            <v>44983</v>
          </cell>
        </row>
        <row r="4857">
          <cell r="I4857" t="str">
            <v>EDI</v>
          </cell>
          <cell r="L4857">
            <v>699</v>
          </cell>
          <cell r="N4857" t="str">
            <v>Production</v>
          </cell>
          <cell r="O4857" t="str">
            <v>Everything Benefits</v>
          </cell>
          <cell r="P4857" t="str">
            <v>Production</v>
          </cell>
          <cell r="Q4857" t="str">
            <v>Cancelled</v>
          </cell>
          <cell r="R4857">
            <v>44638.731145833342</v>
          </cell>
          <cell r="S4857" t="str">
            <v>Alaa Yehia</v>
          </cell>
          <cell r="T4857">
            <v>44642</v>
          </cell>
          <cell r="U4857" t="str">
            <v>Billy Smith</v>
          </cell>
          <cell r="V4857">
            <v>44774</v>
          </cell>
          <cell r="W4857">
            <v>44809</v>
          </cell>
          <cell r="Y4857">
            <v>44640</v>
          </cell>
          <cell r="AC4857">
            <v>44805</v>
          </cell>
        </row>
        <row r="4858">
          <cell r="I4858" t="str">
            <v>EDI</v>
          </cell>
          <cell r="L4858">
            <v>635</v>
          </cell>
          <cell r="N4858" t="str">
            <v>Production</v>
          </cell>
          <cell r="O4858" t="str">
            <v>Everything Benefits</v>
          </cell>
          <cell r="P4858" t="str">
            <v>Production</v>
          </cell>
          <cell r="Q4858" t="str">
            <v>Cancelled</v>
          </cell>
          <cell r="R4858">
            <v>44638.731134259258</v>
          </cell>
          <cell r="S4858" t="str">
            <v>Mina Kamil</v>
          </cell>
          <cell r="T4858">
            <v>44889</v>
          </cell>
          <cell r="U4858" t="str">
            <v>Billy Smith</v>
          </cell>
          <cell r="V4858">
            <v>44879</v>
          </cell>
          <cell r="W4858">
            <v>45068</v>
          </cell>
          <cell r="Y4858">
            <v>44640</v>
          </cell>
          <cell r="AC4858">
            <v>45067</v>
          </cell>
        </row>
        <row r="4859">
          <cell r="I4859" t="str">
            <v>EDI</v>
          </cell>
          <cell r="L4859">
            <v>642</v>
          </cell>
          <cell r="N4859" t="str">
            <v>Production</v>
          </cell>
          <cell r="O4859" t="str">
            <v>Everything Benefits</v>
          </cell>
          <cell r="P4859" t="str">
            <v>Production</v>
          </cell>
          <cell r="Q4859" t="str">
            <v>Cancelled</v>
          </cell>
          <cell r="R4859">
            <v>44638.712430555563</v>
          </cell>
          <cell r="S4859" t="str">
            <v>Mohamed Abdelhamed</v>
          </cell>
          <cell r="T4859">
            <v>44642</v>
          </cell>
          <cell r="U4859" t="str">
            <v>Billy Smith</v>
          </cell>
          <cell r="V4859">
            <v>44647</v>
          </cell>
          <cell r="W4859">
            <v>44683</v>
          </cell>
          <cell r="Y4859">
            <v>44640</v>
          </cell>
          <cell r="AC4859">
            <v>44679</v>
          </cell>
        </row>
        <row r="4860">
          <cell r="I4860" t="str">
            <v>EDI</v>
          </cell>
          <cell r="L4860">
            <v>1005</v>
          </cell>
          <cell r="N4860" t="str">
            <v>Production</v>
          </cell>
          <cell r="O4860" t="str">
            <v>Everything Benefits</v>
          </cell>
          <cell r="P4860" t="str">
            <v>Production</v>
          </cell>
          <cell r="Q4860" t="str">
            <v>Live</v>
          </cell>
          <cell r="R4860">
            <v>44638.712418981479</v>
          </cell>
          <cell r="S4860" t="str">
            <v>Mohamed Abdelhamed</v>
          </cell>
          <cell r="T4860">
            <v>44703</v>
          </cell>
          <cell r="U4860" t="str">
            <v>Billy Smith</v>
          </cell>
          <cell r="V4860">
            <v>44720</v>
          </cell>
          <cell r="W4860">
            <v>25569</v>
          </cell>
          <cell r="Y4860">
            <v>44672</v>
          </cell>
          <cell r="AC4860">
            <v>44822</v>
          </cell>
        </row>
        <row r="4861">
          <cell r="I4861" t="str">
            <v>EDI</v>
          </cell>
          <cell r="L4861">
            <v>665</v>
          </cell>
          <cell r="N4861" t="str">
            <v>Production</v>
          </cell>
          <cell r="O4861" t="str">
            <v>No</v>
          </cell>
          <cell r="Q4861" t="str">
            <v>Cancelled</v>
          </cell>
          <cell r="R4861">
            <v>44638.539166666669</v>
          </cell>
          <cell r="S4861" t="str">
            <v>Mina Adel Old Account</v>
          </cell>
          <cell r="T4861">
            <v>44644</v>
          </cell>
          <cell r="U4861" t="str">
            <v>Vicky Wright</v>
          </cell>
          <cell r="W4861">
            <v>44699</v>
          </cell>
          <cell r="Y4861">
            <v>44643</v>
          </cell>
          <cell r="AC4861">
            <v>44692</v>
          </cell>
        </row>
        <row r="4862">
          <cell r="I4862" t="str">
            <v>EDI</v>
          </cell>
          <cell r="L4862">
            <v>606</v>
          </cell>
          <cell r="N4862" t="str">
            <v>Production</v>
          </cell>
          <cell r="O4862" t="str">
            <v>No</v>
          </cell>
          <cell r="Q4862" t="str">
            <v>Cancelled</v>
          </cell>
          <cell r="R4862">
            <v>44638.493680555563</v>
          </cell>
          <cell r="S4862" t="str">
            <v>Haytham Mohamed</v>
          </cell>
          <cell r="T4862">
            <v>44638</v>
          </cell>
          <cell r="U4862" t="str">
            <v>Billy Smith</v>
          </cell>
          <cell r="V4862">
            <v>44641</v>
          </cell>
          <cell r="W4862">
            <v>44648</v>
          </cell>
          <cell r="AC4862">
            <v>44643</v>
          </cell>
        </row>
        <row r="4863">
          <cell r="I4863" t="str">
            <v>EDI</v>
          </cell>
          <cell r="L4863">
            <v>614</v>
          </cell>
          <cell r="N4863" t="str">
            <v>Production</v>
          </cell>
          <cell r="O4863" t="str">
            <v>No</v>
          </cell>
          <cell r="Q4863" t="str">
            <v>Cancelled</v>
          </cell>
          <cell r="R4863">
            <v>44637.738391203697</v>
          </cell>
          <cell r="S4863" t="str">
            <v>Mina George Old Account</v>
          </cell>
          <cell r="T4863">
            <v>44637</v>
          </cell>
          <cell r="U4863" t="str">
            <v>Denise Stubenvoll</v>
          </cell>
          <cell r="V4863">
            <v>44641</v>
          </cell>
          <cell r="W4863">
            <v>44653</v>
          </cell>
          <cell r="AC4863">
            <v>44643</v>
          </cell>
        </row>
        <row r="4864">
          <cell r="I4864" t="str">
            <v>EDI</v>
          </cell>
          <cell r="L4864">
            <v>696</v>
          </cell>
          <cell r="N4864" t="str">
            <v>Production</v>
          </cell>
          <cell r="O4864" t="str">
            <v>No</v>
          </cell>
          <cell r="Q4864" t="str">
            <v>Live</v>
          </cell>
          <cell r="R4864">
            <v>44637.642430555563</v>
          </cell>
          <cell r="S4864" t="str">
            <v>Jack Salah</v>
          </cell>
          <cell r="T4864">
            <v>44760</v>
          </cell>
          <cell r="U4864" t="str">
            <v>Billy Smith</v>
          </cell>
          <cell r="V4864">
            <v>44718</v>
          </cell>
          <cell r="W4864">
            <v>25569</v>
          </cell>
          <cell r="Y4864">
            <v>44649</v>
          </cell>
          <cell r="AC4864">
            <v>44780</v>
          </cell>
        </row>
        <row r="4865">
          <cell r="I4865" t="str">
            <v>EDI</v>
          </cell>
          <cell r="L4865">
            <v>838</v>
          </cell>
          <cell r="N4865" t="str">
            <v>Production</v>
          </cell>
          <cell r="O4865" t="str">
            <v>No</v>
          </cell>
          <cell r="Q4865" t="str">
            <v>Live</v>
          </cell>
          <cell r="R4865">
            <v>44637.642430555563</v>
          </cell>
          <cell r="S4865" t="str">
            <v>Omar Elmahalwy Old Account</v>
          </cell>
          <cell r="T4865">
            <v>44679</v>
          </cell>
          <cell r="U4865" t="str">
            <v>Billy Smith</v>
          </cell>
          <cell r="V4865">
            <v>44705</v>
          </cell>
          <cell r="W4865">
            <v>44741</v>
          </cell>
          <cell r="Y4865">
            <v>44678</v>
          </cell>
          <cell r="AC4865">
            <v>44735</v>
          </cell>
        </row>
        <row r="4866">
          <cell r="I4866" t="str">
            <v>EDI</v>
          </cell>
          <cell r="L4866">
            <v>769</v>
          </cell>
          <cell r="N4866" t="str">
            <v>Production</v>
          </cell>
          <cell r="O4866" t="str">
            <v>No</v>
          </cell>
          <cell r="Q4866" t="str">
            <v>Live</v>
          </cell>
          <cell r="R4866">
            <v>44637.617418981477</v>
          </cell>
          <cell r="S4866" t="str">
            <v>Fady Bassel</v>
          </cell>
          <cell r="T4866">
            <v>44662</v>
          </cell>
          <cell r="U4866" t="str">
            <v>Denise Stubenvoll</v>
          </cell>
          <cell r="W4866">
            <v>44677</v>
          </cell>
          <cell r="Y4866">
            <v>44661</v>
          </cell>
          <cell r="AC4866">
            <v>44671</v>
          </cell>
        </row>
        <row r="4867">
          <cell r="I4867" t="str">
            <v>EDI</v>
          </cell>
          <cell r="N4867" t="str">
            <v>Requirements Gathering</v>
          </cell>
          <cell r="O4867" t="str">
            <v>No</v>
          </cell>
          <cell r="Q4867" t="str">
            <v>Cancelled</v>
          </cell>
          <cell r="R4867">
            <v>44637.617418981477</v>
          </cell>
          <cell r="S4867" t="str">
            <v>Lourina Edmon Old Account</v>
          </cell>
          <cell r="T4867">
            <v>44888</v>
          </cell>
          <cell r="U4867" t="str">
            <v>Denise Stubenvoll</v>
          </cell>
        </row>
        <row r="4868">
          <cell r="I4868" t="str">
            <v>EDI</v>
          </cell>
          <cell r="L4868">
            <v>748</v>
          </cell>
          <cell r="N4868" t="str">
            <v>Production</v>
          </cell>
          <cell r="O4868" t="str">
            <v>No</v>
          </cell>
          <cell r="Q4868" t="str">
            <v>Cancelled</v>
          </cell>
          <cell r="R4868">
            <v>44637.570787037039</v>
          </cell>
          <cell r="S4868" t="str">
            <v>Mina Adel Old Account</v>
          </cell>
          <cell r="T4868">
            <v>44658</v>
          </cell>
          <cell r="U4868" t="str">
            <v>Miranda Naeem</v>
          </cell>
          <cell r="V4868">
            <v>44678</v>
          </cell>
          <cell r="W4868">
            <v>44754</v>
          </cell>
          <cell r="Y4868">
            <v>44657</v>
          </cell>
          <cell r="AC4868">
            <v>44748</v>
          </cell>
        </row>
        <row r="4869">
          <cell r="I4869" t="str">
            <v>EDI</v>
          </cell>
          <cell r="L4869">
            <v>1201</v>
          </cell>
          <cell r="N4869" t="str">
            <v>Production</v>
          </cell>
          <cell r="O4869" t="str">
            <v>No</v>
          </cell>
          <cell r="Q4869" t="str">
            <v>Cancelled</v>
          </cell>
          <cell r="R4869">
            <v>44636.66611111111</v>
          </cell>
          <cell r="S4869" t="str">
            <v>Andrew Ramy</v>
          </cell>
          <cell r="T4869">
            <v>44746</v>
          </cell>
          <cell r="U4869" t="str">
            <v>Miranda Naeem</v>
          </cell>
          <cell r="V4869">
            <v>44752</v>
          </cell>
          <cell r="W4869">
            <v>44770</v>
          </cell>
          <cell r="Y4869">
            <v>44745</v>
          </cell>
          <cell r="AC4869">
            <v>44770</v>
          </cell>
        </row>
        <row r="4870">
          <cell r="I4870" t="str">
            <v>EDI</v>
          </cell>
          <cell r="L4870">
            <v>670</v>
          </cell>
          <cell r="N4870" t="str">
            <v>Production</v>
          </cell>
          <cell r="O4870" t="str">
            <v>No</v>
          </cell>
          <cell r="Q4870" t="str">
            <v>Cancelled</v>
          </cell>
          <cell r="R4870">
            <v>44636.66611111111</v>
          </cell>
          <cell r="S4870" t="str">
            <v>Mina George</v>
          </cell>
          <cell r="T4870">
            <v>44889</v>
          </cell>
          <cell r="U4870" t="str">
            <v>Miranda Naeem</v>
          </cell>
          <cell r="V4870">
            <v>44735</v>
          </cell>
          <cell r="W4870">
            <v>44999</v>
          </cell>
          <cell r="Y4870">
            <v>44643</v>
          </cell>
          <cell r="AC4870">
            <v>44992</v>
          </cell>
        </row>
        <row r="4871">
          <cell r="I4871" t="str">
            <v>EDI</v>
          </cell>
          <cell r="L4871">
            <v>684</v>
          </cell>
          <cell r="N4871" t="str">
            <v>Production</v>
          </cell>
          <cell r="O4871" t="str">
            <v>No</v>
          </cell>
          <cell r="Q4871" t="str">
            <v>Cancelled</v>
          </cell>
          <cell r="R4871">
            <v>44636.600451388891</v>
          </cell>
          <cell r="S4871" t="str">
            <v>Joseph Atef Old Account</v>
          </cell>
          <cell r="T4871">
            <v>44644</v>
          </cell>
          <cell r="U4871" t="str">
            <v>Miranda Naeem</v>
          </cell>
          <cell r="V4871">
            <v>25569</v>
          </cell>
          <cell r="W4871">
            <v>44713</v>
          </cell>
          <cell r="Y4871">
            <v>44644</v>
          </cell>
          <cell r="AC4871">
            <v>44710</v>
          </cell>
        </row>
        <row r="4872">
          <cell r="I4872" t="str">
            <v>EDI</v>
          </cell>
          <cell r="L4872">
            <v>748</v>
          </cell>
          <cell r="N4872" t="str">
            <v>Production</v>
          </cell>
          <cell r="O4872" t="str">
            <v>No</v>
          </cell>
          <cell r="Q4872" t="str">
            <v>Cancelled</v>
          </cell>
          <cell r="R4872">
            <v>44636.600451388891</v>
          </cell>
          <cell r="S4872" t="str">
            <v>Dina Medhat</v>
          </cell>
          <cell r="T4872">
            <v>44655</v>
          </cell>
          <cell r="U4872" t="str">
            <v>Miranda Naeem</v>
          </cell>
          <cell r="V4872">
            <v>44678</v>
          </cell>
          <cell r="W4872">
            <v>44754</v>
          </cell>
          <cell r="AC4872">
            <v>44748</v>
          </cell>
        </row>
        <row r="4873">
          <cell r="I4873" t="str">
            <v>EDI</v>
          </cell>
          <cell r="L4873">
            <v>803</v>
          </cell>
          <cell r="N4873" t="str">
            <v>Production</v>
          </cell>
          <cell r="O4873" t="str">
            <v>No</v>
          </cell>
          <cell r="Q4873" t="str">
            <v>Cancelled</v>
          </cell>
          <cell r="R4873">
            <v>44636.524918981479</v>
          </cell>
          <cell r="S4873" t="str">
            <v>Ahmed Sami Old Account</v>
          </cell>
          <cell r="T4873">
            <v>44664</v>
          </cell>
          <cell r="U4873" t="str">
            <v>Billy Smith</v>
          </cell>
          <cell r="V4873">
            <v>44712</v>
          </cell>
          <cell r="W4873">
            <v>44741</v>
          </cell>
          <cell r="Y4873">
            <v>44662</v>
          </cell>
          <cell r="AC4873">
            <v>44740</v>
          </cell>
        </row>
        <row r="4874">
          <cell r="I4874" t="str">
            <v>EDI</v>
          </cell>
          <cell r="L4874">
            <v>660</v>
          </cell>
          <cell r="N4874" t="str">
            <v>Production</v>
          </cell>
          <cell r="O4874" t="str">
            <v>No</v>
          </cell>
          <cell r="Q4874" t="str">
            <v>Cancelled</v>
          </cell>
          <cell r="R4874">
            <v>44636.524907407409</v>
          </cell>
          <cell r="S4874" t="str">
            <v>Haytham Mohamed</v>
          </cell>
          <cell r="T4874">
            <v>44643</v>
          </cell>
          <cell r="U4874" t="str">
            <v>Billy Smith</v>
          </cell>
          <cell r="V4874">
            <v>44711</v>
          </cell>
          <cell r="W4874">
            <v>44727</v>
          </cell>
          <cell r="Y4874">
            <v>44642</v>
          </cell>
          <cell r="AC4874">
            <v>44721</v>
          </cell>
        </row>
        <row r="4875">
          <cell r="I4875" t="str">
            <v>EDI</v>
          </cell>
          <cell r="L4875">
            <v>618</v>
          </cell>
          <cell r="N4875" t="str">
            <v>Production</v>
          </cell>
          <cell r="O4875" t="str">
            <v>eBenefits Network</v>
          </cell>
          <cell r="P4875" t="str">
            <v>Production</v>
          </cell>
          <cell r="Q4875" t="str">
            <v>Cancelled</v>
          </cell>
          <cell r="R4875">
            <v>44636.498842592591</v>
          </cell>
          <cell r="S4875" t="str">
            <v>Amira Elshora Old Account</v>
          </cell>
          <cell r="T4875">
            <v>44638</v>
          </cell>
          <cell r="U4875" t="str">
            <v>Billy Smith</v>
          </cell>
          <cell r="V4875">
            <v>44640</v>
          </cell>
          <cell r="W4875">
            <v>25569</v>
          </cell>
          <cell r="AC4875">
            <v>44679</v>
          </cell>
        </row>
        <row r="4876">
          <cell r="I4876" t="str">
            <v>EDI</v>
          </cell>
          <cell r="L4876">
            <v>752</v>
          </cell>
          <cell r="N4876" t="str">
            <v>Production</v>
          </cell>
          <cell r="O4876" t="str">
            <v>No</v>
          </cell>
          <cell r="Q4876" t="str">
            <v>Cancelled</v>
          </cell>
          <cell r="R4876">
            <v>44635.736168981479</v>
          </cell>
          <cell r="S4876" t="str">
            <v>Mina George Old Account</v>
          </cell>
          <cell r="T4876">
            <v>44658</v>
          </cell>
          <cell r="U4876" t="str">
            <v>Vicky Wright</v>
          </cell>
          <cell r="V4876">
            <v>44663</v>
          </cell>
          <cell r="W4876">
            <v>44698</v>
          </cell>
          <cell r="Y4876">
            <v>44658</v>
          </cell>
          <cell r="AC4876">
            <v>44693</v>
          </cell>
        </row>
        <row r="4877">
          <cell r="I4877" t="str">
            <v>EDI</v>
          </cell>
          <cell r="L4877">
            <v>599</v>
          </cell>
          <cell r="N4877" t="str">
            <v>Production</v>
          </cell>
          <cell r="O4877" t="str">
            <v>No</v>
          </cell>
          <cell r="Q4877" t="str">
            <v>Cancelled</v>
          </cell>
          <cell r="R4877">
            <v>44635.736168981479</v>
          </cell>
          <cell r="S4877" t="str">
            <v>Omar Elmahalwy Old Account</v>
          </cell>
          <cell r="T4877">
            <v>44637</v>
          </cell>
          <cell r="U4877" t="str">
            <v>Vicky Wright</v>
          </cell>
          <cell r="V4877">
            <v>44671</v>
          </cell>
          <cell r="W4877">
            <v>44677</v>
          </cell>
          <cell r="Y4877">
            <v>44636</v>
          </cell>
          <cell r="AC4877">
            <v>44672</v>
          </cell>
        </row>
        <row r="4878">
          <cell r="I4878" t="str">
            <v>EDI</v>
          </cell>
          <cell r="L4878">
            <v>754</v>
          </cell>
          <cell r="N4878" t="str">
            <v>Production</v>
          </cell>
          <cell r="O4878" t="str">
            <v>No</v>
          </cell>
          <cell r="Q4878" t="str">
            <v>Live</v>
          </cell>
          <cell r="R4878">
            <v>44635.736157407409</v>
          </cell>
          <cell r="S4878" t="str">
            <v>Ahmed Sami Old Account</v>
          </cell>
          <cell r="T4878">
            <v>44647</v>
          </cell>
          <cell r="U4878" t="str">
            <v>Vicky Wright</v>
          </cell>
          <cell r="V4878">
            <v>44686</v>
          </cell>
          <cell r="W4878">
            <v>44727</v>
          </cell>
          <cell r="Y4878">
            <v>44644</v>
          </cell>
          <cell r="AC4878">
            <v>44726</v>
          </cell>
        </row>
        <row r="4879">
          <cell r="I4879" t="str">
            <v>EDI</v>
          </cell>
          <cell r="L4879">
            <v>813</v>
          </cell>
          <cell r="N4879" t="str">
            <v>Production</v>
          </cell>
          <cell r="O4879" t="str">
            <v>No</v>
          </cell>
          <cell r="Q4879" t="str">
            <v>Cancelled</v>
          </cell>
          <cell r="R4879">
            <v>44634.598553240743</v>
          </cell>
          <cell r="S4879" t="str">
            <v>Mina George Old Account</v>
          </cell>
          <cell r="T4879">
            <v>44671</v>
          </cell>
          <cell r="U4879" t="str">
            <v>Miranda Naeem</v>
          </cell>
          <cell r="V4879">
            <v>44686</v>
          </cell>
          <cell r="W4879">
            <v>44761</v>
          </cell>
          <cell r="Y4879">
            <v>44670</v>
          </cell>
          <cell r="AC4879">
            <v>44754</v>
          </cell>
        </row>
        <row r="4880">
          <cell r="I4880" t="str">
            <v>EDI</v>
          </cell>
          <cell r="L4880">
            <v>585</v>
          </cell>
          <cell r="N4880" t="str">
            <v>Production</v>
          </cell>
          <cell r="O4880" t="str">
            <v>eBenefits Network</v>
          </cell>
          <cell r="P4880" t="str">
            <v>Production</v>
          </cell>
          <cell r="Q4880" t="str">
            <v>Live</v>
          </cell>
          <cell r="R4880">
            <v>44634.390023148153</v>
          </cell>
          <cell r="S4880" t="str">
            <v>Amira Elshora Old Account</v>
          </cell>
          <cell r="T4880">
            <v>44635</v>
          </cell>
          <cell r="U4880" t="str">
            <v>Billy Smith</v>
          </cell>
          <cell r="V4880">
            <v>44641</v>
          </cell>
          <cell r="W4880">
            <v>44683</v>
          </cell>
          <cell r="AC4880">
            <v>44679</v>
          </cell>
        </row>
        <row r="4881">
          <cell r="I4881" t="str">
            <v>EDI</v>
          </cell>
          <cell r="N4881" t="str">
            <v>Production</v>
          </cell>
          <cell r="O4881" t="str">
            <v>No</v>
          </cell>
          <cell r="Q4881" t="str">
            <v>Cancelled</v>
          </cell>
          <cell r="R4881">
            <v>44631.728912037041</v>
          </cell>
          <cell r="S4881" t="str">
            <v>Ahmed Sami Old Account</v>
          </cell>
          <cell r="T4881">
            <v>44642</v>
          </cell>
          <cell r="U4881" t="str">
            <v>Miranda Naeem</v>
          </cell>
          <cell r="Y4881">
            <v>44641</v>
          </cell>
          <cell r="AC4881">
            <v>44860</v>
          </cell>
        </row>
        <row r="4882">
          <cell r="I4882" t="str">
            <v>EDI</v>
          </cell>
          <cell r="L4882">
            <v>909</v>
          </cell>
          <cell r="N4882" t="str">
            <v>Production</v>
          </cell>
          <cell r="O4882" t="str">
            <v>No</v>
          </cell>
          <cell r="Q4882" t="str">
            <v>Cancelled</v>
          </cell>
          <cell r="R4882">
            <v>44631.618518518517</v>
          </cell>
          <cell r="S4882" t="str">
            <v>Omar Elmahalwy Old Account</v>
          </cell>
          <cell r="T4882">
            <v>44689</v>
          </cell>
          <cell r="U4882" t="str">
            <v>Miranda Naeem</v>
          </cell>
          <cell r="V4882">
            <v>44728</v>
          </cell>
          <cell r="W4882">
            <v>44764</v>
          </cell>
          <cell r="Y4882">
            <v>44689</v>
          </cell>
          <cell r="AC4882">
            <v>44757</v>
          </cell>
        </row>
        <row r="4883">
          <cell r="I4883" t="str">
            <v>EDI</v>
          </cell>
          <cell r="L4883">
            <v>694</v>
          </cell>
          <cell r="N4883" t="str">
            <v>Testing</v>
          </cell>
          <cell r="O4883" t="str">
            <v>No</v>
          </cell>
          <cell r="Q4883" t="str">
            <v>Cancelled</v>
          </cell>
          <cell r="R4883">
            <v>44631.606006944443</v>
          </cell>
          <cell r="S4883" t="str">
            <v>Mina George</v>
          </cell>
          <cell r="T4883">
            <v>44889</v>
          </cell>
          <cell r="U4883" t="str">
            <v>Miranda Naeem</v>
          </cell>
          <cell r="V4883">
            <v>44691</v>
          </cell>
          <cell r="Y4883">
            <v>44648</v>
          </cell>
        </row>
        <row r="4884">
          <cell r="I4884" t="str">
            <v>EDI</v>
          </cell>
          <cell r="L4884">
            <v>657</v>
          </cell>
          <cell r="N4884" t="str">
            <v>Testing</v>
          </cell>
          <cell r="O4884" t="str">
            <v>No</v>
          </cell>
          <cell r="Q4884" t="str">
            <v>Cancelled</v>
          </cell>
          <cell r="R4884">
            <v>44631.606006944443</v>
          </cell>
          <cell r="S4884" t="str">
            <v>Omar Elmahalwy</v>
          </cell>
          <cell r="T4884">
            <v>44889</v>
          </cell>
          <cell r="U4884" t="str">
            <v>Miranda Naeem</v>
          </cell>
          <cell r="V4884">
            <v>44697</v>
          </cell>
          <cell r="Y4884">
            <v>44642</v>
          </cell>
        </row>
        <row r="4885">
          <cell r="I4885" t="str">
            <v>EDI</v>
          </cell>
          <cell r="L4885">
            <v>620</v>
          </cell>
          <cell r="N4885" t="str">
            <v>Production</v>
          </cell>
          <cell r="O4885" t="str">
            <v>No</v>
          </cell>
          <cell r="Q4885" t="str">
            <v>Cancelled</v>
          </cell>
          <cell r="R4885">
            <v>44631.606006944443</v>
          </cell>
          <cell r="S4885" t="str">
            <v>Joseph Atef Old Account</v>
          </cell>
          <cell r="T4885">
            <v>44637</v>
          </cell>
          <cell r="U4885" t="str">
            <v>Miranda Naeem</v>
          </cell>
          <cell r="V4885">
            <v>44699</v>
          </cell>
          <cell r="W4885">
            <v>44713</v>
          </cell>
          <cell r="Y4885">
            <v>44636</v>
          </cell>
          <cell r="AC4885">
            <v>44710</v>
          </cell>
        </row>
        <row r="4886">
          <cell r="I4886" t="str">
            <v>EDI</v>
          </cell>
          <cell r="L4886">
            <v>637</v>
          </cell>
          <cell r="N4886" t="str">
            <v>Production</v>
          </cell>
          <cell r="O4886" t="str">
            <v>No</v>
          </cell>
          <cell r="Q4886" t="str">
            <v>Cancelled</v>
          </cell>
          <cell r="R4886">
            <v>44631.606006944443</v>
          </cell>
          <cell r="S4886" t="str">
            <v>Mina George Old Account</v>
          </cell>
          <cell r="T4886">
            <v>44642</v>
          </cell>
          <cell r="U4886" t="str">
            <v>Miranda Naeem</v>
          </cell>
          <cell r="V4886">
            <v>44704</v>
          </cell>
          <cell r="W4886">
            <v>44747</v>
          </cell>
          <cell r="Y4886">
            <v>44641</v>
          </cell>
          <cell r="AC4886">
            <v>44740</v>
          </cell>
        </row>
        <row r="4887">
          <cell r="I4887" t="str">
            <v>EDI</v>
          </cell>
          <cell r="N4887" t="str">
            <v>Production</v>
          </cell>
          <cell r="O4887" t="str">
            <v>No</v>
          </cell>
          <cell r="Q4887" t="str">
            <v>Cancelled</v>
          </cell>
          <cell r="R4887">
            <v>44629.759548611109</v>
          </cell>
          <cell r="S4887" t="str">
            <v>Dina Medhat</v>
          </cell>
          <cell r="T4887">
            <v>44629</v>
          </cell>
          <cell r="U4887" t="str">
            <v>Elizabeth Kahle</v>
          </cell>
          <cell r="AC4887">
            <v>44651</v>
          </cell>
        </row>
        <row r="4888">
          <cell r="I4888" t="str">
            <v>EDI</v>
          </cell>
          <cell r="N4888" t="str">
            <v>Production</v>
          </cell>
          <cell r="O4888" t="str">
            <v>No</v>
          </cell>
          <cell r="Q4888" t="str">
            <v>Cancelled</v>
          </cell>
          <cell r="R4888">
            <v>44629.740173611113</v>
          </cell>
          <cell r="S4888" t="str">
            <v>Dina Medhat</v>
          </cell>
          <cell r="T4888">
            <v>44629</v>
          </cell>
          <cell r="U4888" t="str">
            <v>Billy Smith</v>
          </cell>
          <cell r="AC4888">
            <v>44651</v>
          </cell>
        </row>
        <row r="4889">
          <cell r="I4889" t="str">
            <v>EDI</v>
          </cell>
          <cell r="N4889" t="str">
            <v>Production</v>
          </cell>
          <cell r="O4889" t="str">
            <v>No</v>
          </cell>
          <cell r="Q4889" t="str">
            <v>Cancelled</v>
          </cell>
          <cell r="R4889">
            <v>44629.739236111112</v>
          </cell>
          <cell r="S4889" t="str">
            <v>Dina Medhat</v>
          </cell>
          <cell r="T4889">
            <v>44629</v>
          </cell>
          <cell r="U4889" t="str">
            <v>Elizabeth Kahle</v>
          </cell>
          <cell r="AC4889">
            <v>44651</v>
          </cell>
        </row>
        <row r="4890">
          <cell r="I4890" t="str">
            <v>EDI</v>
          </cell>
          <cell r="N4890" t="str">
            <v>Production</v>
          </cell>
          <cell r="O4890" t="str">
            <v>No</v>
          </cell>
          <cell r="Q4890" t="str">
            <v>Cancelled</v>
          </cell>
          <cell r="R4890">
            <v>44629.73773148148</v>
          </cell>
          <cell r="S4890" t="str">
            <v>Dina Medhat</v>
          </cell>
          <cell r="T4890">
            <v>44629</v>
          </cell>
          <cell r="U4890" t="str">
            <v>Billy Smith</v>
          </cell>
          <cell r="AC4890">
            <v>44651</v>
          </cell>
        </row>
        <row r="4891">
          <cell r="I4891" t="str">
            <v>EDI</v>
          </cell>
          <cell r="N4891" t="str">
            <v>Production</v>
          </cell>
          <cell r="O4891" t="str">
            <v>No</v>
          </cell>
          <cell r="Q4891" t="str">
            <v>Cancelled</v>
          </cell>
          <cell r="R4891">
            <v>44629.736851851849</v>
          </cell>
          <cell r="S4891" t="str">
            <v>Dina Medhat</v>
          </cell>
          <cell r="T4891">
            <v>44629</v>
          </cell>
          <cell r="U4891" t="str">
            <v>Elizabeth Kahle</v>
          </cell>
          <cell r="AC4891">
            <v>44651</v>
          </cell>
        </row>
        <row r="4892">
          <cell r="I4892" t="str">
            <v>EDI</v>
          </cell>
          <cell r="N4892" t="str">
            <v>Production</v>
          </cell>
          <cell r="O4892" t="str">
            <v>No</v>
          </cell>
          <cell r="Q4892" t="str">
            <v>Cancelled</v>
          </cell>
          <cell r="R4892">
            <v>44629.735983796287</v>
          </cell>
          <cell r="S4892" t="str">
            <v>Dina Medhat</v>
          </cell>
          <cell r="T4892">
            <v>44629</v>
          </cell>
          <cell r="U4892" t="str">
            <v>Elizabeth Kahle</v>
          </cell>
          <cell r="AC4892">
            <v>44651</v>
          </cell>
        </row>
        <row r="4893">
          <cell r="I4893" t="str">
            <v>EDI</v>
          </cell>
          <cell r="N4893" t="str">
            <v>Production</v>
          </cell>
          <cell r="O4893" t="str">
            <v>No</v>
          </cell>
          <cell r="Q4893" t="str">
            <v>Cancelled</v>
          </cell>
          <cell r="R4893">
            <v>44629.735150462962</v>
          </cell>
          <cell r="S4893" t="str">
            <v>Dina Medhat</v>
          </cell>
          <cell r="T4893">
            <v>44629</v>
          </cell>
          <cell r="U4893" t="str">
            <v>Elizabeth Kahle</v>
          </cell>
          <cell r="AC4893">
            <v>44651</v>
          </cell>
        </row>
        <row r="4894">
          <cell r="I4894" t="str">
            <v>EDI</v>
          </cell>
          <cell r="N4894" t="str">
            <v>Production</v>
          </cell>
          <cell r="O4894" t="str">
            <v>No</v>
          </cell>
          <cell r="Q4894" t="str">
            <v>Cancelled</v>
          </cell>
          <cell r="R4894">
            <v>44629.734189814822</v>
          </cell>
          <cell r="S4894" t="str">
            <v>Dina Medhat</v>
          </cell>
          <cell r="T4894">
            <v>44629</v>
          </cell>
          <cell r="U4894" t="str">
            <v>Elizabeth Kahle</v>
          </cell>
          <cell r="AC4894">
            <v>44651</v>
          </cell>
        </row>
        <row r="4895">
          <cell r="I4895" t="str">
            <v>EDI</v>
          </cell>
          <cell r="N4895" t="str">
            <v>Production</v>
          </cell>
          <cell r="O4895" t="str">
            <v>No</v>
          </cell>
          <cell r="Q4895" t="str">
            <v>Cancelled</v>
          </cell>
          <cell r="R4895">
            <v>44629.732824074083</v>
          </cell>
          <cell r="S4895" t="str">
            <v>Dina Medhat</v>
          </cell>
          <cell r="T4895">
            <v>44629</v>
          </cell>
          <cell r="U4895" t="str">
            <v>Elizabeth Kahle</v>
          </cell>
          <cell r="AC4895">
            <v>44651</v>
          </cell>
        </row>
        <row r="4896">
          <cell r="I4896" t="str">
            <v>EDI</v>
          </cell>
          <cell r="N4896" t="str">
            <v>Production</v>
          </cell>
          <cell r="O4896" t="str">
            <v>No</v>
          </cell>
          <cell r="Q4896" t="str">
            <v>Cancelled</v>
          </cell>
          <cell r="R4896">
            <v>44629.729571759257</v>
          </cell>
          <cell r="S4896" t="str">
            <v>Dina Medhat</v>
          </cell>
          <cell r="T4896">
            <v>44629</v>
          </cell>
          <cell r="U4896" t="str">
            <v>Elizabeth Kahle</v>
          </cell>
          <cell r="AC4896">
            <v>44651</v>
          </cell>
        </row>
        <row r="4897">
          <cell r="I4897" t="str">
            <v>EDI</v>
          </cell>
          <cell r="N4897" t="str">
            <v>Production</v>
          </cell>
          <cell r="O4897" t="str">
            <v>No</v>
          </cell>
          <cell r="Q4897" t="str">
            <v>Cancelled</v>
          </cell>
          <cell r="R4897">
            <v>44628.922743055547</v>
          </cell>
          <cell r="S4897" t="str">
            <v>Dina Medhat</v>
          </cell>
          <cell r="T4897">
            <v>44629</v>
          </cell>
          <cell r="U4897" t="str">
            <v>Elizabeth Kahle</v>
          </cell>
          <cell r="AC4897">
            <v>44651</v>
          </cell>
        </row>
        <row r="4898">
          <cell r="I4898" t="str">
            <v>EDI</v>
          </cell>
          <cell r="N4898" t="str">
            <v>Production</v>
          </cell>
          <cell r="O4898" t="str">
            <v>No</v>
          </cell>
          <cell r="Q4898" t="str">
            <v>Cancelled</v>
          </cell>
          <cell r="R4898">
            <v>44628.91983796296</v>
          </cell>
          <cell r="S4898" t="str">
            <v>Dina Medhat</v>
          </cell>
          <cell r="T4898">
            <v>44629</v>
          </cell>
          <cell r="U4898" t="str">
            <v>Elizabeth Kahle</v>
          </cell>
          <cell r="AC4898">
            <v>44651</v>
          </cell>
        </row>
        <row r="4899">
          <cell r="I4899" t="str">
            <v>EDI</v>
          </cell>
          <cell r="N4899" t="str">
            <v>Production</v>
          </cell>
          <cell r="O4899" t="str">
            <v>No</v>
          </cell>
          <cell r="Q4899" t="str">
            <v>Cancelled</v>
          </cell>
          <cell r="R4899">
            <v>44628.918981481482</v>
          </cell>
          <cell r="S4899" t="str">
            <v>Dina Medhat</v>
          </cell>
          <cell r="T4899">
            <v>44629</v>
          </cell>
          <cell r="U4899" t="str">
            <v>Elizabeth Kahle</v>
          </cell>
          <cell r="AC4899">
            <v>44651</v>
          </cell>
        </row>
        <row r="4900">
          <cell r="I4900" t="str">
            <v>EDI</v>
          </cell>
          <cell r="N4900" t="str">
            <v>Production</v>
          </cell>
          <cell r="O4900" t="str">
            <v>No</v>
          </cell>
          <cell r="Q4900" t="str">
            <v>Cancelled</v>
          </cell>
          <cell r="R4900">
            <v>44628.917395833327</v>
          </cell>
          <cell r="S4900" t="str">
            <v>Dina Medhat</v>
          </cell>
          <cell r="T4900">
            <v>44629</v>
          </cell>
          <cell r="U4900" t="str">
            <v>Elizabeth Kahle</v>
          </cell>
          <cell r="AC4900">
            <v>44651</v>
          </cell>
        </row>
        <row r="4901">
          <cell r="I4901" t="str">
            <v>EDI</v>
          </cell>
          <cell r="N4901" t="str">
            <v>Production</v>
          </cell>
          <cell r="O4901" t="str">
            <v>No</v>
          </cell>
          <cell r="Q4901" t="str">
            <v>Cancelled</v>
          </cell>
          <cell r="R4901">
            <v>44628.916203703702</v>
          </cell>
          <cell r="S4901" t="str">
            <v>Dina Medhat</v>
          </cell>
          <cell r="T4901">
            <v>44629</v>
          </cell>
          <cell r="U4901" t="str">
            <v>Elizabeth Kahle</v>
          </cell>
          <cell r="AC4901">
            <v>44651</v>
          </cell>
        </row>
        <row r="4902">
          <cell r="I4902" t="str">
            <v>EDI</v>
          </cell>
          <cell r="N4902" t="str">
            <v>Production</v>
          </cell>
          <cell r="O4902" t="str">
            <v>No</v>
          </cell>
          <cell r="Q4902" t="str">
            <v>Cancelled</v>
          </cell>
          <cell r="R4902">
            <v>44628.912106481483</v>
          </cell>
          <cell r="S4902" t="str">
            <v>Dina Medhat</v>
          </cell>
          <cell r="T4902">
            <v>44629</v>
          </cell>
          <cell r="U4902" t="str">
            <v>Elizabeth Kahle</v>
          </cell>
          <cell r="AC4902">
            <v>44651</v>
          </cell>
        </row>
        <row r="4903">
          <cell r="I4903" t="str">
            <v>EDI</v>
          </cell>
          <cell r="N4903" t="str">
            <v>Production</v>
          </cell>
          <cell r="O4903" t="str">
            <v>No</v>
          </cell>
          <cell r="Q4903" t="str">
            <v>Cancelled</v>
          </cell>
          <cell r="R4903">
            <v>44628.910810185182</v>
          </cell>
          <cell r="S4903" t="str">
            <v>Mina Adel Old Account</v>
          </cell>
          <cell r="T4903">
            <v>44629</v>
          </cell>
          <cell r="U4903" t="str">
            <v>Elizabeth Kahle</v>
          </cell>
          <cell r="AC4903">
            <v>44651</v>
          </cell>
        </row>
        <row r="4904">
          <cell r="I4904" t="str">
            <v>EDI</v>
          </cell>
          <cell r="L4904">
            <v>705</v>
          </cell>
          <cell r="N4904" t="str">
            <v>Production</v>
          </cell>
          <cell r="O4904" t="str">
            <v>No</v>
          </cell>
          <cell r="Q4904" t="str">
            <v>Live</v>
          </cell>
          <cell r="R4904">
            <v>44628.811192129629</v>
          </cell>
          <cell r="S4904" t="str">
            <v>Mina George Old Account</v>
          </cell>
          <cell r="T4904">
            <v>44650</v>
          </cell>
          <cell r="U4904" t="str">
            <v>Miranda Naeem</v>
          </cell>
          <cell r="V4904">
            <v>44670</v>
          </cell>
          <cell r="W4904">
            <v>44708</v>
          </cell>
          <cell r="Y4904">
            <v>44649</v>
          </cell>
          <cell r="AC4904">
            <v>44706</v>
          </cell>
        </row>
        <row r="4905">
          <cell r="I4905" t="str">
            <v>EDI</v>
          </cell>
          <cell r="L4905">
            <v>776</v>
          </cell>
          <cell r="N4905" t="str">
            <v>Production</v>
          </cell>
          <cell r="O4905" t="str">
            <v>No</v>
          </cell>
          <cell r="Q4905" t="str">
            <v>Cancelled</v>
          </cell>
          <cell r="R4905">
            <v>44628.791064814817</v>
          </cell>
          <cell r="S4905" t="str">
            <v>Haytham Mohamed</v>
          </cell>
          <cell r="T4905">
            <v>44658</v>
          </cell>
          <cell r="U4905" t="str">
            <v>Vicky Wright</v>
          </cell>
          <cell r="V4905">
            <v>44691</v>
          </cell>
          <cell r="W4905">
            <v>44720</v>
          </cell>
          <cell r="Y4905">
            <v>44657</v>
          </cell>
          <cell r="AC4905">
            <v>44716</v>
          </cell>
        </row>
        <row r="4906">
          <cell r="I4906" t="str">
            <v>EDI</v>
          </cell>
          <cell r="L4906">
            <v>621</v>
          </cell>
          <cell r="N4906" t="str">
            <v>Production</v>
          </cell>
          <cell r="O4906" t="str">
            <v>No</v>
          </cell>
          <cell r="Q4906" t="str">
            <v>Cancelled</v>
          </cell>
          <cell r="R4906">
            <v>44628.623078703713</v>
          </cell>
          <cell r="S4906" t="str">
            <v>Joseph Atef Old Account</v>
          </cell>
          <cell r="T4906">
            <v>44640</v>
          </cell>
          <cell r="U4906" t="str">
            <v>Billy Smith</v>
          </cell>
          <cell r="V4906">
            <v>44693</v>
          </cell>
          <cell r="W4906">
            <v>44706</v>
          </cell>
          <cell r="Y4906">
            <v>44637</v>
          </cell>
          <cell r="AC4906">
            <v>44700</v>
          </cell>
        </row>
        <row r="4907">
          <cell r="I4907" t="str">
            <v>EDI</v>
          </cell>
          <cell r="L4907">
            <v>595</v>
          </cell>
          <cell r="N4907" t="str">
            <v>Production</v>
          </cell>
          <cell r="O4907" t="str">
            <v>No</v>
          </cell>
          <cell r="Q4907" t="str">
            <v>Cancelled</v>
          </cell>
          <cell r="R4907">
            <v>44628.623067129629</v>
          </cell>
          <cell r="S4907" t="str">
            <v>Ahmed Sami Old Account</v>
          </cell>
          <cell r="T4907">
            <v>44631</v>
          </cell>
          <cell r="U4907" t="str">
            <v>Billy Smith</v>
          </cell>
          <cell r="V4907">
            <v>44656</v>
          </cell>
          <cell r="W4907">
            <v>44762</v>
          </cell>
          <cell r="Y4907">
            <v>44629</v>
          </cell>
          <cell r="AC4907">
            <v>44756</v>
          </cell>
        </row>
        <row r="4908">
          <cell r="I4908" t="str">
            <v>EDI</v>
          </cell>
          <cell r="L4908">
            <v>1461</v>
          </cell>
          <cell r="N4908" t="str">
            <v>Testing</v>
          </cell>
          <cell r="O4908" t="str">
            <v>No</v>
          </cell>
          <cell r="Q4908" t="str">
            <v>Cancelled</v>
          </cell>
          <cell r="R4908">
            <v>44627.882395833331</v>
          </cell>
          <cell r="S4908" t="str">
            <v>Joseph Atef</v>
          </cell>
          <cell r="T4908">
            <v>44888</v>
          </cell>
          <cell r="U4908" t="str">
            <v>Miranda Naeem</v>
          </cell>
          <cell r="Y4908">
            <v>44798</v>
          </cell>
        </row>
        <row r="4909">
          <cell r="I4909" t="str">
            <v>EDI</v>
          </cell>
          <cell r="L4909">
            <v>629</v>
          </cell>
          <cell r="N4909" t="str">
            <v>Production</v>
          </cell>
          <cell r="O4909" t="str">
            <v>No</v>
          </cell>
          <cell r="Q4909" t="str">
            <v>Cancelled</v>
          </cell>
          <cell r="R4909">
            <v>44627.720717592587</v>
          </cell>
          <cell r="S4909" t="str">
            <v>Haytham Mohamed</v>
          </cell>
          <cell r="T4909">
            <v>44640</v>
          </cell>
          <cell r="U4909" t="str">
            <v>Miranda Naeem</v>
          </cell>
          <cell r="V4909">
            <v>44648</v>
          </cell>
          <cell r="W4909">
            <v>44670</v>
          </cell>
          <cell r="Y4909">
            <v>44637</v>
          </cell>
          <cell r="AC4909">
            <v>44664</v>
          </cell>
        </row>
        <row r="4910">
          <cell r="I4910" t="str">
            <v>EDI</v>
          </cell>
          <cell r="L4910">
            <v>562</v>
          </cell>
          <cell r="N4910" t="str">
            <v>Production</v>
          </cell>
          <cell r="O4910" t="str">
            <v>No</v>
          </cell>
          <cell r="Q4910" t="str">
            <v>Cancelled</v>
          </cell>
          <cell r="R4910">
            <v>44627.572627314818</v>
          </cell>
          <cell r="S4910" t="str">
            <v>Mina George Old Account</v>
          </cell>
          <cell r="T4910">
            <v>44812</v>
          </cell>
          <cell r="U4910" t="str">
            <v>Denise Stubenvoll</v>
          </cell>
          <cell r="V4910">
            <v>44718</v>
          </cell>
          <cell r="W4910">
            <v>44888</v>
          </cell>
          <cell r="Y4910">
            <v>44629</v>
          </cell>
          <cell r="AC4910">
            <v>44881</v>
          </cell>
        </row>
        <row r="4911">
          <cell r="I4911" t="str">
            <v>EDI</v>
          </cell>
          <cell r="N4911" t="str">
            <v>Requirements Gathering</v>
          </cell>
          <cell r="O4911" t="str">
            <v>No</v>
          </cell>
          <cell r="Q4911" t="str">
            <v>Cancelled</v>
          </cell>
          <cell r="R4911">
            <v>44624.799201388887</v>
          </cell>
          <cell r="S4911" t="str">
            <v>Sandra Adel</v>
          </cell>
          <cell r="T4911">
            <v>44626</v>
          </cell>
          <cell r="U4911" t="str">
            <v>Billy Smith</v>
          </cell>
        </row>
        <row r="4912">
          <cell r="I4912" t="str">
            <v>EDI</v>
          </cell>
          <cell r="L4912">
            <v>579</v>
          </cell>
          <cell r="N4912" t="str">
            <v>Production</v>
          </cell>
          <cell r="O4912" t="str">
            <v>No</v>
          </cell>
          <cell r="Q4912" t="str">
            <v>Cancelled</v>
          </cell>
          <cell r="R4912">
            <v>44623.872789351852</v>
          </cell>
          <cell r="S4912" t="str">
            <v>Haytham Mohamed</v>
          </cell>
          <cell r="T4912">
            <v>44631</v>
          </cell>
          <cell r="U4912" t="str">
            <v>Miranda Naeem</v>
          </cell>
          <cell r="V4912">
            <v>44656</v>
          </cell>
          <cell r="W4912">
            <v>44717</v>
          </cell>
          <cell r="Y4912">
            <v>44630</v>
          </cell>
          <cell r="AC4912">
            <v>44704</v>
          </cell>
        </row>
        <row r="4913">
          <cell r="I4913" t="str">
            <v>EDI</v>
          </cell>
          <cell r="L4913">
            <v>537</v>
          </cell>
          <cell r="N4913" t="str">
            <v>Production</v>
          </cell>
          <cell r="O4913" t="str">
            <v>No</v>
          </cell>
          <cell r="Q4913" t="str">
            <v>Cancelled</v>
          </cell>
          <cell r="R4913">
            <v>44623.872789351852</v>
          </cell>
          <cell r="S4913" t="str">
            <v>Aya Fathy</v>
          </cell>
          <cell r="T4913">
            <v>44760</v>
          </cell>
          <cell r="U4913" t="str">
            <v>Miranda Naeem</v>
          </cell>
          <cell r="V4913">
            <v>44677</v>
          </cell>
          <cell r="W4913">
            <v>25569</v>
          </cell>
          <cell r="Y4913">
            <v>44627</v>
          </cell>
          <cell r="AC4913">
            <v>44854</v>
          </cell>
        </row>
        <row r="4914">
          <cell r="I4914" t="str">
            <v>EDI</v>
          </cell>
          <cell r="L4914">
            <v>697</v>
          </cell>
          <cell r="N4914" t="str">
            <v>Production</v>
          </cell>
          <cell r="O4914" t="str">
            <v>No</v>
          </cell>
          <cell r="Q4914" t="str">
            <v>Cancelled</v>
          </cell>
          <cell r="R4914">
            <v>44623.852303240739</v>
          </cell>
          <cell r="S4914" t="str">
            <v>Haytham Mohamed</v>
          </cell>
          <cell r="T4914">
            <v>44647</v>
          </cell>
          <cell r="U4914" t="str">
            <v>Miranda Naeem</v>
          </cell>
          <cell r="V4914">
            <v>44657</v>
          </cell>
          <cell r="W4914">
            <v>44677</v>
          </cell>
          <cell r="Y4914">
            <v>44644</v>
          </cell>
          <cell r="AC4914">
            <v>44667</v>
          </cell>
        </row>
        <row r="4915">
          <cell r="I4915" t="str">
            <v>EDI</v>
          </cell>
          <cell r="L4915">
            <v>548</v>
          </cell>
          <cell r="N4915" t="str">
            <v>Production</v>
          </cell>
          <cell r="O4915" t="str">
            <v>No</v>
          </cell>
          <cell r="Q4915" t="str">
            <v>Live</v>
          </cell>
          <cell r="R4915">
            <v>44623.852303240739</v>
          </cell>
          <cell r="S4915" t="str">
            <v>Mina George Old Account</v>
          </cell>
          <cell r="T4915">
            <v>44629</v>
          </cell>
          <cell r="U4915" t="str">
            <v>Miranda Naeem</v>
          </cell>
          <cell r="V4915">
            <v>44684</v>
          </cell>
          <cell r="W4915">
            <v>44691</v>
          </cell>
          <cell r="Y4915">
            <v>44628</v>
          </cell>
          <cell r="AC4915">
            <v>44685</v>
          </cell>
        </row>
        <row r="4916">
          <cell r="I4916" t="str">
            <v>EDI</v>
          </cell>
          <cell r="L4916">
            <v>594</v>
          </cell>
          <cell r="N4916" t="str">
            <v>Production</v>
          </cell>
          <cell r="O4916" t="str">
            <v>No</v>
          </cell>
          <cell r="Q4916" t="str">
            <v>Cancelled</v>
          </cell>
          <cell r="R4916">
            <v>44623.85229166667</v>
          </cell>
          <cell r="S4916" t="str">
            <v>Omar Elmahalwy Old Account</v>
          </cell>
          <cell r="T4916">
            <v>44636</v>
          </cell>
          <cell r="U4916" t="str">
            <v>Miranda Naeem</v>
          </cell>
          <cell r="V4916">
            <v>44656</v>
          </cell>
          <cell r="W4916">
            <v>44747</v>
          </cell>
          <cell r="Y4916">
            <v>44635</v>
          </cell>
          <cell r="AC4916">
            <v>44745</v>
          </cell>
        </row>
        <row r="4917">
          <cell r="I4917" t="str">
            <v>EDI</v>
          </cell>
          <cell r="L4917">
            <v>539</v>
          </cell>
          <cell r="N4917" t="str">
            <v>Production</v>
          </cell>
          <cell r="O4917" t="str">
            <v>No</v>
          </cell>
          <cell r="Q4917" t="str">
            <v>Live</v>
          </cell>
          <cell r="R4917">
            <v>44623.85229166667</v>
          </cell>
          <cell r="S4917" t="str">
            <v>Fady Bassel</v>
          </cell>
          <cell r="T4917">
            <v>44629</v>
          </cell>
          <cell r="U4917" t="str">
            <v>Miranda Naeem</v>
          </cell>
          <cell r="V4917">
            <v>44631</v>
          </cell>
          <cell r="W4917">
            <v>44649</v>
          </cell>
          <cell r="Y4917">
            <v>44628</v>
          </cell>
          <cell r="AC4917">
            <v>44643</v>
          </cell>
        </row>
        <row r="4918">
          <cell r="I4918" t="str">
            <v>EDI</v>
          </cell>
          <cell r="L4918">
            <v>719</v>
          </cell>
          <cell r="N4918" t="str">
            <v>Production</v>
          </cell>
          <cell r="O4918" t="str">
            <v>No</v>
          </cell>
          <cell r="Q4918" t="str">
            <v>Cancelled</v>
          </cell>
          <cell r="R4918">
            <v>44623.85229166667</v>
          </cell>
          <cell r="S4918" t="str">
            <v>Joseph Atef Old Account</v>
          </cell>
          <cell r="T4918">
            <v>44650</v>
          </cell>
          <cell r="U4918" t="str">
            <v>Miranda Naeem</v>
          </cell>
          <cell r="V4918">
            <v>44658</v>
          </cell>
          <cell r="W4918">
            <v>25569</v>
          </cell>
          <cell r="Y4918">
            <v>44650</v>
          </cell>
          <cell r="AC4918">
            <v>44680</v>
          </cell>
        </row>
        <row r="4919">
          <cell r="I4919" t="str">
            <v>EDI</v>
          </cell>
          <cell r="L4919">
            <v>554</v>
          </cell>
          <cell r="N4919" t="str">
            <v>Testing</v>
          </cell>
          <cell r="O4919" t="str">
            <v>Everything Benefits</v>
          </cell>
          <cell r="P4919" t="str">
            <v>Phase 3</v>
          </cell>
          <cell r="Q4919" t="str">
            <v>Cancelled</v>
          </cell>
          <cell r="R4919">
            <v>44623.454965277779</v>
          </cell>
          <cell r="S4919" t="str">
            <v>Mahmoud Heidar</v>
          </cell>
          <cell r="T4919">
            <v>44623</v>
          </cell>
          <cell r="U4919" t="str">
            <v>Billy Smith</v>
          </cell>
          <cell r="V4919">
            <v>44875</v>
          </cell>
        </row>
        <row r="4920">
          <cell r="I4920" t="str">
            <v>EDI</v>
          </cell>
          <cell r="L4920">
            <v>513</v>
          </cell>
          <cell r="N4920" t="str">
            <v>Testing</v>
          </cell>
          <cell r="O4920" t="str">
            <v>Everything Benefits</v>
          </cell>
          <cell r="P4920" t="str">
            <v>Migration Testing</v>
          </cell>
          <cell r="Q4920" t="str">
            <v>Cancelled</v>
          </cell>
          <cell r="R4920">
            <v>44623.397615740738</v>
          </cell>
          <cell r="S4920" t="str">
            <v>Mohamed Abdelhamed</v>
          </cell>
          <cell r="T4920">
            <v>44623</v>
          </cell>
          <cell r="U4920" t="str">
            <v>Billy Smith</v>
          </cell>
          <cell r="V4920">
            <v>44629</v>
          </cell>
        </row>
        <row r="4921">
          <cell r="I4921" t="str">
            <v>EDI</v>
          </cell>
          <cell r="L4921">
            <v>628</v>
          </cell>
          <cell r="N4921" t="str">
            <v>Testing</v>
          </cell>
          <cell r="O4921" t="str">
            <v>No</v>
          </cell>
          <cell r="Q4921" t="str">
            <v>Cancelled</v>
          </cell>
          <cell r="R4921">
            <v>44622.904143518521</v>
          </cell>
          <cell r="S4921" t="str">
            <v>Mina Adel</v>
          </cell>
          <cell r="T4921">
            <v>44888</v>
          </cell>
          <cell r="U4921" t="str">
            <v>Denise Stubenvoll</v>
          </cell>
          <cell r="V4921">
            <v>44724</v>
          </cell>
          <cell r="Y4921">
            <v>44637</v>
          </cell>
        </row>
        <row r="4922">
          <cell r="I4922" t="str">
            <v>EDI</v>
          </cell>
          <cell r="L4922">
            <v>529</v>
          </cell>
          <cell r="N4922" t="str">
            <v>Production</v>
          </cell>
          <cell r="O4922" t="str">
            <v>No</v>
          </cell>
          <cell r="Q4922" t="str">
            <v>Cancelled</v>
          </cell>
          <cell r="R4922">
            <v>44622.686307870368</v>
          </cell>
          <cell r="S4922" t="str">
            <v>Haytham Mohamed</v>
          </cell>
          <cell r="T4922">
            <v>44627</v>
          </cell>
          <cell r="U4922" t="str">
            <v>Miranda Naeem</v>
          </cell>
          <cell r="V4922">
            <v>44657</v>
          </cell>
          <cell r="W4922">
            <v>45055</v>
          </cell>
          <cell r="Y4922">
            <v>44626</v>
          </cell>
          <cell r="AC4922">
            <v>45049</v>
          </cell>
        </row>
        <row r="4923">
          <cell r="I4923" t="str">
            <v>EDI</v>
          </cell>
          <cell r="N4923" t="str">
            <v>Requirements Gathering</v>
          </cell>
          <cell r="O4923" t="str">
            <v>No</v>
          </cell>
          <cell r="Q4923" t="str">
            <v>Cancelled</v>
          </cell>
          <cell r="R4923">
            <v>44622.686307870368</v>
          </cell>
          <cell r="S4923" t="str">
            <v>Sandra Adel</v>
          </cell>
          <cell r="T4923">
            <v>44622</v>
          </cell>
          <cell r="U4923" t="str">
            <v>Miranda Naeem</v>
          </cell>
        </row>
        <row r="4924">
          <cell r="I4924" t="str">
            <v>EDI</v>
          </cell>
          <cell r="L4924">
            <v>543</v>
          </cell>
          <cell r="N4924" t="str">
            <v>Production</v>
          </cell>
          <cell r="O4924" t="str">
            <v>No</v>
          </cell>
          <cell r="Q4924" t="str">
            <v>Cancelled</v>
          </cell>
          <cell r="R4924">
            <v>44622.599675925929</v>
          </cell>
          <cell r="S4924" t="str">
            <v>Mohamed Samy</v>
          </cell>
          <cell r="T4924">
            <v>44627</v>
          </cell>
          <cell r="V4924">
            <v>44643</v>
          </cell>
          <cell r="W4924">
            <v>44656</v>
          </cell>
          <cell r="Y4924">
            <v>44626</v>
          </cell>
          <cell r="AC4924">
            <v>44651</v>
          </cell>
        </row>
        <row r="4925">
          <cell r="I4925" t="str">
            <v>EDI</v>
          </cell>
          <cell r="L4925">
            <v>504</v>
          </cell>
          <cell r="N4925" t="str">
            <v>Production</v>
          </cell>
          <cell r="O4925" t="str">
            <v>No</v>
          </cell>
          <cell r="Q4925" t="str">
            <v>Cancelled</v>
          </cell>
          <cell r="R4925">
            <v>44620.912395833337</v>
          </cell>
          <cell r="S4925" t="str">
            <v>Omar Elmahalwy Old Account</v>
          </cell>
          <cell r="T4925">
            <v>44622</v>
          </cell>
          <cell r="U4925" t="str">
            <v>Billy Smith</v>
          </cell>
          <cell r="W4925">
            <v>44684</v>
          </cell>
          <cell r="Y4925">
            <v>44621</v>
          </cell>
          <cell r="AC4925">
            <v>44684</v>
          </cell>
        </row>
        <row r="4926">
          <cell r="I4926" t="str">
            <v>EDI</v>
          </cell>
          <cell r="L4926">
            <v>517</v>
          </cell>
          <cell r="N4926" t="str">
            <v>Production</v>
          </cell>
          <cell r="O4926" t="str">
            <v>No</v>
          </cell>
          <cell r="Q4926" t="str">
            <v>Live</v>
          </cell>
          <cell r="R4926">
            <v>44620.869467592587</v>
          </cell>
          <cell r="S4926" t="str">
            <v>Mina George Old Account</v>
          </cell>
          <cell r="T4926">
            <v>44623</v>
          </cell>
          <cell r="U4926" t="str">
            <v>Miranda Naeem</v>
          </cell>
          <cell r="V4926">
            <v>44648</v>
          </cell>
          <cell r="W4926">
            <v>44663</v>
          </cell>
          <cell r="Y4926">
            <v>44622</v>
          </cell>
          <cell r="AC4926">
            <v>44656</v>
          </cell>
        </row>
        <row r="4927">
          <cell r="I4927" t="str">
            <v>EDI</v>
          </cell>
          <cell r="L4927">
            <v>659</v>
          </cell>
          <cell r="N4927" t="str">
            <v>Production</v>
          </cell>
          <cell r="O4927" t="str">
            <v>No</v>
          </cell>
          <cell r="Q4927" t="str">
            <v>Cancelled</v>
          </cell>
          <cell r="R4927">
            <v>44620.857256944437</v>
          </cell>
          <cell r="S4927" t="str">
            <v>Mina George Old Account</v>
          </cell>
          <cell r="T4927">
            <v>44643</v>
          </cell>
          <cell r="U4927" t="str">
            <v>Miranda Naeem</v>
          </cell>
          <cell r="V4927">
            <v>44645</v>
          </cell>
          <cell r="W4927">
            <v>44670</v>
          </cell>
          <cell r="Y4927">
            <v>44642</v>
          </cell>
          <cell r="AC4927">
            <v>44659</v>
          </cell>
        </row>
        <row r="4928">
          <cell r="I4928" t="str">
            <v>EDI</v>
          </cell>
          <cell r="L4928">
            <v>574</v>
          </cell>
          <cell r="N4928" t="str">
            <v>Production</v>
          </cell>
          <cell r="O4928" t="str">
            <v>No</v>
          </cell>
          <cell r="Q4928" t="str">
            <v>Cancelled</v>
          </cell>
          <cell r="R4928">
            <v>44617.664178240739</v>
          </cell>
          <cell r="S4928" t="str">
            <v>Mina Adel Old Account</v>
          </cell>
          <cell r="T4928">
            <v>44631</v>
          </cell>
          <cell r="V4928">
            <v>44645</v>
          </cell>
          <cell r="W4928">
            <v>44663</v>
          </cell>
          <cell r="Y4928">
            <v>44630</v>
          </cell>
          <cell r="AC4928">
            <v>44657</v>
          </cell>
        </row>
        <row r="4929">
          <cell r="I4929" t="str">
            <v>EDI</v>
          </cell>
          <cell r="L4929">
            <v>669</v>
          </cell>
          <cell r="N4929" t="str">
            <v>Production</v>
          </cell>
          <cell r="O4929" t="str">
            <v>No</v>
          </cell>
          <cell r="Q4929" t="str">
            <v>Cancelled</v>
          </cell>
          <cell r="R4929">
            <v>44616.866875</v>
          </cell>
          <cell r="S4929" t="str">
            <v>Omnia Abdelaziz</v>
          </cell>
          <cell r="T4929">
            <v>44892</v>
          </cell>
          <cell r="U4929" t="str">
            <v>Miranda Naeem</v>
          </cell>
          <cell r="V4929">
            <v>25569</v>
          </cell>
          <cell r="W4929">
            <v>44726</v>
          </cell>
          <cell r="Y4929">
            <v>44637</v>
          </cell>
          <cell r="AC4929">
            <v>44725</v>
          </cell>
        </row>
        <row r="4930">
          <cell r="I4930" t="str">
            <v>EDI</v>
          </cell>
          <cell r="L4930">
            <v>663</v>
          </cell>
          <cell r="N4930" t="str">
            <v>Production</v>
          </cell>
          <cell r="O4930" t="str">
            <v>No</v>
          </cell>
          <cell r="Q4930" t="str">
            <v>Cancelled</v>
          </cell>
          <cell r="R4930">
            <v>44616.846678240741</v>
          </cell>
          <cell r="S4930" t="str">
            <v>Ahmed Sami Old Account</v>
          </cell>
          <cell r="T4930">
            <v>44644</v>
          </cell>
          <cell r="U4930" t="str">
            <v>Miranda Naeem</v>
          </cell>
          <cell r="V4930">
            <v>44684</v>
          </cell>
          <cell r="W4930">
            <v>44789</v>
          </cell>
          <cell r="Y4930">
            <v>44643</v>
          </cell>
          <cell r="AC4930">
            <v>44788</v>
          </cell>
        </row>
        <row r="4931">
          <cell r="I4931" t="str">
            <v>EDI</v>
          </cell>
          <cell r="L4931">
            <v>693</v>
          </cell>
          <cell r="N4931" t="str">
            <v>Production</v>
          </cell>
          <cell r="O4931" t="str">
            <v>No</v>
          </cell>
          <cell r="Q4931" t="str">
            <v>Cancelled</v>
          </cell>
          <cell r="R4931">
            <v>44616.846678240741</v>
          </cell>
          <cell r="S4931" t="str">
            <v>Mina Adel Old Account</v>
          </cell>
          <cell r="T4931">
            <v>44760</v>
          </cell>
          <cell r="U4931" t="str">
            <v>Miranda Naeem</v>
          </cell>
          <cell r="V4931">
            <v>44711</v>
          </cell>
          <cell r="W4931">
            <v>44810</v>
          </cell>
          <cell r="Y4931">
            <v>44647</v>
          </cell>
          <cell r="AC4931">
            <v>44805</v>
          </cell>
        </row>
        <row r="4932">
          <cell r="I4932" t="str">
            <v>EDI</v>
          </cell>
          <cell r="L4932">
            <v>501</v>
          </cell>
          <cell r="N4932" t="str">
            <v>Production</v>
          </cell>
          <cell r="O4932" t="str">
            <v>No</v>
          </cell>
          <cell r="Q4932" t="str">
            <v>Live</v>
          </cell>
          <cell r="R4932">
            <v>44616.846666666657</v>
          </cell>
          <cell r="S4932" t="str">
            <v>Mina Adel Old Account</v>
          </cell>
          <cell r="T4932">
            <v>44621</v>
          </cell>
          <cell r="U4932" t="str">
            <v>Miranda Naeem</v>
          </cell>
          <cell r="V4932">
            <v>44657</v>
          </cell>
          <cell r="W4932">
            <v>44719</v>
          </cell>
          <cell r="Y4932">
            <v>44621</v>
          </cell>
          <cell r="AC4932">
            <v>44710</v>
          </cell>
        </row>
        <row r="4933">
          <cell r="I4933" t="str">
            <v>EDI</v>
          </cell>
          <cell r="L4933">
            <v>523</v>
          </cell>
          <cell r="N4933" t="str">
            <v>Production</v>
          </cell>
          <cell r="O4933" t="str">
            <v>No</v>
          </cell>
          <cell r="Q4933" t="str">
            <v>Cancelled</v>
          </cell>
          <cell r="R4933">
            <v>44616.846666666657</v>
          </cell>
          <cell r="S4933" t="str">
            <v>Omar Elmahalwy Old Account</v>
          </cell>
          <cell r="T4933">
            <v>44626</v>
          </cell>
          <cell r="U4933" t="str">
            <v>Miranda Naeem</v>
          </cell>
          <cell r="V4933">
            <v>44634</v>
          </cell>
          <cell r="W4933">
            <v>25569</v>
          </cell>
          <cell r="Y4933">
            <v>44623</v>
          </cell>
          <cell r="AC4933">
            <v>44642</v>
          </cell>
        </row>
        <row r="4934">
          <cell r="I4934" t="str">
            <v>EDI</v>
          </cell>
          <cell r="L4934">
            <v>617</v>
          </cell>
          <cell r="N4934" t="str">
            <v>Mapping</v>
          </cell>
          <cell r="O4934" t="str">
            <v>No</v>
          </cell>
          <cell r="Q4934" t="str">
            <v>Cancelled</v>
          </cell>
          <cell r="R4934">
            <v>44616.758553240739</v>
          </cell>
          <cell r="S4934" t="str">
            <v>Omar Elmahalwy Old Account</v>
          </cell>
          <cell r="T4934">
            <v>44640</v>
          </cell>
          <cell r="U4934" t="str">
            <v>Vicky Wright</v>
          </cell>
          <cell r="Y4934">
            <v>44640</v>
          </cell>
        </row>
        <row r="4935">
          <cell r="I4935" t="str">
            <v>EDI</v>
          </cell>
          <cell r="N4935" t="str">
            <v>Production</v>
          </cell>
          <cell r="O4935" t="str">
            <v>No</v>
          </cell>
          <cell r="Q4935" t="str">
            <v>Cancelled</v>
          </cell>
          <cell r="R4935">
            <v>44616.520671296297</v>
          </cell>
          <cell r="S4935" t="str">
            <v>Dina Medhat</v>
          </cell>
          <cell r="T4935">
            <v>44616</v>
          </cell>
          <cell r="U4935" t="str">
            <v>Elizabeth Kahle</v>
          </cell>
          <cell r="AC4935">
            <v>44616</v>
          </cell>
        </row>
        <row r="4936">
          <cell r="I4936" t="str">
            <v>EDI</v>
          </cell>
          <cell r="L4936">
            <v>503</v>
          </cell>
          <cell r="N4936" t="str">
            <v>Production</v>
          </cell>
          <cell r="O4936" t="str">
            <v>No</v>
          </cell>
          <cell r="Q4936" t="str">
            <v>Live</v>
          </cell>
          <cell r="R4936">
            <v>44615.856076388889</v>
          </cell>
          <cell r="S4936" t="str">
            <v>Mohamed Samy</v>
          </cell>
          <cell r="T4936">
            <v>44621</v>
          </cell>
          <cell r="U4936" t="str">
            <v>Billy Smith</v>
          </cell>
          <cell r="V4936">
            <v>44623</v>
          </cell>
          <cell r="W4936">
            <v>44657</v>
          </cell>
          <cell r="Y4936">
            <v>44621</v>
          </cell>
          <cell r="AC4936">
            <v>44654</v>
          </cell>
        </row>
        <row r="4937">
          <cell r="I4937" t="str">
            <v>EDI</v>
          </cell>
          <cell r="L4937">
            <v>515</v>
          </cell>
          <cell r="N4937" t="str">
            <v>Production</v>
          </cell>
          <cell r="O4937" t="str">
            <v>No</v>
          </cell>
          <cell r="Q4937" t="str">
            <v>Live</v>
          </cell>
          <cell r="R4937">
            <v>44615.856064814812</v>
          </cell>
          <cell r="S4937" t="str">
            <v>Jack Salah</v>
          </cell>
          <cell r="T4937">
            <v>44623</v>
          </cell>
          <cell r="U4937" t="str">
            <v>Billy Smith</v>
          </cell>
          <cell r="V4937">
            <v>25569</v>
          </cell>
          <cell r="W4937">
            <v>44804</v>
          </cell>
          <cell r="Y4937">
            <v>44622</v>
          </cell>
          <cell r="AC4937">
            <v>44802</v>
          </cell>
        </row>
        <row r="4938">
          <cell r="I4938" t="str">
            <v>EDI</v>
          </cell>
          <cell r="L4938">
            <v>540</v>
          </cell>
          <cell r="N4938" t="str">
            <v>Production</v>
          </cell>
          <cell r="O4938" t="str">
            <v>No</v>
          </cell>
          <cell r="Q4938" t="str">
            <v>Live</v>
          </cell>
          <cell r="R4938">
            <v>44615.846365740741</v>
          </cell>
          <cell r="S4938" t="str">
            <v>Mina George Old Account</v>
          </cell>
          <cell r="T4938">
            <v>44616</v>
          </cell>
          <cell r="U4938" t="str">
            <v>Vicky Wright</v>
          </cell>
          <cell r="V4938">
            <v>44628</v>
          </cell>
          <cell r="W4938">
            <v>44639</v>
          </cell>
          <cell r="AC4938">
            <v>44630</v>
          </cell>
        </row>
        <row r="4939">
          <cell r="I4939" t="str">
            <v>EDI</v>
          </cell>
          <cell r="L4939">
            <v>559</v>
          </cell>
          <cell r="N4939" t="str">
            <v>Production</v>
          </cell>
          <cell r="O4939" t="str">
            <v>No</v>
          </cell>
          <cell r="Q4939" t="str">
            <v>Cancelled</v>
          </cell>
          <cell r="R4939">
            <v>44615.829884259263</v>
          </cell>
          <cell r="S4939" t="str">
            <v>Jack Salah</v>
          </cell>
          <cell r="T4939">
            <v>44629</v>
          </cell>
          <cell r="U4939" t="str">
            <v>Billy Smith</v>
          </cell>
          <cell r="V4939">
            <v>44732</v>
          </cell>
          <cell r="W4939">
            <v>25569</v>
          </cell>
          <cell r="Y4939">
            <v>44628</v>
          </cell>
          <cell r="AC4939">
            <v>44811</v>
          </cell>
        </row>
        <row r="4940">
          <cell r="I4940" t="str">
            <v>EDI</v>
          </cell>
          <cell r="L4940">
            <v>505</v>
          </cell>
          <cell r="N4940" t="str">
            <v>Production</v>
          </cell>
          <cell r="O4940" t="str">
            <v>No</v>
          </cell>
          <cell r="Q4940" t="str">
            <v>Cancelled</v>
          </cell>
          <cell r="R4940">
            <v>44614.899062500001</v>
          </cell>
          <cell r="S4940" t="str">
            <v>Haytham Mohamed</v>
          </cell>
          <cell r="T4940">
            <v>44621</v>
          </cell>
          <cell r="U4940" t="str">
            <v>Denise Stubenvoll</v>
          </cell>
          <cell r="V4940">
            <v>44633</v>
          </cell>
          <cell r="W4940">
            <v>25569</v>
          </cell>
          <cell r="Y4940">
            <v>44620</v>
          </cell>
          <cell r="AC4940">
            <v>44895</v>
          </cell>
        </row>
        <row r="4941">
          <cell r="I4941" t="str">
            <v>EDI</v>
          </cell>
          <cell r="L4941">
            <v>525</v>
          </cell>
          <cell r="N4941" t="str">
            <v>Production</v>
          </cell>
          <cell r="O4941" t="str">
            <v>No</v>
          </cell>
          <cell r="Q4941" t="str">
            <v>Cancelled</v>
          </cell>
          <cell r="R4941">
            <v>44613.672071759262</v>
          </cell>
          <cell r="S4941" t="str">
            <v>Haytham Mohamed</v>
          </cell>
          <cell r="T4941">
            <v>44626</v>
          </cell>
          <cell r="U4941" t="str">
            <v>Miranda Naeem</v>
          </cell>
          <cell r="V4941">
            <v>44633</v>
          </cell>
          <cell r="W4941">
            <v>44677</v>
          </cell>
          <cell r="Y4941">
            <v>44623</v>
          </cell>
          <cell r="AC4941">
            <v>44672</v>
          </cell>
        </row>
        <row r="4942">
          <cell r="I4942" t="str">
            <v>EDI</v>
          </cell>
          <cell r="L4942">
            <v>544</v>
          </cell>
          <cell r="N4942" t="str">
            <v>Production</v>
          </cell>
          <cell r="O4942" t="str">
            <v>No</v>
          </cell>
          <cell r="Q4942" t="str">
            <v>Cancelled</v>
          </cell>
          <cell r="R4942">
            <v>44610.905960648153</v>
          </cell>
          <cell r="S4942" t="str">
            <v>Joseph Atef Old Account</v>
          </cell>
          <cell r="T4942">
            <v>44629</v>
          </cell>
          <cell r="U4942" t="str">
            <v>Billy Smith</v>
          </cell>
          <cell r="V4942">
            <v>44698</v>
          </cell>
          <cell r="W4942">
            <v>25569</v>
          </cell>
          <cell r="Y4942">
            <v>44628</v>
          </cell>
          <cell r="AC4942">
            <v>44777</v>
          </cell>
        </row>
        <row r="4943">
          <cell r="I4943" t="str">
            <v>EDI</v>
          </cell>
          <cell r="N4943" t="str">
            <v>Requirements Gathering</v>
          </cell>
          <cell r="O4943" t="str">
            <v>No</v>
          </cell>
          <cell r="Q4943" t="str">
            <v>Cancelled</v>
          </cell>
          <cell r="R4943">
            <v>44610.902719907397</v>
          </cell>
          <cell r="S4943" t="str">
            <v>Lourina Edmon Old Account</v>
          </cell>
          <cell r="T4943">
            <v>44888</v>
          </cell>
          <cell r="U4943" t="str">
            <v>Denise Stubenvoll</v>
          </cell>
        </row>
        <row r="4944">
          <cell r="I4944" t="str">
            <v>EDI</v>
          </cell>
          <cell r="L4944">
            <v>958</v>
          </cell>
          <cell r="N4944" t="str">
            <v>Production</v>
          </cell>
          <cell r="O4944" t="str">
            <v>No</v>
          </cell>
          <cell r="Q4944" t="str">
            <v>Cancelled</v>
          </cell>
          <cell r="R4944">
            <v>44610.896354166667</v>
          </cell>
          <cell r="S4944" t="str">
            <v>Mina George Old Account</v>
          </cell>
          <cell r="T4944">
            <v>44696</v>
          </cell>
          <cell r="U4944" t="str">
            <v>Billy Smith</v>
          </cell>
          <cell r="V4944">
            <v>44769</v>
          </cell>
          <cell r="W4944">
            <v>44797</v>
          </cell>
          <cell r="Y4944">
            <v>44696</v>
          </cell>
          <cell r="AC4944">
            <v>44784</v>
          </cell>
        </row>
        <row r="4945">
          <cell r="I4945" t="str">
            <v>EDI</v>
          </cell>
          <cell r="L4945">
            <v>494</v>
          </cell>
          <cell r="N4945" t="str">
            <v>Production</v>
          </cell>
          <cell r="O4945" t="str">
            <v>No</v>
          </cell>
          <cell r="Q4945" t="str">
            <v>Cancelled</v>
          </cell>
          <cell r="R4945">
            <v>44610.881967592592</v>
          </cell>
          <cell r="S4945" t="str">
            <v>Joseph Atef Old Account</v>
          </cell>
          <cell r="T4945">
            <v>44620</v>
          </cell>
          <cell r="U4945" t="str">
            <v>Miranda Naeem</v>
          </cell>
          <cell r="V4945">
            <v>44707</v>
          </cell>
          <cell r="W4945">
            <v>44740</v>
          </cell>
          <cell r="Y4945">
            <v>44619</v>
          </cell>
          <cell r="AC4945">
            <v>44735</v>
          </cell>
        </row>
        <row r="4946">
          <cell r="I4946" t="str">
            <v>EDI</v>
          </cell>
          <cell r="L4946">
            <v>1077</v>
          </cell>
          <cell r="N4946" t="str">
            <v>Production</v>
          </cell>
          <cell r="O4946" t="str">
            <v>No</v>
          </cell>
          <cell r="Q4946" t="str">
            <v>Cancelled</v>
          </cell>
          <cell r="R4946">
            <v>44610.829965277779</v>
          </cell>
          <cell r="S4946" t="str">
            <v>Omar Elmahalwy Old Account</v>
          </cell>
          <cell r="T4946">
            <v>44719</v>
          </cell>
          <cell r="U4946" t="str">
            <v>Billy Smith</v>
          </cell>
          <cell r="V4946">
            <v>44728</v>
          </cell>
          <cell r="W4946">
            <v>44741</v>
          </cell>
          <cell r="Y4946">
            <v>44717</v>
          </cell>
          <cell r="AC4946">
            <v>44739</v>
          </cell>
        </row>
        <row r="4947">
          <cell r="I4947" t="str">
            <v>EDI</v>
          </cell>
          <cell r="L4947">
            <v>812</v>
          </cell>
          <cell r="N4947" t="str">
            <v>Production</v>
          </cell>
          <cell r="O4947" t="str">
            <v>No</v>
          </cell>
          <cell r="Q4947" t="str">
            <v>Cancelled</v>
          </cell>
          <cell r="R4947">
            <v>44610.826388888891</v>
          </cell>
          <cell r="S4947" t="str">
            <v>Mina George Old Account</v>
          </cell>
          <cell r="T4947">
            <v>44671</v>
          </cell>
          <cell r="U4947" t="str">
            <v>Vicky Wright</v>
          </cell>
          <cell r="V4947">
            <v>44686</v>
          </cell>
          <cell r="W4947">
            <v>44698</v>
          </cell>
          <cell r="Y4947">
            <v>44669</v>
          </cell>
          <cell r="AC4947">
            <v>44693</v>
          </cell>
        </row>
        <row r="4948">
          <cell r="I4948" t="str">
            <v>EDI</v>
          </cell>
          <cell r="L4948">
            <v>794</v>
          </cell>
          <cell r="N4948" t="str">
            <v>Production</v>
          </cell>
          <cell r="O4948" t="str">
            <v>eBenefits Network</v>
          </cell>
          <cell r="P4948" t="str">
            <v>Production</v>
          </cell>
          <cell r="Q4948" t="str">
            <v>Live</v>
          </cell>
          <cell r="R4948">
            <v>44610.611828703702</v>
          </cell>
          <cell r="S4948" t="str">
            <v>Ahmed Gamal</v>
          </cell>
          <cell r="T4948">
            <v>44666</v>
          </cell>
          <cell r="U4948" t="str">
            <v>Billy Smith</v>
          </cell>
          <cell r="W4948">
            <v>44719</v>
          </cell>
          <cell r="AC4948">
            <v>44712</v>
          </cell>
        </row>
        <row r="4949">
          <cell r="I4949" t="str">
            <v>EDI</v>
          </cell>
          <cell r="L4949">
            <v>912</v>
          </cell>
          <cell r="N4949" t="str">
            <v>Production</v>
          </cell>
          <cell r="O4949" t="str">
            <v>eBenefits Network</v>
          </cell>
          <cell r="P4949" t="str">
            <v>Production</v>
          </cell>
          <cell r="Q4949" t="str">
            <v>Cancelled</v>
          </cell>
          <cell r="R4949">
            <v>44610.609629629631</v>
          </cell>
          <cell r="S4949" t="str">
            <v>Ahmed Gamal</v>
          </cell>
          <cell r="T4949">
            <v>44691</v>
          </cell>
          <cell r="U4949" t="str">
            <v>Billy Smith</v>
          </cell>
          <cell r="W4949">
            <v>44712</v>
          </cell>
          <cell r="AC4949">
            <v>44711</v>
          </cell>
        </row>
        <row r="4950">
          <cell r="I4950" t="str">
            <v>EDI</v>
          </cell>
          <cell r="L4950">
            <v>763</v>
          </cell>
          <cell r="N4950" t="str">
            <v>Production</v>
          </cell>
          <cell r="O4950" t="str">
            <v>eBenefits Network</v>
          </cell>
          <cell r="P4950" t="str">
            <v>Production</v>
          </cell>
          <cell r="Q4950" t="str">
            <v>Cancelled</v>
          </cell>
          <cell r="R4950">
            <v>44610.607766203713</v>
          </cell>
          <cell r="S4950" t="str">
            <v>Fady Maged Old Account</v>
          </cell>
          <cell r="T4950">
            <v>44686</v>
          </cell>
          <cell r="U4950" t="str">
            <v>Billy Smith</v>
          </cell>
          <cell r="V4950">
            <v>44686</v>
          </cell>
          <cell r="W4950">
            <v>44706</v>
          </cell>
          <cell r="Y4950">
            <v>44631</v>
          </cell>
          <cell r="AC4950">
            <v>44703</v>
          </cell>
        </row>
        <row r="4951">
          <cell r="I4951" t="str">
            <v>EDI</v>
          </cell>
          <cell r="L4951">
            <v>762</v>
          </cell>
          <cell r="N4951" t="str">
            <v>Production</v>
          </cell>
          <cell r="O4951" t="str">
            <v>eBenefits Network</v>
          </cell>
          <cell r="P4951" t="str">
            <v>Production</v>
          </cell>
          <cell r="Q4951" t="str">
            <v>Cancelled</v>
          </cell>
          <cell r="R4951">
            <v>44610.60601851852</v>
          </cell>
          <cell r="S4951" t="str">
            <v>Amira Elshora Old Account</v>
          </cell>
          <cell r="T4951">
            <v>44660</v>
          </cell>
          <cell r="U4951" t="str">
            <v>Billy Smith</v>
          </cell>
          <cell r="V4951">
            <v>44661</v>
          </cell>
          <cell r="W4951">
            <v>44698</v>
          </cell>
          <cell r="AC4951">
            <v>44697</v>
          </cell>
        </row>
        <row r="4952">
          <cell r="I4952" t="str">
            <v>EDI</v>
          </cell>
          <cell r="L4952">
            <v>713</v>
          </cell>
          <cell r="N4952" t="str">
            <v>Production</v>
          </cell>
          <cell r="O4952" t="str">
            <v>eBenefits Network</v>
          </cell>
          <cell r="P4952" t="str">
            <v>Production</v>
          </cell>
          <cell r="Q4952" t="str">
            <v>Live</v>
          </cell>
          <cell r="R4952">
            <v>44610.603726851848</v>
          </cell>
          <cell r="S4952" t="str">
            <v>Amira Elshora Old Account</v>
          </cell>
          <cell r="T4952">
            <v>44654</v>
          </cell>
          <cell r="U4952" t="str">
            <v>Billy Smith</v>
          </cell>
          <cell r="V4952">
            <v>44655</v>
          </cell>
          <cell r="W4952">
            <v>44684</v>
          </cell>
          <cell r="AC4952">
            <v>44679</v>
          </cell>
        </row>
        <row r="4953">
          <cell r="I4953" t="str">
            <v>EDI</v>
          </cell>
          <cell r="L4953">
            <v>825</v>
          </cell>
          <cell r="N4953" t="str">
            <v>Production</v>
          </cell>
          <cell r="O4953" t="str">
            <v>eBenefits Network</v>
          </cell>
          <cell r="P4953" t="str">
            <v>Production</v>
          </cell>
          <cell r="Q4953" t="str">
            <v>Cancelled</v>
          </cell>
          <cell r="R4953">
            <v>44610.600706018522</v>
          </cell>
          <cell r="S4953" t="str">
            <v>Amira Elshora Old Account</v>
          </cell>
          <cell r="T4953">
            <v>44670</v>
          </cell>
          <cell r="U4953" t="str">
            <v>Billy Smith</v>
          </cell>
          <cell r="V4953">
            <v>44676</v>
          </cell>
          <cell r="W4953">
            <v>44754</v>
          </cell>
          <cell r="Y4953">
            <v>44631</v>
          </cell>
          <cell r="AC4953">
            <v>44749</v>
          </cell>
        </row>
        <row r="4954">
          <cell r="I4954" t="str">
            <v>EDI</v>
          </cell>
          <cell r="L4954">
            <v>651</v>
          </cell>
          <cell r="N4954" t="str">
            <v>Production</v>
          </cell>
          <cell r="O4954" t="str">
            <v>eBenefits Network</v>
          </cell>
          <cell r="P4954" t="str">
            <v>Production</v>
          </cell>
          <cell r="Q4954" t="str">
            <v>Live</v>
          </cell>
          <cell r="R4954">
            <v>44610.599409722221</v>
          </cell>
          <cell r="S4954" t="str">
            <v>Fady Maged Old Account</v>
          </cell>
          <cell r="T4954">
            <v>44642</v>
          </cell>
          <cell r="U4954" t="str">
            <v>Billy Smith</v>
          </cell>
          <cell r="V4954">
            <v>44643</v>
          </cell>
          <cell r="W4954">
            <v>44670</v>
          </cell>
          <cell r="AC4954">
            <v>44668</v>
          </cell>
        </row>
        <row r="4955">
          <cell r="I4955" t="str">
            <v>EDI</v>
          </cell>
          <cell r="L4955">
            <v>779</v>
          </cell>
          <cell r="N4955" t="str">
            <v>Production</v>
          </cell>
          <cell r="O4955" t="str">
            <v>eBenefits Network</v>
          </cell>
          <cell r="P4955" t="str">
            <v>Production</v>
          </cell>
          <cell r="Q4955" t="str">
            <v>Cancelled</v>
          </cell>
          <cell r="R4955">
            <v>44610.599409722221</v>
          </cell>
          <cell r="S4955" t="str">
            <v>Fady Maged Old Account</v>
          </cell>
          <cell r="T4955">
            <v>44670</v>
          </cell>
          <cell r="U4955" t="str">
            <v>Billy Smith</v>
          </cell>
          <cell r="V4955">
            <v>44675</v>
          </cell>
          <cell r="W4955">
            <v>44699</v>
          </cell>
          <cell r="Y4955">
            <v>44631</v>
          </cell>
          <cell r="AC4955">
            <v>44699</v>
          </cell>
        </row>
        <row r="4956">
          <cell r="I4956" t="str">
            <v>EDI</v>
          </cell>
          <cell r="L4956">
            <v>808</v>
          </cell>
          <cell r="N4956" t="str">
            <v>Production</v>
          </cell>
          <cell r="O4956" t="str">
            <v>eBenefits Network</v>
          </cell>
          <cell r="P4956" t="str">
            <v>Production</v>
          </cell>
          <cell r="Q4956" t="str">
            <v>Cancelled</v>
          </cell>
          <cell r="R4956">
            <v>44610.596990740742</v>
          </cell>
          <cell r="S4956" t="str">
            <v>Ahmed Gamal</v>
          </cell>
          <cell r="T4956">
            <v>44666</v>
          </cell>
          <cell r="U4956" t="str">
            <v>Billy Smith</v>
          </cell>
          <cell r="V4956">
            <v>44817</v>
          </cell>
          <cell r="W4956">
            <v>44866</v>
          </cell>
          <cell r="Y4956">
            <v>44631</v>
          </cell>
          <cell r="AC4956">
            <v>44864</v>
          </cell>
        </row>
        <row r="4957">
          <cell r="I4957" t="str">
            <v>EDI</v>
          </cell>
          <cell r="L4957">
            <v>486</v>
          </cell>
          <cell r="N4957" t="str">
            <v>Production</v>
          </cell>
          <cell r="O4957" t="str">
            <v>No</v>
          </cell>
          <cell r="Q4957" t="str">
            <v>Cancelled</v>
          </cell>
          <cell r="R4957">
            <v>44610.587418981479</v>
          </cell>
          <cell r="S4957" t="str">
            <v>Mina Adel Old Account</v>
          </cell>
          <cell r="T4957">
            <v>44617</v>
          </cell>
          <cell r="U4957" t="str">
            <v>Miranda Naeem</v>
          </cell>
          <cell r="V4957">
            <v>44635</v>
          </cell>
          <cell r="W4957">
            <v>44663</v>
          </cell>
          <cell r="AC4957">
            <v>44654</v>
          </cell>
        </row>
        <row r="4958">
          <cell r="I4958" t="str">
            <v>EDI</v>
          </cell>
          <cell r="L4958">
            <v>668</v>
          </cell>
          <cell r="N4958" t="str">
            <v>Production</v>
          </cell>
          <cell r="O4958" t="str">
            <v>eBenefits Network</v>
          </cell>
          <cell r="P4958" t="str">
            <v>Production</v>
          </cell>
          <cell r="Q4958" t="str">
            <v>Cancelled</v>
          </cell>
          <cell r="R4958">
            <v>44609.882893518523</v>
          </cell>
          <cell r="S4958" t="str">
            <v>Fady Maged Old Account</v>
          </cell>
          <cell r="T4958">
            <v>44650</v>
          </cell>
          <cell r="U4958" t="str">
            <v>Billy Smith</v>
          </cell>
          <cell r="V4958">
            <v>44651</v>
          </cell>
          <cell r="W4958">
            <v>44684</v>
          </cell>
          <cell r="Y4958">
            <v>44628</v>
          </cell>
          <cell r="AC4958">
            <v>44679</v>
          </cell>
        </row>
        <row r="4959">
          <cell r="I4959" t="str">
            <v>EDI</v>
          </cell>
          <cell r="L4959">
            <v>745</v>
          </cell>
          <cell r="N4959" t="str">
            <v>Production</v>
          </cell>
          <cell r="O4959" t="str">
            <v>eBenefits Network</v>
          </cell>
          <cell r="P4959" t="str">
            <v>Production</v>
          </cell>
          <cell r="Q4959" t="str">
            <v>Cancelled</v>
          </cell>
          <cell r="R4959">
            <v>44609.880960648137</v>
          </cell>
          <cell r="S4959" t="str">
            <v>Amira Elshora Old Account</v>
          </cell>
          <cell r="T4959">
            <v>44660</v>
          </cell>
          <cell r="U4959" t="str">
            <v>Billy Smith</v>
          </cell>
          <cell r="V4959">
            <v>44661</v>
          </cell>
          <cell r="W4959">
            <v>44727</v>
          </cell>
          <cell r="Y4959">
            <v>44628</v>
          </cell>
          <cell r="AC4959">
            <v>44727</v>
          </cell>
        </row>
        <row r="4960">
          <cell r="I4960" t="str">
            <v>EDI</v>
          </cell>
          <cell r="L4960">
            <v>601</v>
          </cell>
          <cell r="N4960" t="str">
            <v>Production</v>
          </cell>
          <cell r="O4960" t="str">
            <v>No</v>
          </cell>
          <cell r="Q4960" t="str">
            <v>Cancelled</v>
          </cell>
          <cell r="R4960">
            <v>44609.844502314823</v>
          </cell>
          <cell r="S4960" t="str">
            <v>Mina Adel Old Account</v>
          </cell>
          <cell r="T4960">
            <v>44636</v>
          </cell>
          <cell r="U4960" t="str">
            <v>Miranda Naeem</v>
          </cell>
          <cell r="V4960">
            <v>44664</v>
          </cell>
          <cell r="W4960">
            <v>44733</v>
          </cell>
          <cell r="Y4960">
            <v>44635</v>
          </cell>
          <cell r="AC4960">
            <v>44728</v>
          </cell>
        </row>
        <row r="4961">
          <cell r="I4961" t="str">
            <v>EDI</v>
          </cell>
          <cell r="L4961">
            <v>1003</v>
          </cell>
          <cell r="N4961" t="str">
            <v>Production</v>
          </cell>
          <cell r="O4961" t="str">
            <v>No</v>
          </cell>
          <cell r="Q4961" t="str">
            <v>Live</v>
          </cell>
          <cell r="R4961">
            <v>44609.844502314823</v>
          </cell>
          <cell r="S4961" t="str">
            <v>Andrew Ramy</v>
          </cell>
          <cell r="T4961">
            <v>44704</v>
          </cell>
          <cell r="U4961" t="str">
            <v>Miranda Naeem</v>
          </cell>
          <cell r="V4961">
            <v>44818</v>
          </cell>
          <cell r="W4961">
            <v>44825</v>
          </cell>
          <cell r="Y4961">
            <v>44703</v>
          </cell>
          <cell r="AC4961">
            <v>44825</v>
          </cell>
        </row>
        <row r="4962">
          <cell r="I4962" t="str">
            <v>EDI</v>
          </cell>
          <cell r="N4962" t="str">
            <v>Requirements Gathering</v>
          </cell>
          <cell r="O4962" t="str">
            <v>No</v>
          </cell>
          <cell r="Q4962" t="str">
            <v>Cancelled</v>
          </cell>
          <cell r="R4962">
            <v>44609.844502314823</v>
          </cell>
          <cell r="S4962" t="str">
            <v>Sara Mohamed</v>
          </cell>
          <cell r="T4962">
            <v>44610</v>
          </cell>
          <cell r="U4962" t="str">
            <v>Miranda Naeem</v>
          </cell>
        </row>
        <row r="4963">
          <cell r="I4963" t="str">
            <v>EDI</v>
          </cell>
          <cell r="L4963">
            <v>495</v>
          </cell>
          <cell r="N4963" t="str">
            <v>Production</v>
          </cell>
          <cell r="O4963" t="str">
            <v>No</v>
          </cell>
          <cell r="Q4963" t="str">
            <v>Cancelled</v>
          </cell>
          <cell r="R4963">
            <v>44609.844421296293</v>
          </cell>
          <cell r="S4963" t="str">
            <v>Omar Elmahalwy Old Account</v>
          </cell>
          <cell r="T4963">
            <v>44620</v>
          </cell>
          <cell r="U4963" t="str">
            <v>Denise Stubenvoll</v>
          </cell>
          <cell r="V4963">
            <v>44634</v>
          </cell>
          <cell r="W4963">
            <v>44652</v>
          </cell>
          <cell r="Y4963">
            <v>44619</v>
          </cell>
          <cell r="AC4963">
            <v>44647</v>
          </cell>
        </row>
        <row r="4964">
          <cell r="I4964" t="str">
            <v>EDI</v>
          </cell>
          <cell r="L4964">
            <v>804</v>
          </cell>
          <cell r="N4964" t="str">
            <v>Production</v>
          </cell>
          <cell r="O4964" t="str">
            <v>eBenefits Network</v>
          </cell>
          <cell r="P4964" t="str">
            <v>Production</v>
          </cell>
          <cell r="Q4964" t="str">
            <v>Live</v>
          </cell>
          <cell r="R4964">
            <v>44609.799305555563</v>
          </cell>
          <cell r="S4964" t="str">
            <v>Fady Maged Old Account</v>
          </cell>
          <cell r="T4964">
            <v>44677</v>
          </cell>
          <cell r="U4964" t="str">
            <v>Billy Smith</v>
          </cell>
          <cell r="V4964">
            <v>44724</v>
          </cell>
          <cell r="W4964">
            <v>44762</v>
          </cell>
          <cell r="Y4964">
            <v>44628</v>
          </cell>
          <cell r="AC4964">
            <v>44760</v>
          </cell>
        </row>
        <row r="4965">
          <cell r="I4965" t="str">
            <v>EDI</v>
          </cell>
          <cell r="L4965">
            <v>715</v>
          </cell>
          <cell r="N4965" t="str">
            <v>Production</v>
          </cell>
          <cell r="O4965" t="str">
            <v>eBenefits Network</v>
          </cell>
          <cell r="P4965" t="str">
            <v>Production</v>
          </cell>
          <cell r="Q4965" t="str">
            <v>Cancelled</v>
          </cell>
          <cell r="R4965">
            <v>44609.796412037038</v>
          </cell>
          <cell r="S4965" t="str">
            <v>Amira Elshora</v>
          </cell>
          <cell r="T4965">
            <v>44943</v>
          </cell>
          <cell r="U4965" t="str">
            <v>Billy Smith</v>
          </cell>
          <cell r="V4965">
            <v>44654</v>
          </cell>
          <cell r="W4965">
            <v>45061</v>
          </cell>
          <cell r="Y4965">
            <v>44628</v>
          </cell>
          <cell r="AC4965">
            <v>45060</v>
          </cell>
        </row>
        <row r="4966">
          <cell r="I4966" t="str">
            <v>EDI</v>
          </cell>
          <cell r="L4966">
            <v>780</v>
          </cell>
          <cell r="N4966" t="str">
            <v>Production</v>
          </cell>
          <cell r="O4966" t="str">
            <v>eBenefits Network</v>
          </cell>
          <cell r="P4966" t="str">
            <v>Production</v>
          </cell>
          <cell r="Q4966" t="str">
            <v>Live</v>
          </cell>
          <cell r="R4966">
            <v>44609.796400462961</v>
          </cell>
          <cell r="S4966" t="str">
            <v>Fady Maged Old Account</v>
          </cell>
          <cell r="T4966">
            <v>44670</v>
          </cell>
          <cell r="U4966" t="str">
            <v>Billy Smith</v>
          </cell>
          <cell r="V4966">
            <v>44674</v>
          </cell>
          <cell r="W4966">
            <v>25569</v>
          </cell>
          <cell r="Y4966">
            <v>44628</v>
          </cell>
          <cell r="AC4966">
            <v>44699</v>
          </cell>
        </row>
        <row r="4967">
          <cell r="I4967" t="str">
            <v>EDI</v>
          </cell>
          <cell r="L4967">
            <v>851</v>
          </cell>
          <cell r="N4967" t="str">
            <v>Mapping</v>
          </cell>
          <cell r="O4967" t="str">
            <v>eBenefits Network</v>
          </cell>
          <cell r="P4967" t="str">
            <v>Phase 2</v>
          </cell>
          <cell r="Q4967" t="str">
            <v>Cancelled</v>
          </cell>
          <cell r="R4967">
            <v>44609.79283564815</v>
          </cell>
          <cell r="S4967" t="str">
            <v>Ahmed Gamal</v>
          </cell>
          <cell r="T4967">
            <v>44687</v>
          </cell>
          <cell r="Y4967">
            <v>44628</v>
          </cell>
        </row>
        <row r="4968">
          <cell r="I4968" t="str">
            <v>EDI</v>
          </cell>
          <cell r="L4968">
            <v>761</v>
          </cell>
          <cell r="N4968" t="str">
            <v>Production</v>
          </cell>
          <cell r="O4968" t="str">
            <v>eBenefits Network</v>
          </cell>
          <cell r="P4968" t="str">
            <v>Production</v>
          </cell>
          <cell r="Q4968" t="str">
            <v>Live</v>
          </cell>
          <cell r="R4968">
            <v>44609.790312500001</v>
          </cell>
          <cell r="S4968" t="str">
            <v>Ahmed Gamal</v>
          </cell>
          <cell r="T4968">
            <v>44660</v>
          </cell>
          <cell r="U4968" t="str">
            <v>Billy Smith</v>
          </cell>
          <cell r="W4968">
            <v>44707</v>
          </cell>
          <cell r="Y4968">
            <v>44628</v>
          </cell>
          <cell r="AC4968">
            <v>44703</v>
          </cell>
        </row>
        <row r="4969">
          <cell r="I4969" t="str">
            <v>EDI</v>
          </cell>
          <cell r="L4969">
            <v>632</v>
          </cell>
          <cell r="N4969" t="str">
            <v>Production</v>
          </cell>
          <cell r="O4969" t="str">
            <v>eBenefits Network</v>
          </cell>
          <cell r="P4969" t="str">
            <v>Production</v>
          </cell>
          <cell r="Q4969" t="str">
            <v>Cancelled</v>
          </cell>
          <cell r="R4969">
            <v>44609.78875</v>
          </cell>
          <cell r="S4969" t="str">
            <v>Ahmed Gamal</v>
          </cell>
          <cell r="T4969">
            <v>44642</v>
          </cell>
          <cell r="U4969" t="str">
            <v>Billy Smith</v>
          </cell>
          <cell r="W4969">
            <v>44698</v>
          </cell>
          <cell r="Y4969">
            <v>44628</v>
          </cell>
          <cell r="AC4969">
            <v>44697</v>
          </cell>
        </row>
        <row r="4970">
          <cell r="I4970" t="str">
            <v>EDI</v>
          </cell>
          <cell r="L4970">
            <v>952</v>
          </cell>
          <cell r="N4970" t="str">
            <v>Production</v>
          </cell>
          <cell r="O4970" t="str">
            <v>eBenefits Network</v>
          </cell>
          <cell r="P4970" t="str">
            <v>Production</v>
          </cell>
          <cell r="Q4970" t="str">
            <v>Cancelled</v>
          </cell>
          <cell r="R4970">
            <v>44609.78665509259</v>
          </cell>
          <cell r="S4970" t="str">
            <v>Fady Maged Old Account</v>
          </cell>
          <cell r="T4970">
            <v>44691</v>
          </cell>
          <cell r="U4970" t="str">
            <v>Billy Smith</v>
          </cell>
          <cell r="V4970">
            <v>44696</v>
          </cell>
          <cell r="W4970">
            <v>44712</v>
          </cell>
          <cell r="Y4970">
            <v>44628</v>
          </cell>
          <cell r="AC4970">
            <v>44711</v>
          </cell>
        </row>
        <row r="4971">
          <cell r="I4971" t="str">
            <v>EDI</v>
          </cell>
          <cell r="L4971">
            <v>903</v>
          </cell>
          <cell r="N4971" t="str">
            <v>Production</v>
          </cell>
          <cell r="O4971" t="str">
            <v>eBenefits Network</v>
          </cell>
          <cell r="P4971" t="str">
            <v>Production</v>
          </cell>
          <cell r="Q4971" t="str">
            <v>Cancelled</v>
          </cell>
          <cell r="R4971">
            <v>44609.78534722222</v>
          </cell>
          <cell r="S4971" t="str">
            <v>Amira Elshora Old Account</v>
          </cell>
          <cell r="T4971">
            <v>44686</v>
          </cell>
          <cell r="U4971" t="str">
            <v>Billy Smith</v>
          </cell>
          <cell r="V4971">
            <v>44689</v>
          </cell>
          <cell r="W4971">
            <v>44712</v>
          </cell>
          <cell r="Y4971">
            <v>44631</v>
          </cell>
          <cell r="AC4971">
            <v>44712</v>
          </cell>
        </row>
        <row r="4972">
          <cell r="I4972" t="str">
            <v>EDI</v>
          </cell>
          <cell r="L4972">
            <v>766</v>
          </cell>
          <cell r="N4972" t="str">
            <v>Production</v>
          </cell>
          <cell r="O4972" t="str">
            <v>eBenefits Network</v>
          </cell>
          <cell r="P4972" t="str">
            <v>Production</v>
          </cell>
          <cell r="Q4972" t="str">
            <v>Cancelled</v>
          </cell>
          <cell r="R4972">
            <v>44609.784097222233</v>
          </cell>
          <cell r="S4972" t="str">
            <v>Fady Maged Old Account</v>
          </cell>
          <cell r="T4972">
            <v>44660</v>
          </cell>
          <cell r="U4972" t="str">
            <v>Billy Smith</v>
          </cell>
          <cell r="V4972">
            <v>44662</v>
          </cell>
          <cell r="W4972">
            <v>44691</v>
          </cell>
          <cell r="Y4972">
            <v>44628</v>
          </cell>
          <cell r="AC4972">
            <v>44690</v>
          </cell>
        </row>
        <row r="4973">
          <cell r="I4973" t="str">
            <v>EDI</v>
          </cell>
          <cell r="L4973">
            <v>981</v>
          </cell>
          <cell r="N4973" t="str">
            <v>Production</v>
          </cell>
          <cell r="O4973" t="str">
            <v>eBenefits Network</v>
          </cell>
          <cell r="P4973" t="str">
            <v>Production</v>
          </cell>
          <cell r="Q4973" t="str">
            <v>Cancelled</v>
          </cell>
          <cell r="R4973">
            <v>44609.784097222233</v>
          </cell>
          <cell r="S4973" t="str">
            <v>Amira Elshora Old Account</v>
          </cell>
          <cell r="T4973">
            <v>44698</v>
          </cell>
          <cell r="U4973" t="str">
            <v>Billy Smith</v>
          </cell>
          <cell r="V4973">
            <v>44698</v>
          </cell>
          <cell r="W4973">
            <v>44727</v>
          </cell>
          <cell r="Y4973">
            <v>44628</v>
          </cell>
          <cell r="AC4973">
            <v>44727</v>
          </cell>
        </row>
        <row r="4974">
          <cell r="I4974" t="str">
            <v>EDI</v>
          </cell>
          <cell r="L4974">
            <v>706</v>
          </cell>
          <cell r="N4974" t="str">
            <v>Production</v>
          </cell>
          <cell r="O4974" t="str">
            <v>eBenefits Network</v>
          </cell>
          <cell r="P4974" t="str">
            <v>Production</v>
          </cell>
          <cell r="Q4974" t="str">
            <v>Cancelled</v>
          </cell>
          <cell r="R4974">
            <v>44609.784085648149</v>
          </cell>
          <cell r="S4974" t="str">
            <v>Fady Maged Old Account</v>
          </cell>
          <cell r="T4974">
            <v>44650</v>
          </cell>
          <cell r="U4974" t="str">
            <v>Billy Smith</v>
          </cell>
          <cell r="V4974">
            <v>44653</v>
          </cell>
          <cell r="W4974">
            <v>44747</v>
          </cell>
          <cell r="Y4974">
            <v>44628</v>
          </cell>
          <cell r="AC4974">
            <v>44745</v>
          </cell>
        </row>
        <row r="4975">
          <cell r="I4975" t="str">
            <v>EDI</v>
          </cell>
          <cell r="L4975">
            <v>720</v>
          </cell>
          <cell r="N4975" t="str">
            <v>Production</v>
          </cell>
          <cell r="O4975" t="str">
            <v>eBenefits Network</v>
          </cell>
          <cell r="P4975" t="str">
            <v>Production</v>
          </cell>
          <cell r="Q4975" t="str">
            <v>Cancelled</v>
          </cell>
          <cell r="R4975">
            <v>44609.780775462961</v>
          </cell>
          <cell r="S4975" t="str">
            <v>Amira Elshora Old Account</v>
          </cell>
          <cell r="T4975">
            <v>44650</v>
          </cell>
          <cell r="U4975" t="str">
            <v>Billy Smith</v>
          </cell>
          <cell r="V4975">
            <v>44656</v>
          </cell>
          <cell r="W4975">
            <v>25569</v>
          </cell>
          <cell r="Y4975">
            <v>44628</v>
          </cell>
          <cell r="AC4975">
            <v>44714</v>
          </cell>
        </row>
        <row r="4976">
          <cell r="I4976" t="str">
            <v>EDI</v>
          </cell>
          <cell r="L4976">
            <v>652</v>
          </cell>
          <cell r="N4976" t="str">
            <v>Production</v>
          </cell>
          <cell r="O4976" t="str">
            <v>eBenefits Network</v>
          </cell>
          <cell r="P4976" t="str">
            <v>Production</v>
          </cell>
          <cell r="Q4976" t="str">
            <v>Cancelled</v>
          </cell>
          <cell r="R4976">
            <v>44609.776770833327</v>
          </cell>
          <cell r="S4976" t="str">
            <v>Fady Maged Old Account</v>
          </cell>
          <cell r="T4976">
            <v>44642</v>
          </cell>
          <cell r="U4976" t="str">
            <v>Billy Smith</v>
          </cell>
          <cell r="V4976">
            <v>44649</v>
          </cell>
          <cell r="W4976">
            <v>44684</v>
          </cell>
          <cell r="Y4976">
            <v>44628</v>
          </cell>
          <cell r="AC4976">
            <v>44679</v>
          </cell>
        </row>
        <row r="4977">
          <cell r="I4977" t="str">
            <v>EDI</v>
          </cell>
          <cell r="L4977">
            <v>772</v>
          </cell>
          <cell r="N4977" t="str">
            <v>Production</v>
          </cell>
          <cell r="O4977" t="str">
            <v>eBenefits Network</v>
          </cell>
          <cell r="P4977" t="str">
            <v>Production</v>
          </cell>
          <cell r="Q4977" t="str">
            <v>Live</v>
          </cell>
          <cell r="R4977">
            <v>44609.772893518522</v>
          </cell>
          <cell r="S4977" t="str">
            <v>Fady Maged Old Account</v>
          </cell>
          <cell r="T4977">
            <v>44660</v>
          </cell>
          <cell r="U4977" t="str">
            <v>Billy Smith</v>
          </cell>
          <cell r="V4977">
            <v>44663</v>
          </cell>
          <cell r="W4977">
            <v>44698</v>
          </cell>
          <cell r="Y4977">
            <v>44628</v>
          </cell>
          <cell r="AC4977">
            <v>44697</v>
          </cell>
        </row>
        <row r="4978">
          <cell r="I4978" t="str">
            <v>EDI</v>
          </cell>
          <cell r="L4978">
            <v>650</v>
          </cell>
          <cell r="N4978" t="str">
            <v>Production</v>
          </cell>
          <cell r="O4978" t="str">
            <v>eBenefits Network</v>
          </cell>
          <cell r="P4978" t="str">
            <v>Production</v>
          </cell>
          <cell r="Q4978" t="str">
            <v>Live</v>
          </cell>
          <cell r="R4978">
            <v>44609.770729166667</v>
          </cell>
          <cell r="S4978" t="str">
            <v>Fady Maged Old Account</v>
          </cell>
          <cell r="T4978">
            <v>44642</v>
          </cell>
          <cell r="U4978" t="str">
            <v>Billy Smith</v>
          </cell>
          <cell r="V4978">
            <v>44643</v>
          </cell>
          <cell r="W4978">
            <v>44698</v>
          </cell>
          <cell r="Y4978">
            <v>44628</v>
          </cell>
          <cell r="AC4978">
            <v>44697</v>
          </cell>
        </row>
        <row r="4979">
          <cell r="I4979" t="str">
            <v>EDI</v>
          </cell>
          <cell r="L4979">
            <v>633</v>
          </cell>
          <cell r="N4979" t="str">
            <v>Production</v>
          </cell>
          <cell r="O4979" t="str">
            <v>eBenefits Network</v>
          </cell>
          <cell r="P4979" t="str">
            <v>Production</v>
          </cell>
          <cell r="Q4979" t="str">
            <v>Cancelled</v>
          </cell>
          <cell r="R4979">
            <v>44609.768912037027</v>
          </cell>
          <cell r="S4979" t="str">
            <v>Fady Maged Old Account</v>
          </cell>
          <cell r="T4979">
            <v>44642</v>
          </cell>
          <cell r="U4979" t="str">
            <v>Billy Smith</v>
          </cell>
          <cell r="V4979">
            <v>44642</v>
          </cell>
          <cell r="W4979">
            <v>44665</v>
          </cell>
          <cell r="Y4979">
            <v>44628</v>
          </cell>
          <cell r="AC4979">
            <v>44660</v>
          </cell>
        </row>
        <row r="4980">
          <cell r="I4980" t="str">
            <v>EDI</v>
          </cell>
          <cell r="L4980">
            <v>940</v>
          </cell>
          <cell r="N4980" t="str">
            <v>Production</v>
          </cell>
          <cell r="O4980" t="str">
            <v>eBenefits Network</v>
          </cell>
          <cell r="P4980" t="str">
            <v>Production</v>
          </cell>
          <cell r="Q4980" t="str">
            <v>Live</v>
          </cell>
          <cell r="R4980">
            <v>44609.767280092587</v>
          </cell>
          <cell r="S4980" t="str">
            <v>Ahmed Gamal</v>
          </cell>
          <cell r="T4980">
            <v>44691</v>
          </cell>
          <cell r="U4980" t="str">
            <v>Billy Smith</v>
          </cell>
          <cell r="W4980">
            <v>44714</v>
          </cell>
          <cell r="Y4980">
            <v>44628</v>
          </cell>
          <cell r="AC4980">
            <v>44712</v>
          </cell>
        </row>
        <row r="4981">
          <cell r="I4981" t="str">
            <v>EDI</v>
          </cell>
          <cell r="L4981">
            <v>700</v>
          </cell>
          <cell r="N4981" t="str">
            <v>Production</v>
          </cell>
          <cell r="O4981" t="str">
            <v>eBenefits Network</v>
          </cell>
          <cell r="P4981" t="str">
            <v>Production</v>
          </cell>
          <cell r="Q4981" t="str">
            <v>Cancelled</v>
          </cell>
          <cell r="R4981">
            <v>44609.767268518517</v>
          </cell>
          <cell r="S4981" t="str">
            <v>Ahmed Gamal</v>
          </cell>
          <cell r="T4981">
            <v>44650</v>
          </cell>
          <cell r="U4981" t="str">
            <v>Billy Smith</v>
          </cell>
          <cell r="W4981">
            <v>44754</v>
          </cell>
          <cell r="Y4981">
            <v>44628</v>
          </cell>
          <cell r="AC4981">
            <v>44746</v>
          </cell>
        </row>
        <row r="4982">
          <cell r="I4982" t="str">
            <v>EDI</v>
          </cell>
          <cell r="L4982">
            <v>789</v>
          </cell>
          <cell r="N4982" t="str">
            <v>Production</v>
          </cell>
          <cell r="O4982" t="str">
            <v>eBenefits Network</v>
          </cell>
          <cell r="P4982" t="str">
            <v>Production</v>
          </cell>
          <cell r="Q4982" t="str">
            <v>Cancelled</v>
          </cell>
          <cell r="R4982">
            <v>44609.761006944442</v>
          </cell>
          <cell r="S4982" t="str">
            <v>Fady Maged Old Account</v>
          </cell>
          <cell r="T4982">
            <v>44666</v>
          </cell>
          <cell r="U4982" t="str">
            <v>Billy Smith</v>
          </cell>
          <cell r="V4982">
            <v>44667</v>
          </cell>
          <cell r="W4982">
            <v>44760</v>
          </cell>
          <cell r="Y4982">
            <v>44628</v>
          </cell>
          <cell r="AC4982">
            <v>44750</v>
          </cell>
        </row>
        <row r="4983">
          <cell r="I4983" t="str">
            <v>EDI</v>
          </cell>
          <cell r="L4983">
            <v>690</v>
          </cell>
          <cell r="N4983" t="str">
            <v>Production</v>
          </cell>
          <cell r="O4983" t="str">
            <v>eBenefits Network</v>
          </cell>
          <cell r="P4983" t="str">
            <v>Production</v>
          </cell>
          <cell r="Q4983" t="str">
            <v>Live</v>
          </cell>
          <cell r="R4983">
            <v>44609.759166666663</v>
          </cell>
          <cell r="S4983" t="str">
            <v>Amira Elshora</v>
          </cell>
          <cell r="T4983">
            <v>44943</v>
          </cell>
          <cell r="U4983" t="str">
            <v>Trish Kalinczok</v>
          </cell>
          <cell r="V4983">
            <v>25569</v>
          </cell>
          <cell r="W4983">
            <v>45145</v>
          </cell>
          <cell r="Y4983">
            <v>44628</v>
          </cell>
          <cell r="AC4983">
            <v>45144</v>
          </cell>
        </row>
        <row r="4984">
          <cell r="I4984" t="str">
            <v>EDI</v>
          </cell>
          <cell r="L4984">
            <v>689</v>
          </cell>
          <cell r="N4984" t="str">
            <v>Production</v>
          </cell>
          <cell r="O4984" t="str">
            <v>eBenefits Network</v>
          </cell>
          <cell r="P4984" t="str">
            <v>Production</v>
          </cell>
          <cell r="Q4984" t="str">
            <v>Live</v>
          </cell>
          <cell r="R4984">
            <v>44609.759155092594</v>
          </cell>
          <cell r="S4984" t="str">
            <v>Amira Elshora Old Account</v>
          </cell>
          <cell r="T4984">
            <v>44647</v>
          </cell>
          <cell r="U4984" t="str">
            <v>Billy Smith</v>
          </cell>
          <cell r="V4984">
            <v>44648</v>
          </cell>
          <cell r="W4984">
            <v>44719</v>
          </cell>
          <cell r="Y4984">
            <v>44628</v>
          </cell>
          <cell r="AC4984">
            <v>44719</v>
          </cell>
        </row>
        <row r="4985">
          <cell r="I4985" t="str">
            <v>EDI</v>
          </cell>
          <cell r="L4985">
            <v>672</v>
          </cell>
          <cell r="N4985" t="str">
            <v>Production</v>
          </cell>
          <cell r="O4985" t="str">
            <v>eBenefits Network</v>
          </cell>
          <cell r="P4985" t="str">
            <v>Production</v>
          </cell>
          <cell r="Q4985" t="str">
            <v>Live</v>
          </cell>
          <cell r="R4985">
            <v>44609.755937499998</v>
          </cell>
          <cell r="S4985" t="str">
            <v>Ahmed Gamal</v>
          </cell>
          <cell r="T4985">
            <v>44647</v>
          </cell>
          <cell r="U4985" t="str">
            <v>Billy Smith</v>
          </cell>
          <cell r="W4985">
            <v>44684</v>
          </cell>
          <cell r="Y4985">
            <v>44628</v>
          </cell>
          <cell r="AC4985">
            <v>44679</v>
          </cell>
        </row>
        <row r="4986">
          <cell r="I4986" t="str">
            <v>EDI</v>
          </cell>
          <cell r="L4986">
            <v>878</v>
          </cell>
          <cell r="N4986" t="str">
            <v>Production</v>
          </cell>
          <cell r="O4986" t="str">
            <v>eBenefits Network</v>
          </cell>
          <cell r="P4986" t="str">
            <v>Production</v>
          </cell>
          <cell r="Q4986" t="str">
            <v>Cancelled</v>
          </cell>
          <cell r="R4986">
            <v>44609.755937499998</v>
          </cell>
          <cell r="S4986" t="str">
            <v>Ahmed Gamal</v>
          </cell>
          <cell r="T4986">
            <v>44686</v>
          </cell>
          <cell r="U4986" t="str">
            <v>Billy Smith</v>
          </cell>
          <cell r="W4986">
            <v>44706</v>
          </cell>
          <cell r="Y4986">
            <v>44628</v>
          </cell>
          <cell r="AC4986">
            <v>44703</v>
          </cell>
        </row>
        <row r="4987">
          <cell r="I4987" t="str">
            <v>EDI</v>
          </cell>
          <cell r="L4987">
            <v>681</v>
          </cell>
          <cell r="N4987" t="str">
            <v>Production</v>
          </cell>
          <cell r="O4987" t="str">
            <v>eBenefits Network</v>
          </cell>
          <cell r="P4987" t="str">
            <v>Production</v>
          </cell>
          <cell r="Q4987" t="str">
            <v>Cancelled</v>
          </cell>
          <cell r="R4987">
            <v>44609.751747685194</v>
          </cell>
          <cell r="S4987" t="str">
            <v>Amira Elshora Old Account</v>
          </cell>
          <cell r="T4987">
            <v>44647</v>
          </cell>
          <cell r="U4987" t="str">
            <v>Billy Smith</v>
          </cell>
          <cell r="V4987">
            <v>44663</v>
          </cell>
          <cell r="W4987">
            <v>44706</v>
          </cell>
          <cell r="Y4987">
            <v>44628</v>
          </cell>
          <cell r="AC4987">
            <v>44704</v>
          </cell>
        </row>
        <row r="4988">
          <cell r="I4988" t="str">
            <v>EDI</v>
          </cell>
          <cell r="L4988">
            <v>760</v>
          </cell>
          <cell r="N4988" t="str">
            <v>Production</v>
          </cell>
          <cell r="O4988" t="str">
            <v>eBenefits Network</v>
          </cell>
          <cell r="P4988" t="str">
            <v>Production</v>
          </cell>
          <cell r="Q4988" t="str">
            <v>Live</v>
          </cell>
          <cell r="R4988">
            <v>44609.746249999997</v>
          </cell>
          <cell r="S4988" t="str">
            <v>Fady Maged Old Account</v>
          </cell>
          <cell r="T4988">
            <v>44660</v>
          </cell>
          <cell r="U4988" t="str">
            <v>Billy Smith</v>
          </cell>
          <cell r="V4988">
            <v>44673</v>
          </cell>
          <cell r="W4988">
            <v>25569</v>
          </cell>
          <cell r="Y4988">
            <v>44628</v>
          </cell>
          <cell r="AC4988">
            <v>44908</v>
          </cell>
        </row>
        <row r="4989">
          <cell r="I4989" t="str">
            <v>EDI</v>
          </cell>
          <cell r="L4989">
            <v>819</v>
          </cell>
          <cell r="N4989" t="str">
            <v>Production</v>
          </cell>
          <cell r="O4989" t="str">
            <v>eBenefits Network</v>
          </cell>
          <cell r="P4989" t="str">
            <v>Production</v>
          </cell>
          <cell r="Q4989" t="str">
            <v>Live</v>
          </cell>
          <cell r="R4989">
            <v>44609.745879629627</v>
          </cell>
          <cell r="S4989" t="str">
            <v>Fady Maged Old Account</v>
          </cell>
          <cell r="T4989">
            <v>44660</v>
          </cell>
          <cell r="U4989" t="str">
            <v>Billy Smith</v>
          </cell>
          <cell r="V4989">
            <v>44673</v>
          </cell>
          <cell r="W4989">
            <v>25569</v>
          </cell>
          <cell r="Y4989">
            <v>44628</v>
          </cell>
          <cell r="AC4989">
            <v>44844</v>
          </cell>
        </row>
        <row r="4990">
          <cell r="I4990" t="str">
            <v>EDI</v>
          </cell>
          <cell r="L4990">
            <v>678</v>
          </cell>
          <cell r="N4990" t="str">
            <v>Testing</v>
          </cell>
          <cell r="O4990" t="str">
            <v>eBenefits Network</v>
          </cell>
          <cell r="P4990" t="str">
            <v>Phase 3</v>
          </cell>
          <cell r="Q4990" t="str">
            <v>Cancelled</v>
          </cell>
          <cell r="R4990">
            <v>44609.741967592592</v>
          </cell>
          <cell r="S4990" t="str">
            <v>Fady Maged Old Account</v>
          </cell>
          <cell r="T4990">
            <v>44647</v>
          </cell>
          <cell r="U4990" t="str">
            <v>Billy Smith</v>
          </cell>
          <cell r="V4990">
            <v>44647</v>
          </cell>
          <cell r="Y4990">
            <v>44631</v>
          </cell>
        </row>
        <row r="4991">
          <cell r="I4991" t="str">
            <v>EDI</v>
          </cell>
          <cell r="L4991">
            <v>687</v>
          </cell>
          <cell r="N4991" t="str">
            <v>Testing</v>
          </cell>
          <cell r="O4991" t="str">
            <v>eBenefits Network</v>
          </cell>
          <cell r="P4991" t="str">
            <v>Phase 3</v>
          </cell>
          <cell r="Q4991" t="str">
            <v>Cancelled</v>
          </cell>
          <cell r="R4991">
            <v>44609.741956018523</v>
          </cell>
          <cell r="S4991" t="str">
            <v>Fady Maged Old Account</v>
          </cell>
          <cell r="T4991">
            <v>44647</v>
          </cell>
          <cell r="U4991" t="str">
            <v>Billy Smith</v>
          </cell>
          <cell r="V4991">
            <v>44648</v>
          </cell>
          <cell r="Y4991">
            <v>44628</v>
          </cell>
        </row>
        <row r="4992">
          <cell r="I4992" t="str">
            <v>EDI</v>
          </cell>
          <cell r="L4992">
            <v>702</v>
          </cell>
          <cell r="N4992" t="str">
            <v>Production</v>
          </cell>
          <cell r="O4992" t="str">
            <v>eBenefits Network</v>
          </cell>
          <cell r="P4992" t="str">
            <v>Production</v>
          </cell>
          <cell r="Q4992" t="str">
            <v>Cancelled</v>
          </cell>
          <cell r="R4992">
            <v>44609.738900462973</v>
          </cell>
          <cell r="S4992" t="str">
            <v>Amira Elshora Old Account</v>
          </cell>
          <cell r="T4992">
            <v>44650</v>
          </cell>
          <cell r="U4992" t="str">
            <v>Billy Smith</v>
          </cell>
          <cell r="V4992">
            <v>44656</v>
          </cell>
          <cell r="W4992">
            <v>44698</v>
          </cell>
          <cell r="Y4992">
            <v>44628</v>
          </cell>
          <cell r="AC4992">
            <v>44697</v>
          </cell>
        </row>
        <row r="4993">
          <cell r="I4993" t="str">
            <v>EDI</v>
          </cell>
          <cell r="L4993">
            <v>904</v>
          </cell>
          <cell r="N4993" t="str">
            <v>Production</v>
          </cell>
          <cell r="O4993" t="str">
            <v>eBenefits Network</v>
          </cell>
          <cell r="P4993" t="str">
            <v>Production</v>
          </cell>
          <cell r="Q4993" t="str">
            <v>Cancelled</v>
          </cell>
          <cell r="R4993">
            <v>44609.738888888889</v>
          </cell>
          <cell r="S4993" t="str">
            <v>Amira Elshora</v>
          </cell>
          <cell r="T4993">
            <v>44888</v>
          </cell>
          <cell r="U4993" t="str">
            <v>Billy Smith</v>
          </cell>
          <cell r="V4993">
            <v>44692</v>
          </cell>
          <cell r="W4993">
            <v>45041</v>
          </cell>
          <cell r="Y4993">
            <v>44628</v>
          </cell>
          <cell r="AC4993">
            <v>45036</v>
          </cell>
        </row>
        <row r="4994">
          <cell r="I4994" t="str">
            <v>EDI</v>
          </cell>
          <cell r="L4994">
            <v>889</v>
          </cell>
          <cell r="N4994" t="str">
            <v>Production</v>
          </cell>
          <cell r="O4994" t="str">
            <v>eBenefits Network</v>
          </cell>
          <cell r="P4994" t="str">
            <v>Production</v>
          </cell>
          <cell r="Q4994" t="str">
            <v>Live</v>
          </cell>
          <cell r="R4994">
            <v>44609.738888888889</v>
          </cell>
          <cell r="S4994" t="str">
            <v>Amira Elshora Old Account</v>
          </cell>
          <cell r="T4994">
            <v>44691</v>
          </cell>
          <cell r="U4994" t="str">
            <v>Billy Smith</v>
          </cell>
          <cell r="V4994">
            <v>44692</v>
          </cell>
          <cell r="W4994">
            <v>25569</v>
          </cell>
          <cell r="Y4994">
            <v>44628</v>
          </cell>
          <cell r="AC4994">
            <v>44750</v>
          </cell>
        </row>
        <row r="4995">
          <cell r="I4995" t="str">
            <v>EDI</v>
          </cell>
          <cell r="L4995">
            <v>634</v>
          </cell>
          <cell r="N4995" t="str">
            <v>Production</v>
          </cell>
          <cell r="O4995" t="str">
            <v>eBenefits Network</v>
          </cell>
          <cell r="P4995" t="str">
            <v>Production</v>
          </cell>
          <cell r="Q4995" t="str">
            <v>Live</v>
          </cell>
          <cell r="R4995">
            <v>44609.735995370371</v>
          </cell>
          <cell r="S4995" t="str">
            <v>Ahmed Gamal</v>
          </cell>
          <cell r="T4995">
            <v>44642</v>
          </cell>
          <cell r="U4995" t="str">
            <v>Billy Smith</v>
          </cell>
          <cell r="W4995">
            <v>44733</v>
          </cell>
          <cell r="AC4995">
            <v>44732</v>
          </cell>
        </row>
        <row r="4996">
          <cell r="I4996" t="str">
            <v>EDI</v>
          </cell>
          <cell r="L4996">
            <v>756</v>
          </cell>
          <cell r="N4996" t="str">
            <v>Testing</v>
          </cell>
          <cell r="O4996" t="str">
            <v>eBenefits Network</v>
          </cell>
          <cell r="P4996" t="str">
            <v>Migration Testing</v>
          </cell>
          <cell r="Q4996" t="str">
            <v>Cancelled</v>
          </cell>
          <cell r="R4996">
            <v>44609.685914351852</v>
          </cell>
          <cell r="S4996" t="str">
            <v>Amira Elshora Old Account</v>
          </cell>
          <cell r="T4996">
            <v>44657</v>
          </cell>
          <cell r="U4996" t="str">
            <v>Billy Smith</v>
          </cell>
          <cell r="V4996">
            <v>44658</v>
          </cell>
          <cell r="Y4996">
            <v>44639</v>
          </cell>
        </row>
        <row r="4997">
          <cell r="I4997" t="str">
            <v>EDI</v>
          </cell>
          <cell r="L4997">
            <v>910</v>
          </cell>
          <cell r="N4997" t="str">
            <v>Production</v>
          </cell>
          <cell r="O4997" t="str">
            <v>eBenefits Network</v>
          </cell>
          <cell r="P4997" t="str">
            <v>Production</v>
          </cell>
          <cell r="Q4997" t="str">
            <v>Live</v>
          </cell>
          <cell r="R4997">
            <v>44609.673368055563</v>
          </cell>
          <cell r="S4997" t="str">
            <v>Fady Maged Old Account</v>
          </cell>
          <cell r="T4997">
            <v>44686</v>
          </cell>
          <cell r="U4997" t="str">
            <v>Billy Smith</v>
          </cell>
          <cell r="V4997">
            <v>44692</v>
          </cell>
          <cell r="W4997">
            <v>44754</v>
          </cell>
          <cell r="Y4997">
            <v>44631</v>
          </cell>
          <cell r="AC4997">
            <v>44749</v>
          </cell>
        </row>
        <row r="4998">
          <cell r="I4998" t="str">
            <v>EDI</v>
          </cell>
          <cell r="L4998">
            <v>805</v>
          </cell>
          <cell r="N4998" t="str">
            <v>Testing</v>
          </cell>
          <cell r="O4998" t="str">
            <v>eBenefits Network</v>
          </cell>
          <cell r="P4998" t="str">
            <v>Migration Testing</v>
          </cell>
          <cell r="Q4998" t="str">
            <v>Cancelled</v>
          </cell>
          <cell r="R4998">
            <v>44609.670891203707</v>
          </cell>
          <cell r="S4998" t="str">
            <v>Amira Elshora</v>
          </cell>
          <cell r="T4998">
            <v>44888</v>
          </cell>
          <cell r="U4998" t="str">
            <v>Billy Smith</v>
          </cell>
          <cell r="V4998">
            <v>25569</v>
          </cell>
        </row>
        <row r="4999">
          <cell r="I4999" t="str">
            <v>EDI</v>
          </cell>
          <cell r="L4999">
            <v>701</v>
          </cell>
          <cell r="N4999" t="str">
            <v>Production</v>
          </cell>
          <cell r="O4999" t="str">
            <v>eBenefits Network</v>
          </cell>
          <cell r="P4999" t="str">
            <v>Production</v>
          </cell>
          <cell r="Q4999" t="str">
            <v>Cancelled</v>
          </cell>
          <cell r="R4999">
            <v>44609.668657407397</v>
          </cell>
          <cell r="S4999" t="str">
            <v>Ahmed Gamal</v>
          </cell>
          <cell r="T4999">
            <v>44650</v>
          </cell>
          <cell r="U4999" t="str">
            <v>Billy Smith</v>
          </cell>
          <cell r="W4999">
            <v>44691</v>
          </cell>
          <cell r="Y4999">
            <v>44631</v>
          </cell>
          <cell r="AC4999">
            <v>44690</v>
          </cell>
        </row>
        <row r="5000">
          <cell r="I5000" t="str">
            <v>EDI</v>
          </cell>
          <cell r="L5000">
            <v>631</v>
          </cell>
          <cell r="N5000" t="str">
            <v>Production</v>
          </cell>
          <cell r="O5000" t="str">
            <v>No</v>
          </cell>
          <cell r="Q5000" t="str">
            <v>Live</v>
          </cell>
          <cell r="R5000">
            <v>44609.626261574071</v>
          </cell>
          <cell r="S5000" t="str">
            <v>Omar Elmahalwy Old Account</v>
          </cell>
          <cell r="T5000">
            <v>44642</v>
          </cell>
          <cell r="U5000" t="str">
            <v>Miranda Naeem</v>
          </cell>
          <cell r="V5000">
            <v>44658</v>
          </cell>
          <cell r="W5000">
            <v>25569</v>
          </cell>
          <cell r="Y5000">
            <v>44641</v>
          </cell>
          <cell r="AC5000">
            <v>44739</v>
          </cell>
        </row>
        <row r="5001">
          <cell r="I5001" t="str">
            <v>EDI</v>
          </cell>
          <cell r="L5001">
            <v>487</v>
          </cell>
          <cell r="N5001" t="str">
            <v>Production</v>
          </cell>
          <cell r="O5001" t="str">
            <v>No</v>
          </cell>
          <cell r="Q5001" t="str">
            <v>Cancelled</v>
          </cell>
          <cell r="R5001">
            <v>44609.626250000001</v>
          </cell>
          <cell r="S5001" t="str">
            <v>Fady Bassel</v>
          </cell>
          <cell r="T5001">
            <v>44616</v>
          </cell>
          <cell r="U5001" t="str">
            <v>Miranda Naeem</v>
          </cell>
          <cell r="V5001">
            <v>44626</v>
          </cell>
          <cell r="W5001">
            <v>44635</v>
          </cell>
          <cell r="Y5001">
            <v>44615</v>
          </cell>
          <cell r="AC5001">
            <v>44631</v>
          </cell>
        </row>
        <row r="5002">
          <cell r="I5002" t="str">
            <v>EDI</v>
          </cell>
          <cell r="L5002">
            <v>605</v>
          </cell>
          <cell r="N5002" t="str">
            <v>Production</v>
          </cell>
          <cell r="O5002" t="str">
            <v>No</v>
          </cell>
          <cell r="Q5002" t="str">
            <v>Cancelled</v>
          </cell>
          <cell r="R5002">
            <v>44609.437835648147</v>
          </cell>
          <cell r="S5002" t="str">
            <v>Haytham Mohamed</v>
          </cell>
          <cell r="T5002">
            <v>44637</v>
          </cell>
          <cell r="U5002" t="str">
            <v>Miranda Naeem</v>
          </cell>
          <cell r="V5002">
            <v>44826</v>
          </cell>
          <cell r="W5002">
            <v>44973</v>
          </cell>
          <cell r="Y5002">
            <v>44636</v>
          </cell>
          <cell r="AC5002">
            <v>44970</v>
          </cell>
        </row>
        <row r="5003">
          <cell r="I5003" t="str">
            <v>EDI</v>
          </cell>
          <cell r="L5003">
            <v>561</v>
          </cell>
          <cell r="N5003" t="str">
            <v>Testing</v>
          </cell>
          <cell r="O5003" t="str">
            <v>Everything Benefits</v>
          </cell>
          <cell r="P5003" t="str">
            <v>Phase 3</v>
          </cell>
          <cell r="Q5003" t="str">
            <v>Cancelled</v>
          </cell>
          <cell r="R5003">
            <v>44608.865127314813</v>
          </cell>
          <cell r="S5003" t="str">
            <v>Mina Kamil Old Account</v>
          </cell>
          <cell r="T5003">
            <v>44627</v>
          </cell>
          <cell r="U5003" t="str">
            <v>Melodie Coles</v>
          </cell>
        </row>
        <row r="5004">
          <cell r="I5004" t="str">
            <v>EDI</v>
          </cell>
          <cell r="L5004">
            <v>602</v>
          </cell>
          <cell r="N5004" t="str">
            <v>Mapping</v>
          </cell>
          <cell r="O5004" t="str">
            <v>Everything Benefits</v>
          </cell>
          <cell r="P5004" t="str">
            <v>Phase 1 - Map Built</v>
          </cell>
          <cell r="Q5004" t="str">
            <v>Cancelled</v>
          </cell>
          <cell r="R5004">
            <v>44608.865115740737</v>
          </cell>
          <cell r="S5004" t="str">
            <v>Mirna Azmy</v>
          </cell>
          <cell r="T5004">
            <v>44627</v>
          </cell>
          <cell r="U5004" t="str">
            <v>Melodie Coles</v>
          </cell>
        </row>
        <row r="5005">
          <cell r="I5005" t="str">
            <v>EDI</v>
          </cell>
          <cell r="L5005">
            <v>533</v>
          </cell>
          <cell r="N5005" t="str">
            <v>Mapping</v>
          </cell>
          <cell r="O5005" t="str">
            <v>Everything Benefits</v>
          </cell>
          <cell r="P5005" t="str">
            <v>Phase 1 - Map Built</v>
          </cell>
          <cell r="Q5005" t="str">
            <v>Cancelled</v>
          </cell>
          <cell r="R5005">
            <v>44608.865115740737</v>
          </cell>
          <cell r="S5005" t="str">
            <v>Mohamed Abdelhamed</v>
          </cell>
          <cell r="T5005">
            <v>44627</v>
          </cell>
          <cell r="U5005" t="str">
            <v>Melodie Coles</v>
          </cell>
        </row>
        <row r="5006">
          <cell r="I5006" t="str">
            <v>EDI</v>
          </cell>
          <cell r="L5006">
            <v>551</v>
          </cell>
          <cell r="N5006" t="str">
            <v>Production</v>
          </cell>
          <cell r="O5006" t="str">
            <v>Everything Benefits</v>
          </cell>
          <cell r="P5006" t="str">
            <v>Production</v>
          </cell>
          <cell r="Q5006" t="str">
            <v>Cancelled</v>
          </cell>
          <cell r="R5006">
            <v>44608.839814814812</v>
          </cell>
          <cell r="S5006" t="str">
            <v>Mina Kamil Old Account</v>
          </cell>
          <cell r="T5006">
            <v>44627</v>
          </cell>
          <cell r="U5006" t="str">
            <v>Melodie Coles</v>
          </cell>
          <cell r="W5006">
            <v>44694</v>
          </cell>
          <cell r="AC5006">
            <v>44694</v>
          </cell>
        </row>
        <row r="5007">
          <cell r="I5007" t="str">
            <v>EDI</v>
          </cell>
          <cell r="L5007">
            <v>590</v>
          </cell>
          <cell r="N5007" t="str">
            <v>Production</v>
          </cell>
          <cell r="O5007" t="str">
            <v>Everything Benefits</v>
          </cell>
          <cell r="P5007" t="str">
            <v>Production</v>
          </cell>
          <cell r="Q5007" t="str">
            <v>Cancelled</v>
          </cell>
          <cell r="R5007">
            <v>44608.839803240742</v>
          </cell>
          <cell r="S5007" t="str">
            <v>Alaa Yehia</v>
          </cell>
          <cell r="T5007">
            <v>44627</v>
          </cell>
          <cell r="U5007" t="str">
            <v>Melodie Coles</v>
          </cell>
          <cell r="V5007">
            <v>44774</v>
          </cell>
          <cell r="W5007">
            <v>44823</v>
          </cell>
          <cell r="AC5007">
            <v>44820</v>
          </cell>
        </row>
        <row r="5008">
          <cell r="I5008" t="str">
            <v>EDI</v>
          </cell>
          <cell r="L5008">
            <v>572</v>
          </cell>
          <cell r="N5008" t="str">
            <v>Production</v>
          </cell>
          <cell r="O5008" t="str">
            <v>Everything Benefits</v>
          </cell>
          <cell r="P5008" t="str">
            <v>Production</v>
          </cell>
          <cell r="Q5008" t="str">
            <v>Live</v>
          </cell>
          <cell r="R5008">
            <v>44608.823611111111</v>
          </cell>
          <cell r="S5008" t="str">
            <v>Alaa Yehia</v>
          </cell>
          <cell r="T5008">
            <v>44627</v>
          </cell>
          <cell r="U5008" t="str">
            <v>Melodie Coles</v>
          </cell>
          <cell r="V5008">
            <v>44774</v>
          </cell>
          <cell r="W5008">
            <v>45054</v>
          </cell>
          <cell r="AC5008">
            <v>45053</v>
          </cell>
        </row>
        <row r="5009">
          <cell r="I5009" t="str">
            <v>EDI</v>
          </cell>
          <cell r="L5009">
            <v>555</v>
          </cell>
          <cell r="N5009" t="str">
            <v>Production</v>
          </cell>
          <cell r="O5009" t="str">
            <v>Everything Benefits</v>
          </cell>
          <cell r="P5009" t="str">
            <v>Production</v>
          </cell>
          <cell r="Q5009" t="str">
            <v>Live</v>
          </cell>
          <cell r="R5009">
            <v>44608.823599537027</v>
          </cell>
          <cell r="S5009" t="str">
            <v>Mahmoud Heidar</v>
          </cell>
          <cell r="T5009">
            <v>44627</v>
          </cell>
          <cell r="U5009" t="str">
            <v>Melodie Coles</v>
          </cell>
          <cell r="V5009">
            <v>44666</v>
          </cell>
          <cell r="W5009">
            <v>45054</v>
          </cell>
          <cell r="AC5009">
            <v>45053</v>
          </cell>
        </row>
        <row r="5010">
          <cell r="I5010" t="str">
            <v>EDI</v>
          </cell>
          <cell r="N5010" t="str">
            <v>Production</v>
          </cell>
          <cell r="O5010" t="str">
            <v>No</v>
          </cell>
          <cell r="Q5010" t="str">
            <v>Cancelled</v>
          </cell>
          <cell r="R5010">
            <v>44608.819016203714</v>
          </cell>
          <cell r="S5010" t="str">
            <v>Ahmed Sami Old Account</v>
          </cell>
          <cell r="T5010">
            <v>44627</v>
          </cell>
          <cell r="U5010" t="str">
            <v>Miranda Naeem</v>
          </cell>
          <cell r="Y5010">
            <v>44626</v>
          </cell>
          <cell r="AC5010">
            <v>44650</v>
          </cell>
        </row>
        <row r="5011">
          <cell r="I5011" t="str">
            <v>EDI</v>
          </cell>
          <cell r="L5011">
            <v>578</v>
          </cell>
          <cell r="N5011" t="str">
            <v>Production</v>
          </cell>
          <cell r="O5011" t="str">
            <v>No</v>
          </cell>
          <cell r="Q5011" t="str">
            <v>Cancelled</v>
          </cell>
          <cell r="R5011">
            <v>44608.815625000003</v>
          </cell>
          <cell r="S5011" t="str">
            <v>Mohamed Samy</v>
          </cell>
          <cell r="T5011">
            <v>44629</v>
          </cell>
          <cell r="U5011" t="str">
            <v>Billy Smith</v>
          </cell>
          <cell r="V5011">
            <v>44634</v>
          </cell>
          <cell r="W5011">
            <v>44748</v>
          </cell>
          <cell r="Y5011">
            <v>44628</v>
          </cell>
          <cell r="AC5011">
            <v>44742</v>
          </cell>
        </row>
        <row r="5012">
          <cell r="I5012" t="str">
            <v>EDI</v>
          </cell>
          <cell r="N5012" t="str">
            <v>Requirements Gathering</v>
          </cell>
          <cell r="O5012" t="str">
            <v>No</v>
          </cell>
          <cell r="Q5012" t="str">
            <v>Cancelled</v>
          </cell>
          <cell r="R5012">
            <v>44608.779918981483</v>
          </cell>
          <cell r="S5012" t="str">
            <v>Lourina Edmon Old Account</v>
          </cell>
          <cell r="T5012">
            <v>44888</v>
          </cell>
          <cell r="U5012" t="str">
            <v>Miranda Naeem</v>
          </cell>
        </row>
        <row r="5013">
          <cell r="I5013" t="str">
            <v>EDI</v>
          </cell>
          <cell r="N5013" t="str">
            <v>Pending Start</v>
          </cell>
          <cell r="O5013" t="str">
            <v>No</v>
          </cell>
          <cell r="Q5013" t="str">
            <v>Cancelled</v>
          </cell>
          <cell r="R5013">
            <v>44608.718263888892</v>
          </cell>
          <cell r="U5013" t="str">
            <v>Miranda Naeem</v>
          </cell>
        </row>
        <row r="5014">
          <cell r="I5014" t="str">
            <v>EDI</v>
          </cell>
          <cell r="L5014">
            <v>438</v>
          </cell>
          <cell r="N5014" t="str">
            <v>Production</v>
          </cell>
          <cell r="O5014" t="str">
            <v>No</v>
          </cell>
          <cell r="Q5014" t="str">
            <v>Cancelled</v>
          </cell>
          <cell r="R5014">
            <v>44608.663564814808</v>
          </cell>
          <cell r="S5014" t="str">
            <v>Mina Adel Old Account</v>
          </cell>
          <cell r="T5014">
            <v>44612</v>
          </cell>
          <cell r="U5014" t="str">
            <v>Miranda Naeem</v>
          </cell>
          <cell r="V5014">
            <v>44636</v>
          </cell>
          <cell r="W5014">
            <v>44817</v>
          </cell>
          <cell r="Y5014">
            <v>44609</v>
          </cell>
          <cell r="AC5014">
            <v>44805</v>
          </cell>
        </row>
        <row r="5015">
          <cell r="I5015" t="str">
            <v>EDI</v>
          </cell>
          <cell r="L5015">
            <v>557</v>
          </cell>
          <cell r="N5015" t="str">
            <v>Production</v>
          </cell>
          <cell r="O5015" t="str">
            <v>No</v>
          </cell>
          <cell r="Q5015" t="str">
            <v>Cancelled</v>
          </cell>
          <cell r="R5015">
            <v>44608.662881944438</v>
          </cell>
          <cell r="S5015" t="str">
            <v>Omnia Abdelaziz</v>
          </cell>
          <cell r="T5015">
            <v>44892</v>
          </cell>
          <cell r="U5015" t="str">
            <v>Denise Stubenvoll</v>
          </cell>
          <cell r="V5015">
            <v>44670</v>
          </cell>
          <cell r="W5015">
            <v>44679</v>
          </cell>
          <cell r="Y5015">
            <v>44629</v>
          </cell>
          <cell r="AC5015">
            <v>44673</v>
          </cell>
        </row>
        <row r="5016">
          <cell r="I5016" t="str">
            <v>EDI</v>
          </cell>
          <cell r="L5016">
            <v>598</v>
          </cell>
          <cell r="N5016" t="str">
            <v>Production</v>
          </cell>
          <cell r="O5016" t="str">
            <v>No</v>
          </cell>
          <cell r="Q5016" t="str">
            <v>Cancelled</v>
          </cell>
          <cell r="R5016">
            <v>44608.641875000001</v>
          </cell>
          <cell r="S5016" t="str">
            <v>Haytham Mohamed</v>
          </cell>
          <cell r="T5016">
            <v>44636</v>
          </cell>
          <cell r="U5016" t="str">
            <v>Billy Smith</v>
          </cell>
          <cell r="V5016">
            <v>44637</v>
          </cell>
          <cell r="W5016">
            <v>44769</v>
          </cell>
          <cell r="Y5016">
            <v>44635</v>
          </cell>
          <cell r="AC5016">
            <v>44763</v>
          </cell>
        </row>
        <row r="5017">
          <cell r="I5017" t="str">
            <v>EDI</v>
          </cell>
          <cell r="L5017">
            <v>603</v>
          </cell>
          <cell r="N5017" t="str">
            <v>Production</v>
          </cell>
          <cell r="O5017" t="str">
            <v>Everything Benefits</v>
          </cell>
          <cell r="P5017" t="str">
            <v>Production</v>
          </cell>
          <cell r="Q5017" t="str">
            <v>Cancelled</v>
          </cell>
          <cell r="R5017">
            <v>44608.121990740743</v>
          </cell>
          <cell r="S5017" t="str">
            <v>Mirna Azmy</v>
          </cell>
          <cell r="T5017">
            <v>44627</v>
          </cell>
          <cell r="U5017" t="str">
            <v>Melodie Coles</v>
          </cell>
          <cell r="V5017">
            <v>44768</v>
          </cell>
          <cell r="W5017">
            <v>44781</v>
          </cell>
          <cell r="Y5017">
            <v>44608</v>
          </cell>
          <cell r="AC5017">
            <v>44780</v>
          </cell>
        </row>
        <row r="5018">
          <cell r="I5018" t="str">
            <v>EDI</v>
          </cell>
          <cell r="L5018">
            <v>556</v>
          </cell>
          <cell r="N5018" t="str">
            <v>Production</v>
          </cell>
          <cell r="O5018" t="str">
            <v>Everything Benefits</v>
          </cell>
          <cell r="P5018" t="str">
            <v>Production</v>
          </cell>
          <cell r="Q5018" t="str">
            <v>Cancelled</v>
          </cell>
          <cell r="R5018">
            <v>44608.121990740743</v>
          </cell>
          <cell r="S5018" t="str">
            <v>Mahmoud Heidar</v>
          </cell>
          <cell r="T5018">
            <v>44627</v>
          </cell>
          <cell r="U5018" t="str">
            <v>Melodie Coles</v>
          </cell>
          <cell r="V5018">
            <v>44779</v>
          </cell>
          <cell r="W5018">
            <v>45047</v>
          </cell>
          <cell r="Y5018">
            <v>44608</v>
          </cell>
          <cell r="AC5018">
            <v>45046</v>
          </cell>
        </row>
        <row r="5019">
          <cell r="I5019" t="str">
            <v>EDI</v>
          </cell>
          <cell r="L5019">
            <v>671</v>
          </cell>
          <cell r="N5019" t="str">
            <v>Production</v>
          </cell>
          <cell r="O5019" t="str">
            <v>eBenefits Network</v>
          </cell>
          <cell r="P5019" t="str">
            <v>Production</v>
          </cell>
          <cell r="Q5019" t="str">
            <v>Cancelled</v>
          </cell>
          <cell r="R5019">
            <v>44608.10596064815</v>
          </cell>
          <cell r="S5019" t="str">
            <v>Ahmed Gamal</v>
          </cell>
          <cell r="T5019">
            <v>44647</v>
          </cell>
          <cell r="U5019" t="str">
            <v>Billy Smith</v>
          </cell>
          <cell r="W5019">
            <v>44661</v>
          </cell>
          <cell r="Y5019">
            <v>44627</v>
          </cell>
          <cell r="AC5019">
            <v>44660</v>
          </cell>
        </row>
        <row r="5020">
          <cell r="I5020" t="str">
            <v>EDI</v>
          </cell>
          <cell r="L5020">
            <v>907</v>
          </cell>
          <cell r="N5020" t="str">
            <v>Production</v>
          </cell>
          <cell r="O5020" t="str">
            <v>eBenefits Network</v>
          </cell>
          <cell r="P5020" t="str">
            <v>Production</v>
          </cell>
          <cell r="Q5020" t="str">
            <v>Cancelled</v>
          </cell>
          <cell r="R5020">
            <v>44608.10596064815</v>
          </cell>
          <cell r="S5020" t="str">
            <v>Amira Elshora Old Account</v>
          </cell>
          <cell r="T5020">
            <v>44682</v>
          </cell>
          <cell r="U5020" t="str">
            <v>Billy Smith</v>
          </cell>
          <cell r="V5020">
            <v>44690</v>
          </cell>
          <cell r="W5020">
            <v>44746</v>
          </cell>
          <cell r="Y5020">
            <v>44627</v>
          </cell>
          <cell r="AC5020">
            <v>44746</v>
          </cell>
        </row>
        <row r="5021">
          <cell r="I5021" t="str">
            <v>EDI</v>
          </cell>
          <cell r="L5021">
            <v>648</v>
          </cell>
          <cell r="N5021" t="str">
            <v>Production</v>
          </cell>
          <cell r="O5021" t="str">
            <v>eBenefits Network</v>
          </cell>
          <cell r="P5021" t="str">
            <v>Production</v>
          </cell>
          <cell r="Q5021" t="str">
            <v>Live</v>
          </cell>
          <cell r="R5021">
            <v>44608.103993055563</v>
          </cell>
          <cell r="S5021" t="str">
            <v>Amira Elshora Old Account</v>
          </cell>
          <cell r="T5021">
            <v>44642</v>
          </cell>
          <cell r="U5021" t="str">
            <v>Billy Smith</v>
          </cell>
          <cell r="V5021">
            <v>44642</v>
          </cell>
          <cell r="W5021">
            <v>44669</v>
          </cell>
          <cell r="Y5021">
            <v>44627</v>
          </cell>
          <cell r="AC5021">
            <v>44668</v>
          </cell>
        </row>
        <row r="5022">
          <cell r="I5022" t="str">
            <v>EDI</v>
          </cell>
          <cell r="L5022">
            <v>655</v>
          </cell>
          <cell r="N5022" t="str">
            <v>Production</v>
          </cell>
          <cell r="O5022" t="str">
            <v>eBenefits Network</v>
          </cell>
          <cell r="P5022" t="str">
            <v>Production</v>
          </cell>
          <cell r="Q5022" t="str">
            <v>Cancelled</v>
          </cell>
          <cell r="R5022">
            <v>44608.102025462962</v>
          </cell>
          <cell r="S5022" t="str">
            <v>Amira Elshora Old Account</v>
          </cell>
          <cell r="T5022">
            <v>44642</v>
          </cell>
          <cell r="U5022" t="str">
            <v>Billy Smith</v>
          </cell>
          <cell r="V5022">
            <v>44643</v>
          </cell>
          <cell r="W5022">
            <v>44755</v>
          </cell>
          <cell r="Y5022">
            <v>44639</v>
          </cell>
          <cell r="AC5022">
            <v>44749</v>
          </cell>
        </row>
        <row r="5023">
          <cell r="I5023" t="str">
            <v>EDI</v>
          </cell>
          <cell r="L5023">
            <v>656</v>
          </cell>
          <cell r="N5023" t="str">
            <v>Production</v>
          </cell>
          <cell r="O5023" t="str">
            <v>eBenefits Network</v>
          </cell>
          <cell r="P5023" t="str">
            <v>Production</v>
          </cell>
          <cell r="Q5023" t="str">
            <v>Cancelled</v>
          </cell>
          <cell r="R5023">
            <v>44608.102025462962</v>
          </cell>
          <cell r="S5023" t="str">
            <v>Amira Elshora Old Account</v>
          </cell>
          <cell r="T5023">
            <v>44642</v>
          </cell>
          <cell r="U5023" t="str">
            <v>Billy Smith</v>
          </cell>
          <cell r="V5023">
            <v>44643</v>
          </cell>
          <cell r="W5023">
            <v>44811</v>
          </cell>
          <cell r="Y5023">
            <v>44639</v>
          </cell>
          <cell r="AC5023">
            <v>44808</v>
          </cell>
        </row>
        <row r="5024">
          <cell r="I5024" t="str">
            <v>EDI</v>
          </cell>
          <cell r="L5024">
            <v>680</v>
          </cell>
          <cell r="N5024" t="str">
            <v>Production</v>
          </cell>
          <cell r="O5024" t="str">
            <v>eBenefits Network</v>
          </cell>
          <cell r="P5024" t="str">
            <v>Production</v>
          </cell>
          <cell r="Q5024" t="str">
            <v>Cancelled</v>
          </cell>
          <cell r="R5024">
            <v>44608.102013888893</v>
          </cell>
          <cell r="S5024" t="str">
            <v>Amira Elshora Old Account</v>
          </cell>
          <cell r="T5024">
            <v>44647</v>
          </cell>
          <cell r="U5024" t="str">
            <v>Billy Smith</v>
          </cell>
          <cell r="V5024">
            <v>44648</v>
          </cell>
          <cell r="W5024">
            <v>44736</v>
          </cell>
          <cell r="Y5024">
            <v>44639</v>
          </cell>
          <cell r="AC5024">
            <v>44718</v>
          </cell>
        </row>
        <row r="5025">
          <cell r="I5025" t="str">
            <v>EDI</v>
          </cell>
          <cell r="L5025">
            <v>673</v>
          </cell>
          <cell r="N5025" t="str">
            <v>Production</v>
          </cell>
          <cell r="O5025" t="str">
            <v>eBenefits Network</v>
          </cell>
          <cell r="P5025" t="str">
            <v>Production</v>
          </cell>
          <cell r="Q5025" t="str">
            <v>Cancelled</v>
          </cell>
          <cell r="R5025">
            <v>44608.102013888893</v>
          </cell>
          <cell r="S5025" t="str">
            <v>Ahmed Gamal</v>
          </cell>
          <cell r="T5025">
            <v>44647</v>
          </cell>
          <cell r="U5025" t="str">
            <v>Billy Smith</v>
          </cell>
          <cell r="V5025">
            <v>44880</v>
          </cell>
          <cell r="W5025">
            <v>44699</v>
          </cell>
          <cell r="Y5025">
            <v>44639</v>
          </cell>
          <cell r="AC5025">
            <v>44697</v>
          </cell>
        </row>
        <row r="5026">
          <cell r="I5026" t="str">
            <v>EDI</v>
          </cell>
          <cell r="L5026">
            <v>895</v>
          </cell>
          <cell r="N5026" t="str">
            <v>Production</v>
          </cell>
          <cell r="O5026" t="str">
            <v>eBenefits Network</v>
          </cell>
          <cell r="P5026" t="str">
            <v>Production</v>
          </cell>
          <cell r="Q5026" t="str">
            <v>Cancelled</v>
          </cell>
          <cell r="R5026">
            <v>44608.102013888893</v>
          </cell>
          <cell r="S5026" t="str">
            <v>Amira Elshora</v>
          </cell>
          <cell r="T5026">
            <v>44943</v>
          </cell>
          <cell r="U5026" t="str">
            <v>Billy Smith</v>
          </cell>
          <cell r="V5026">
            <v>44865</v>
          </cell>
          <cell r="W5026">
            <v>25569</v>
          </cell>
          <cell r="Y5026">
            <v>44639</v>
          </cell>
          <cell r="AC5026">
            <v>44990</v>
          </cell>
        </row>
        <row r="5027">
          <cell r="I5027" t="str">
            <v>EDI</v>
          </cell>
          <cell r="L5027">
            <v>768</v>
          </cell>
          <cell r="N5027" t="str">
            <v>Production</v>
          </cell>
          <cell r="O5027" t="str">
            <v>eBenefits Network</v>
          </cell>
          <cell r="P5027" t="str">
            <v>Production</v>
          </cell>
          <cell r="Q5027" t="str">
            <v>Cancelled</v>
          </cell>
          <cell r="R5027">
            <v>44608.098541666674</v>
          </cell>
          <cell r="S5027" t="str">
            <v>Amira Elshora Old Account</v>
          </cell>
          <cell r="T5027">
            <v>44666</v>
          </cell>
          <cell r="U5027" t="str">
            <v>Billy Smith</v>
          </cell>
          <cell r="V5027">
            <v>44670</v>
          </cell>
          <cell r="W5027">
            <v>44701</v>
          </cell>
          <cell r="Y5027">
            <v>44628</v>
          </cell>
          <cell r="AC5027">
            <v>44697</v>
          </cell>
        </row>
        <row r="5028">
          <cell r="I5028" t="str">
            <v>EDI</v>
          </cell>
          <cell r="L5028">
            <v>682</v>
          </cell>
          <cell r="N5028" t="str">
            <v>Production</v>
          </cell>
          <cell r="O5028" t="str">
            <v>eBenefits Network</v>
          </cell>
          <cell r="P5028" t="str">
            <v>Production</v>
          </cell>
          <cell r="Q5028" t="str">
            <v>Cancelled</v>
          </cell>
          <cell r="R5028">
            <v>44608.098530092589</v>
          </cell>
          <cell r="S5028" t="str">
            <v>Amira Elshora Old Account</v>
          </cell>
          <cell r="T5028">
            <v>44647</v>
          </cell>
          <cell r="U5028" t="str">
            <v>Billy Smith</v>
          </cell>
          <cell r="V5028">
            <v>44648</v>
          </cell>
          <cell r="W5028">
            <v>44673</v>
          </cell>
          <cell r="Y5028">
            <v>44628</v>
          </cell>
          <cell r="AC5028">
            <v>44668</v>
          </cell>
        </row>
        <row r="5029">
          <cell r="I5029" t="str">
            <v>EDI</v>
          </cell>
          <cell r="L5029">
            <v>685</v>
          </cell>
          <cell r="N5029" t="str">
            <v>Production</v>
          </cell>
          <cell r="O5029" t="str">
            <v>eBenefits Network</v>
          </cell>
          <cell r="P5029" t="str">
            <v>Production</v>
          </cell>
          <cell r="Q5029" t="str">
            <v>Cancelled</v>
          </cell>
          <cell r="R5029">
            <v>44608.098530092589</v>
          </cell>
          <cell r="S5029" t="str">
            <v>Amira Elshora Old Account</v>
          </cell>
          <cell r="T5029">
            <v>44647</v>
          </cell>
          <cell r="U5029" t="str">
            <v>Billy Smith</v>
          </cell>
          <cell r="V5029">
            <v>44648</v>
          </cell>
          <cell r="W5029">
            <v>44673</v>
          </cell>
          <cell r="Y5029">
            <v>44628</v>
          </cell>
          <cell r="AC5029">
            <v>44668</v>
          </cell>
        </row>
        <row r="5030">
          <cell r="I5030" t="str">
            <v>EDI</v>
          </cell>
          <cell r="L5030">
            <v>714</v>
          </cell>
          <cell r="N5030" t="str">
            <v>Production</v>
          </cell>
          <cell r="O5030" t="str">
            <v>eBenefits Network</v>
          </cell>
          <cell r="P5030" t="str">
            <v>Production</v>
          </cell>
          <cell r="Q5030" t="str">
            <v>Cancelled</v>
          </cell>
          <cell r="R5030">
            <v>44608.098530092589</v>
          </cell>
          <cell r="S5030" t="str">
            <v>Amira Elshora Old Account</v>
          </cell>
          <cell r="T5030">
            <v>44654</v>
          </cell>
          <cell r="U5030" t="str">
            <v>Billy Smith</v>
          </cell>
          <cell r="V5030">
            <v>44655</v>
          </cell>
          <cell r="W5030">
            <v>44686</v>
          </cell>
          <cell r="Y5030">
            <v>44628</v>
          </cell>
          <cell r="AC5030">
            <v>44679</v>
          </cell>
        </row>
        <row r="5031">
          <cell r="I5031" t="str">
            <v>EDI</v>
          </cell>
          <cell r="L5031">
            <v>624</v>
          </cell>
          <cell r="N5031" t="str">
            <v>Production</v>
          </cell>
          <cell r="O5031" t="str">
            <v>eBenefits Network</v>
          </cell>
          <cell r="P5031" t="str">
            <v>Production</v>
          </cell>
          <cell r="Q5031" t="str">
            <v>Cancelled</v>
          </cell>
          <cell r="R5031">
            <v>44608.095648148148</v>
          </cell>
          <cell r="S5031" t="str">
            <v>Ahmed Gamal</v>
          </cell>
          <cell r="T5031">
            <v>44638</v>
          </cell>
          <cell r="U5031" t="str">
            <v>Billy Smith</v>
          </cell>
          <cell r="W5031">
            <v>25569</v>
          </cell>
          <cell r="Y5031">
            <v>44628</v>
          </cell>
          <cell r="AC5031">
            <v>44794</v>
          </cell>
        </row>
        <row r="5032">
          <cell r="I5032" t="str">
            <v>EDI</v>
          </cell>
          <cell r="L5032">
            <v>755</v>
          </cell>
          <cell r="N5032" t="str">
            <v>Production</v>
          </cell>
          <cell r="O5032" t="str">
            <v>eBenefits Network</v>
          </cell>
          <cell r="P5032" t="str">
            <v>Production</v>
          </cell>
          <cell r="Q5032" t="str">
            <v>Cancelled</v>
          </cell>
          <cell r="R5032">
            <v>44608.093032407407</v>
          </cell>
          <cell r="S5032" t="str">
            <v>Fady Maged Old Account</v>
          </cell>
          <cell r="T5032">
            <v>44657</v>
          </cell>
          <cell r="U5032" t="str">
            <v>Billy Smith</v>
          </cell>
          <cell r="V5032">
            <v>44659</v>
          </cell>
          <cell r="W5032">
            <v>25569</v>
          </cell>
          <cell r="AC5032">
            <v>44679</v>
          </cell>
        </row>
        <row r="5033">
          <cell r="I5033" t="str">
            <v>EDI</v>
          </cell>
          <cell r="L5033">
            <v>750</v>
          </cell>
          <cell r="N5033" t="str">
            <v>Production</v>
          </cell>
          <cell r="O5033" t="str">
            <v>eBenefits Network</v>
          </cell>
          <cell r="P5033" t="str">
            <v>Production</v>
          </cell>
          <cell r="Q5033" t="str">
            <v>Cancelled</v>
          </cell>
          <cell r="R5033">
            <v>44608.09302083333</v>
          </cell>
          <cell r="S5033" t="str">
            <v>Amira Elshora Old Account</v>
          </cell>
          <cell r="T5033">
            <v>44657</v>
          </cell>
          <cell r="U5033" t="str">
            <v>Billy Smith</v>
          </cell>
          <cell r="V5033">
            <v>44661</v>
          </cell>
          <cell r="W5033">
            <v>25569</v>
          </cell>
          <cell r="AC5033">
            <v>44746</v>
          </cell>
        </row>
        <row r="5034">
          <cell r="I5034" t="str">
            <v>EDI</v>
          </cell>
          <cell r="L5034">
            <v>883</v>
          </cell>
          <cell r="N5034" t="str">
            <v>Production</v>
          </cell>
          <cell r="O5034" t="str">
            <v>eBenefits Network</v>
          </cell>
          <cell r="P5034" t="str">
            <v>Production</v>
          </cell>
          <cell r="Q5034" t="str">
            <v>Cancelled</v>
          </cell>
          <cell r="R5034">
            <v>44608.09302083333</v>
          </cell>
          <cell r="S5034" t="str">
            <v>Amira Elshora Old Account</v>
          </cell>
          <cell r="T5034">
            <v>44691</v>
          </cell>
          <cell r="U5034" t="str">
            <v>Billy Smith</v>
          </cell>
          <cell r="V5034">
            <v>44692</v>
          </cell>
          <cell r="W5034">
            <v>44740</v>
          </cell>
          <cell r="AC5034">
            <v>44740</v>
          </cell>
        </row>
        <row r="5035">
          <cell r="I5035" t="str">
            <v>EDI</v>
          </cell>
          <cell r="L5035">
            <v>809</v>
          </cell>
          <cell r="N5035" t="str">
            <v>Production</v>
          </cell>
          <cell r="O5035" t="str">
            <v>eBenefits Network</v>
          </cell>
          <cell r="P5035" t="str">
            <v>Production</v>
          </cell>
          <cell r="Q5035" t="str">
            <v>Cancelled</v>
          </cell>
          <cell r="R5035">
            <v>44608.089606481481</v>
          </cell>
          <cell r="S5035" t="str">
            <v>Ahmed Gamal</v>
          </cell>
          <cell r="T5035">
            <v>44670</v>
          </cell>
          <cell r="U5035" t="str">
            <v>Billy Smith</v>
          </cell>
          <cell r="W5035">
            <v>44698</v>
          </cell>
          <cell r="AC5035">
            <v>44698</v>
          </cell>
        </row>
        <row r="5036">
          <cell r="I5036" t="str">
            <v>EDI</v>
          </cell>
          <cell r="L5036">
            <v>774</v>
          </cell>
          <cell r="N5036" t="str">
            <v>Production</v>
          </cell>
          <cell r="O5036" t="str">
            <v>eBenefits Network</v>
          </cell>
          <cell r="P5036" t="str">
            <v>Production</v>
          </cell>
          <cell r="Q5036" t="str">
            <v>Cancelled</v>
          </cell>
          <cell r="R5036">
            <v>44608.089594907397</v>
          </cell>
          <cell r="S5036" t="str">
            <v>Fady Maged Old Account</v>
          </cell>
          <cell r="T5036">
            <v>44660</v>
          </cell>
          <cell r="U5036" t="str">
            <v>Billy Smith</v>
          </cell>
          <cell r="V5036">
            <v>44670</v>
          </cell>
          <cell r="W5036">
            <v>44698</v>
          </cell>
          <cell r="AC5036">
            <v>44698</v>
          </cell>
        </row>
        <row r="5037">
          <cell r="I5037" t="str">
            <v>EDI</v>
          </cell>
          <cell r="L5037">
            <v>739</v>
          </cell>
          <cell r="N5037" t="str">
            <v>Production</v>
          </cell>
          <cell r="O5037" t="str">
            <v>eBenefits Network</v>
          </cell>
          <cell r="P5037" t="str">
            <v>Production</v>
          </cell>
          <cell r="Q5037" t="str">
            <v>Cancelled</v>
          </cell>
          <cell r="R5037">
            <v>44608.089594907397</v>
          </cell>
          <cell r="S5037" t="str">
            <v>Amira Elshora Old Account</v>
          </cell>
          <cell r="T5037">
            <v>44657</v>
          </cell>
          <cell r="U5037" t="str">
            <v>Billy Smith</v>
          </cell>
          <cell r="V5037">
            <v>44658</v>
          </cell>
          <cell r="W5037">
            <v>44754</v>
          </cell>
          <cell r="AC5037">
            <v>44750</v>
          </cell>
        </row>
        <row r="5038">
          <cell r="I5038" t="str">
            <v>EDI</v>
          </cell>
          <cell r="L5038">
            <v>743</v>
          </cell>
          <cell r="N5038" t="str">
            <v>Production</v>
          </cell>
          <cell r="O5038" t="str">
            <v>eBenefits Network</v>
          </cell>
          <cell r="P5038" t="str">
            <v>Production</v>
          </cell>
          <cell r="Q5038" t="str">
            <v>Cancelled</v>
          </cell>
          <cell r="R5038">
            <v>44608.086770833332</v>
          </cell>
          <cell r="S5038" t="str">
            <v>Amira Elshora Old Account</v>
          </cell>
          <cell r="T5038">
            <v>44657</v>
          </cell>
          <cell r="U5038" t="str">
            <v>Billy Smith</v>
          </cell>
          <cell r="V5038">
            <v>44658</v>
          </cell>
          <cell r="W5038">
            <v>25569</v>
          </cell>
          <cell r="AC5038">
            <v>44703</v>
          </cell>
        </row>
        <row r="5039">
          <cell r="I5039" t="str">
            <v>EDI</v>
          </cell>
          <cell r="L5039">
            <v>928</v>
          </cell>
          <cell r="N5039" t="str">
            <v>Production</v>
          </cell>
          <cell r="O5039" t="str">
            <v>eBenefits Network</v>
          </cell>
          <cell r="P5039" t="str">
            <v>Production</v>
          </cell>
          <cell r="Q5039" t="str">
            <v>Cancelled</v>
          </cell>
          <cell r="R5039">
            <v>44608.086770833332</v>
          </cell>
          <cell r="S5039" t="str">
            <v>Ahmed Gamal</v>
          </cell>
          <cell r="T5039">
            <v>44691</v>
          </cell>
          <cell r="U5039" t="str">
            <v>Billy Smith</v>
          </cell>
          <cell r="W5039">
            <v>44742</v>
          </cell>
          <cell r="AC5039">
            <v>44719</v>
          </cell>
        </row>
        <row r="5040">
          <cell r="I5040" t="str">
            <v>EDI</v>
          </cell>
          <cell r="L5040">
            <v>746</v>
          </cell>
          <cell r="N5040" t="str">
            <v>Production</v>
          </cell>
          <cell r="O5040" t="str">
            <v>eBenefits Network</v>
          </cell>
          <cell r="P5040" t="str">
            <v>Production</v>
          </cell>
          <cell r="Q5040" t="str">
            <v>Cancelled</v>
          </cell>
          <cell r="R5040">
            <v>44608.086759259262</v>
          </cell>
          <cell r="S5040" t="str">
            <v>Amira Elshora Old Account</v>
          </cell>
          <cell r="T5040">
            <v>44657</v>
          </cell>
          <cell r="U5040" t="str">
            <v>Billy Smith</v>
          </cell>
          <cell r="V5040">
            <v>44658</v>
          </cell>
          <cell r="W5040">
            <v>44686</v>
          </cell>
          <cell r="AC5040">
            <v>44679</v>
          </cell>
        </row>
        <row r="5041">
          <cell r="I5041" t="str">
            <v>EDI</v>
          </cell>
          <cell r="L5041">
            <v>737</v>
          </cell>
          <cell r="N5041" t="str">
            <v>Production</v>
          </cell>
          <cell r="O5041" t="str">
            <v>eBenefits Network</v>
          </cell>
          <cell r="P5041" t="str">
            <v>Production</v>
          </cell>
          <cell r="Q5041" t="str">
            <v>Cancelled</v>
          </cell>
          <cell r="R5041">
            <v>44608.083310185182</v>
          </cell>
          <cell r="S5041" t="str">
            <v>Amira Elshora</v>
          </cell>
          <cell r="T5041">
            <v>44888</v>
          </cell>
          <cell r="U5041" t="str">
            <v>Billy Smith</v>
          </cell>
          <cell r="V5041">
            <v>44930</v>
          </cell>
          <cell r="W5041">
            <v>45047</v>
          </cell>
          <cell r="AC5041">
            <v>45046</v>
          </cell>
        </row>
        <row r="5042">
          <cell r="I5042" t="str">
            <v>EDI</v>
          </cell>
          <cell r="L5042">
            <v>872</v>
          </cell>
          <cell r="N5042" t="str">
            <v>Production</v>
          </cell>
          <cell r="O5042" t="str">
            <v>eBenefits Network</v>
          </cell>
          <cell r="P5042" t="str">
            <v>Production</v>
          </cell>
          <cell r="Q5042" t="str">
            <v>Cancelled</v>
          </cell>
          <cell r="R5042">
            <v>44608.083310185182</v>
          </cell>
          <cell r="S5042" t="str">
            <v>Fady Maged Old Account</v>
          </cell>
          <cell r="T5042">
            <v>44687</v>
          </cell>
          <cell r="U5042" t="str">
            <v>Billy Smith</v>
          </cell>
          <cell r="V5042">
            <v>44691</v>
          </cell>
          <cell r="W5042">
            <v>44707</v>
          </cell>
          <cell r="AC5042">
            <v>44704</v>
          </cell>
        </row>
        <row r="5043">
          <cell r="I5043" t="str">
            <v>EDI</v>
          </cell>
          <cell r="L5043">
            <v>810</v>
          </cell>
          <cell r="N5043" t="str">
            <v>Production</v>
          </cell>
          <cell r="O5043" t="str">
            <v>eBenefits Network</v>
          </cell>
          <cell r="P5043" t="str">
            <v>Production</v>
          </cell>
          <cell r="Q5043" t="str">
            <v>Cancelled</v>
          </cell>
          <cell r="R5043">
            <v>44608.083298611113</v>
          </cell>
          <cell r="S5043" t="str">
            <v>Ahmed Gamal</v>
          </cell>
          <cell r="T5043">
            <v>44670</v>
          </cell>
          <cell r="U5043" t="str">
            <v>Billy Smith</v>
          </cell>
          <cell r="W5043">
            <v>44711</v>
          </cell>
          <cell r="AC5043">
            <v>44711</v>
          </cell>
        </row>
        <row r="5044">
          <cell r="I5044" t="str">
            <v>EDI</v>
          </cell>
          <cell r="L5044">
            <v>927</v>
          </cell>
          <cell r="N5044" t="str">
            <v>Production</v>
          </cell>
          <cell r="O5044" t="str">
            <v>eBenefits Network</v>
          </cell>
          <cell r="P5044" t="str">
            <v>Production</v>
          </cell>
          <cell r="Q5044" t="str">
            <v>Cancelled</v>
          </cell>
          <cell r="R5044">
            <v>44608.083298611113</v>
          </cell>
          <cell r="S5044" t="str">
            <v>Ahmed Gamal</v>
          </cell>
          <cell r="T5044">
            <v>44691</v>
          </cell>
          <cell r="U5044" t="str">
            <v>Billy Smith</v>
          </cell>
          <cell r="W5044">
            <v>44718</v>
          </cell>
          <cell r="Y5044">
            <v>44629</v>
          </cell>
          <cell r="AC5044">
            <v>44718</v>
          </cell>
        </row>
        <row r="5045">
          <cell r="I5045" t="str">
            <v>EDI</v>
          </cell>
          <cell r="N5045" t="str">
            <v>Mapping</v>
          </cell>
          <cell r="O5045" t="str">
            <v>eBenefits Network</v>
          </cell>
          <cell r="P5045" t="str">
            <v>Phase 2</v>
          </cell>
          <cell r="Q5045" t="str">
            <v>Cancelled</v>
          </cell>
          <cell r="R5045">
            <v>44608.083298611113</v>
          </cell>
          <cell r="S5045" t="str">
            <v>Amira Elshora Old Account</v>
          </cell>
          <cell r="T5045">
            <v>44670</v>
          </cell>
          <cell r="U5045" t="str">
            <v>Billy Smith</v>
          </cell>
        </row>
        <row r="5046">
          <cell r="I5046" t="str">
            <v>EDI</v>
          </cell>
          <cell r="L5046">
            <v>867</v>
          </cell>
          <cell r="N5046" t="str">
            <v>Production</v>
          </cell>
          <cell r="O5046" t="str">
            <v>eBenefits Network</v>
          </cell>
          <cell r="P5046" t="str">
            <v>Production</v>
          </cell>
          <cell r="Q5046" t="str">
            <v>Cancelled</v>
          </cell>
          <cell r="R5046">
            <v>44607.915347222217</v>
          </cell>
          <cell r="S5046" t="str">
            <v>Amira Elshora Old Account</v>
          </cell>
          <cell r="T5046">
            <v>44682</v>
          </cell>
          <cell r="U5046" t="str">
            <v>Billy Smith</v>
          </cell>
          <cell r="V5046">
            <v>44685</v>
          </cell>
          <cell r="W5046">
            <v>44711</v>
          </cell>
          <cell r="Y5046">
            <v>44627</v>
          </cell>
          <cell r="AC5046">
            <v>44711</v>
          </cell>
        </row>
        <row r="5047">
          <cell r="I5047" t="str">
            <v>EDI</v>
          </cell>
          <cell r="L5047">
            <v>734</v>
          </cell>
          <cell r="N5047" t="str">
            <v>Production</v>
          </cell>
          <cell r="O5047" t="str">
            <v>eBenefits Network</v>
          </cell>
          <cell r="P5047" t="str">
            <v>Production</v>
          </cell>
          <cell r="Q5047" t="str">
            <v>Cancelled</v>
          </cell>
          <cell r="R5047">
            <v>44607.915347222217</v>
          </cell>
          <cell r="S5047" t="str">
            <v>Amira Elshora Old Account</v>
          </cell>
          <cell r="T5047">
            <v>44656</v>
          </cell>
          <cell r="U5047" t="str">
            <v>Billy Smith</v>
          </cell>
          <cell r="V5047">
            <v>44656</v>
          </cell>
          <cell r="W5047">
            <v>25569</v>
          </cell>
          <cell r="Y5047">
            <v>44627</v>
          </cell>
          <cell r="AC5047">
            <v>44697</v>
          </cell>
        </row>
        <row r="5048">
          <cell r="I5048" t="str">
            <v>EDI</v>
          </cell>
          <cell r="L5048">
            <v>846</v>
          </cell>
          <cell r="N5048" t="str">
            <v>Production</v>
          </cell>
          <cell r="O5048" t="str">
            <v>eBenefits Network</v>
          </cell>
          <cell r="P5048" t="str">
            <v>Production</v>
          </cell>
          <cell r="Q5048" t="str">
            <v>Cancelled</v>
          </cell>
          <cell r="R5048">
            <v>44607.915335648147</v>
          </cell>
          <cell r="S5048" t="str">
            <v>Ahmed Gamal</v>
          </cell>
          <cell r="T5048">
            <v>44682</v>
          </cell>
          <cell r="U5048" t="str">
            <v>Billy Smith</v>
          </cell>
          <cell r="W5048">
            <v>25569</v>
          </cell>
          <cell r="Y5048">
            <v>44627</v>
          </cell>
          <cell r="AC5048">
            <v>44794</v>
          </cell>
        </row>
        <row r="5049">
          <cell r="I5049" t="str">
            <v>EDI</v>
          </cell>
          <cell r="L5049">
            <v>627</v>
          </cell>
          <cell r="N5049" t="str">
            <v>Production</v>
          </cell>
          <cell r="O5049" t="str">
            <v>eBenefits Network</v>
          </cell>
          <cell r="P5049" t="str">
            <v>Production</v>
          </cell>
          <cell r="Q5049" t="str">
            <v>Cancelled</v>
          </cell>
          <cell r="R5049">
            <v>44607.911979166667</v>
          </cell>
          <cell r="S5049" t="str">
            <v>Fady Maged Old Account</v>
          </cell>
          <cell r="T5049">
            <v>44638</v>
          </cell>
          <cell r="U5049" t="str">
            <v>Billy Smith</v>
          </cell>
          <cell r="V5049">
            <v>25569</v>
          </cell>
          <cell r="W5049">
            <v>44711</v>
          </cell>
          <cell r="Y5049">
            <v>44627</v>
          </cell>
          <cell r="AC5049">
            <v>44711</v>
          </cell>
        </row>
        <row r="5050">
          <cell r="I5050" t="str">
            <v>EDI</v>
          </cell>
          <cell r="L5050">
            <v>467</v>
          </cell>
          <cell r="N5050" t="str">
            <v>Production</v>
          </cell>
          <cell r="O5050" t="str">
            <v>eBenefits Network</v>
          </cell>
          <cell r="P5050" t="str">
            <v>Production</v>
          </cell>
          <cell r="Q5050" t="str">
            <v>Live</v>
          </cell>
          <cell r="R5050">
            <v>44607.90934027778</v>
          </cell>
          <cell r="S5050" t="str">
            <v>Amira Elshora Old Account</v>
          </cell>
          <cell r="T5050">
            <v>44614</v>
          </cell>
          <cell r="U5050" t="str">
            <v>Billy Smith</v>
          </cell>
          <cell r="V5050">
            <v>44615</v>
          </cell>
          <cell r="W5050">
            <v>44635</v>
          </cell>
          <cell r="AC5050">
            <v>44629</v>
          </cell>
        </row>
        <row r="5051">
          <cell r="I5051" t="str">
            <v>EDI</v>
          </cell>
          <cell r="L5051">
            <v>466</v>
          </cell>
          <cell r="N5051" t="str">
            <v>Production</v>
          </cell>
          <cell r="O5051" t="str">
            <v>eBenefits Network</v>
          </cell>
          <cell r="P5051" t="str">
            <v>Production</v>
          </cell>
          <cell r="Q5051" t="str">
            <v>Cancelled</v>
          </cell>
          <cell r="R5051">
            <v>44607.90934027778</v>
          </cell>
          <cell r="S5051" t="str">
            <v>Amira Elshora Old Account</v>
          </cell>
          <cell r="T5051">
            <v>44614</v>
          </cell>
          <cell r="U5051" t="str">
            <v>Billy Smith</v>
          </cell>
          <cell r="V5051">
            <v>44615</v>
          </cell>
          <cell r="W5051">
            <v>44634</v>
          </cell>
          <cell r="AC5051">
            <v>44630</v>
          </cell>
        </row>
        <row r="5052">
          <cell r="I5052" t="str">
            <v>EDI</v>
          </cell>
          <cell r="L5052">
            <v>751</v>
          </cell>
          <cell r="N5052" t="str">
            <v>Production</v>
          </cell>
          <cell r="O5052" t="str">
            <v>eBenefits Network</v>
          </cell>
          <cell r="P5052" t="str">
            <v>Production</v>
          </cell>
          <cell r="Q5052" t="str">
            <v>Live</v>
          </cell>
          <cell r="R5052">
            <v>44607.90934027778</v>
          </cell>
          <cell r="S5052" t="str">
            <v>Fady Maged Old Account</v>
          </cell>
          <cell r="T5052">
            <v>44656</v>
          </cell>
          <cell r="U5052" t="str">
            <v>Billy Smith</v>
          </cell>
          <cell r="V5052">
            <v>44661</v>
          </cell>
          <cell r="W5052">
            <v>44747</v>
          </cell>
          <cell r="Y5052">
            <v>44627</v>
          </cell>
          <cell r="AC5052">
            <v>44718</v>
          </cell>
        </row>
        <row r="5053">
          <cell r="I5053" t="str">
            <v>EDI</v>
          </cell>
          <cell r="L5053">
            <v>646</v>
          </cell>
          <cell r="N5053" t="str">
            <v>Production</v>
          </cell>
          <cell r="O5053" t="str">
            <v>eBenefits Network</v>
          </cell>
          <cell r="P5053" t="str">
            <v>Production</v>
          </cell>
          <cell r="Q5053" t="str">
            <v>Cancelled</v>
          </cell>
          <cell r="R5053">
            <v>44607.900555555563</v>
          </cell>
          <cell r="S5053" t="str">
            <v>Amira Elshora Old Account</v>
          </cell>
          <cell r="T5053">
            <v>44642</v>
          </cell>
          <cell r="U5053" t="str">
            <v>Billy Smith</v>
          </cell>
          <cell r="V5053">
            <v>44642</v>
          </cell>
          <cell r="W5053">
            <v>25569</v>
          </cell>
          <cell r="Y5053">
            <v>44627</v>
          </cell>
          <cell r="AC5053">
            <v>44704</v>
          </cell>
        </row>
        <row r="5054">
          <cell r="I5054" t="str">
            <v>EDI</v>
          </cell>
          <cell r="L5054">
            <v>728</v>
          </cell>
          <cell r="N5054" t="str">
            <v>Production</v>
          </cell>
          <cell r="O5054" t="str">
            <v>eBenefits Network</v>
          </cell>
          <cell r="P5054" t="str">
            <v>Production</v>
          </cell>
          <cell r="Q5054" t="str">
            <v>Cancelled</v>
          </cell>
          <cell r="R5054">
            <v>44607.900555555563</v>
          </cell>
          <cell r="S5054" t="str">
            <v>Fady Maged Old Account</v>
          </cell>
          <cell r="T5054">
            <v>44657</v>
          </cell>
          <cell r="U5054" t="str">
            <v>Billy Smith</v>
          </cell>
          <cell r="V5054">
            <v>44668</v>
          </cell>
          <cell r="W5054">
            <v>44701</v>
          </cell>
          <cell r="Y5054">
            <v>44627</v>
          </cell>
          <cell r="AC5054">
            <v>44699</v>
          </cell>
        </row>
        <row r="5055">
          <cell r="I5055" t="str">
            <v>EDI</v>
          </cell>
          <cell r="L5055">
            <v>488</v>
          </cell>
          <cell r="N5055" t="str">
            <v>Production</v>
          </cell>
          <cell r="O5055" t="str">
            <v>No</v>
          </cell>
          <cell r="Q5055" t="str">
            <v>Cancelled</v>
          </cell>
          <cell r="R5055">
            <v>44607.884421296287</v>
          </cell>
          <cell r="S5055" t="str">
            <v>Mina George Old Account</v>
          </cell>
          <cell r="T5055">
            <v>44626</v>
          </cell>
          <cell r="U5055" t="str">
            <v>Vicky Wright</v>
          </cell>
          <cell r="V5055">
            <v>44629</v>
          </cell>
          <cell r="W5055">
            <v>44665</v>
          </cell>
          <cell r="Y5055">
            <v>44626</v>
          </cell>
          <cell r="AC5055">
            <v>44665</v>
          </cell>
        </row>
        <row r="5056">
          <cell r="I5056" t="str">
            <v>EDI</v>
          </cell>
          <cell r="L5056">
            <v>653</v>
          </cell>
          <cell r="N5056" t="str">
            <v>Production</v>
          </cell>
          <cell r="O5056" t="str">
            <v>eBenefits Network</v>
          </cell>
          <cell r="P5056" t="str">
            <v>Production</v>
          </cell>
          <cell r="Q5056" t="str">
            <v>Cancelled</v>
          </cell>
          <cell r="R5056">
            <v>44607.832858796297</v>
          </cell>
          <cell r="S5056" t="str">
            <v>Ahmed Gamal</v>
          </cell>
          <cell r="T5056">
            <v>44642</v>
          </cell>
          <cell r="U5056" t="str">
            <v>Billy Smith</v>
          </cell>
          <cell r="W5056">
            <v>44683</v>
          </cell>
          <cell r="Y5056">
            <v>44627</v>
          </cell>
          <cell r="AC5056">
            <v>44679</v>
          </cell>
        </row>
        <row r="5057">
          <cell r="I5057" t="str">
            <v>EDI</v>
          </cell>
          <cell r="L5057">
            <v>771</v>
          </cell>
          <cell r="N5057" t="str">
            <v>Production</v>
          </cell>
          <cell r="O5057" t="str">
            <v>eBenefits Network</v>
          </cell>
          <cell r="P5057" t="str">
            <v>Production</v>
          </cell>
          <cell r="Q5057" t="str">
            <v>Cancelled</v>
          </cell>
          <cell r="R5057">
            <v>44607.832858796297</v>
          </cell>
          <cell r="S5057" t="str">
            <v>Amira Elshora Old Account</v>
          </cell>
          <cell r="T5057">
            <v>44666</v>
          </cell>
          <cell r="U5057" t="str">
            <v>Billy Smith</v>
          </cell>
          <cell r="V5057">
            <v>44668</v>
          </cell>
          <cell r="W5057">
            <v>44697</v>
          </cell>
          <cell r="Y5057">
            <v>44627</v>
          </cell>
          <cell r="AC5057">
            <v>44697</v>
          </cell>
        </row>
        <row r="5058">
          <cell r="I5058" t="str">
            <v>EDI</v>
          </cell>
          <cell r="L5058">
            <v>811</v>
          </cell>
          <cell r="N5058" t="str">
            <v>Production</v>
          </cell>
          <cell r="O5058" t="str">
            <v>eBenefits Network</v>
          </cell>
          <cell r="P5058" t="str">
            <v>Production</v>
          </cell>
          <cell r="Q5058" t="str">
            <v>Cancelled</v>
          </cell>
          <cell r="R5058">
            <v>44607.832858796297</v>
          </cell>
          <cell r="S5058" t="str">
            <v>Ahmed Gamal</v>
          </cell>
          <cell r="T5058">
            <v>44707</v>
          </cell>
          <cell r="U5058" t="str">
            <v>Billy Smith</v>
          </cell>
          <cell r="W5058">
            <v>44718</v>
          </cell>
          <cell r="Y5058">
            <v>44627</v>
          </cell>
          <cell r="AC5058">
            <v>44718</v>
          </cell>
        </row>
        <row r="5059">
          <cell r="I5059" t="str">
            <v>EDI</v>
          </cell>
          <cell r="L5059">
            <v>897</v>
          </cell>
          <cell r="N5059" t="str">
            <v>Production</v>
          </cell>
          <cell r="O5059" t="str">
            <v>eBenefits Network</v>
          </cell>
          <cell r="P5059" t="str">
            <v>Production</v>
          </cell>
          <cell r="Q5059" t="str">
            <v>Cancelled</v>
          </cell>
          <cell r="R5059">
            <v>44607.83284722222</v>
          </cell>
          <cell r="S5059" t="str">
            <v>Amira Elshora Old Account</v>
          </cell>
          <cell r="T5059">
            <v>44686</v>
          </cell>
          <cell r="U5059" t="str">
            <v>Billy Smith</v>
          </cell>
          <cell r="V5059">
            <v>44689</v>
          </cell>
          <cell r="W5059">
            <v>44768</v>
          </cell>
          <cell r="Y5059">
            <v>44627</v>
          </cell>
          <cell r="AC5059">
            <v>44763</v>
          </cell>
        </row>
        <row r="5060">
          <cell r="I5060" t="str">
            <v>EDI</v>
          </cell>
          <cell r="L5060">
            <v>922</v>
          </cell>
          <cell r="N5060" t="str">
            <v>Production</v>
          </cell>
          <cell r="O5060" t="str">
            <v>eBenefits Network</v>
          </cell>
          <cell r="P5060" t="str">
            <v>Production</v>
          </cell>
          <cell r="Q5060" t="str">
            <v>Cancelled</v>
          </cell>
          <cell r="R5060">
            <v>44607.828796296293</v>
          </cell>
          <cell r="S5060" t="str">
            <v>Amira Elshora Old Account</v>
          </cell>
          <cell r="T5060">
            <v>44687</v>
          </cell>
          <cell r="U5060" t="str">
            <v>Billy Smith</v>
          </cell>
          <cell r="V5060">
            <v>44691</v>
          </cell>
          <cell r="W5060">
            <v>44706</v>
          </cell>
          <cell r="Y5060">
            <v>44627</v>
          </cell>
          <cell r="AC5060">
            <v>44703</v>
          </cell>
        </row>
        <row r="5061">
          <cell r="I5061" t="str">
            <v>EDI</v>
          </cell>
          <cell r="L5061">
            <v>905</v>
          </cell>
          <cell r="N5061" t="str">
            <v>Production</v>
          </cell>
          <cell r="O5061" t="str">
            <v>eBenefits Network</v>
          </cell>
          <cell r="P5061" t="str">
            <v>Production</v>
          </cell>
          <cell r="Q5061" t="str">
            <v>Cancelled</v>
          </cell>
          <cell r="R5061">
            <v>44607.828784722216</v>
          </cell>
          <cell r="S5061" t="str">
            <v>Ahmed Gamal</v>
          </cell>
          <cell r="T5061">
            <v>44686</v>
          </cell>
          <cell r="U5061" t="str">
            <v>Billy Smith</v>
          </cell>
          <cell r="V5061">
            <v>44780</v>
          </cell>
          <cell r="W5061">
            <v>44845</v>
          </cell>
          <cell r="Y5061">
            <v>44627</v>
          </cell>
          <cell r="AC5061">
            <v>44844</v>
          </cell>
        </row>
        <row r="5062">
          <cell r="I5062" t="str">
            <v>EDI</v>
          </cell>
          <cell r="L5062">
            <v>814</v>
          </cell>
          <cell r="N5062" t="str">
            <v>Testing</v>
          </cell>
          <cell r="O5062" t="str">
            <v>eBenefits Network</v>
          </cell>
          <cell r="P5062" t="str">
            <v>Migration Testing</v>
          </cell>
          <cell r="Q5062" t="str">
            <v>Cancelled</v>
          </cell>
          <cell r="R5062">
            <v>44607.82099537037</v>
          </cell>
          <cell r="S5062" t="str">
            <v>Fady Maged Old Account</v>
          </cell>
          <cell r="T5062">
            <v>44868</v>
          </cell>
          <cell r="U5062" t="str">
            <v>Billy Smith</v>
          </cell>
          <cell r="V5062">
            <v>44865</v>
          </cell>
        </row>
        <row r="5063">
          <cell r="I5063" t="str">
            <v>EDI</v>
          </cell>
          <cell r="L5063">
            <v>679</v>
          </cell>
          <cell r="N5063" t="str">
            <v>Production</v>
          </cell>
          <cell r="O5063" t="str">
            <v>eBenefits Network</v>
          </cell>
          <cell r="P5063" t="str">
            <v>Production</v>
          </cell>
          <cell r="Q5063" t="str">
            <v>Cancelled</v>
          </cell>
          <cell r="R5063">
            <v>44607.818310185183</v>
          </cell>
          <cell r="S5063" t="str">
            <v>Fady Maged Old Account</v>
          </cell>
          <cell r="T5063">
            <v>44647</v>
          </cell>
          <cell r="U5063" t="str">
            <v>Billy Smith</v>
          </cell>
          <cell r="V5063">
            <v>44647</v>
          </cell>
          <cell r="W5063">
            <v>44662</v>
          </cell>
          <cell r="Y5063">
            <v>44628</v>
          </cell>
          <cell r="AC5063">
            <v>44660</v>
          </cell>
        </row>
        <row r="5064">
          <cell r="I5064" t="str">
            <v>EDI</v>
          </cell>
          <cell r="L5064">
            <v>765</v>
          </cell>
          <cell r="N5064" t="str">
            <v>Production</v>
          </cell>
          <cell r="O5064" t="str">
            <v>eBenefits Network</v>
          </cell>
          <cell r="P5064" t="str">
            <v>Production</v>
          </cell>
          <cell r="Q5064" t="str">
            <v>Cancelled</v>
          </cell>
          <cell r="R5064">
            <v>44607.818310185183</v>
          </cell>
          <cell r="S5064" t="str">
            <v>Fady Maged Old Account</v>
          </cell>
          <cell r="T5064">
            <v>44657</v>
          </cell>
          <cell r="U5064" t="str">
            <v>Billy Smith</v>
          </cell>
          <cell r="V5064">
            <v>44662</v>
          </cell>
          <cell r="W5064">
            <v>44707</v>
          </cell>
          <cell r="AC5064">
            <v>44703</v>
          </cell>
        </row>
        <row r="5065">
          <cell r="I5065" t="str">
            <v>EDI</v>
          </cell>
          <cell r="L5065">
            <v>428</v>
          </cell>
          <cell r="N5065" t="str">
            <v>Production</v>
          </cell>
          <cell r="O5065" t="str">
            <v>No</v>
          </cell>
          <cell r="Q5065" t="str">
            <v>Cancelled</v>
          </cell>
          <cell r="R5065">
            <v>44607.651099537034</v>
          </cell>
          <cell r="S5065" t="str">
            <v>Haytham Mohamed</v>
          </cell>
          <cell r="T5065">
            <v>44608</v>
          </cell>
          <cell r="U5065" t="str">
            <v>Billy Smith</v>
          </cell>
          <cell r="V5065">
            <v>44609</v>
          </cell>
          <cell r="W5065">
            <v>44635</v>
          </cell>
          <cell r="Y5065">
            <v>44607</v>
          </cell>
          <cell r="AC5065">
            <v>44630</v>
          </cell>
        </row>
        <row r="5066">
          <cell r="I5066" t="str">
            <v>EDI</v>
          </cell>
          <cell r="L5066">
            <v>429</v>
          </cell>
          <cell r="N5066" t="str">
            <v>Production</v>
          </cell>
          <cell r="O5066" t="str">
            <v>No</v>
          </cell>
          <cell r="Q5066" t="str">
            <v>Cancelled</v>
          </cell>
          <cell r="R5066">
            <v>44607.651087962957</v>
          </cell>
          <cell r="S5066" t="str">
            <v>Mina George Old Account</v>
          </cell>
          <cell r="T5066">
            <v>44608</v>
          </cell>
          <cell r="U5066" t="str">
            <v>Billy Smith</v>
          </cell>
          <cell r="V5066">
            <v>25569</v>
          </cell>
          <cell r="W5066">
            <v>44776</v>
          </cell>
          <cell r="Y5066">
            <v>44607</v>
          </cell>
          <cell r="AC5066">
            <v>44776</v>
          </cell>
        </row>
        <row r="5067">
          <cell r="I5067" t="str">
            <v>EDI</v>
          </cell>
          <cell r="L5067">
            <v>649</v>
          </cell>
          <cell r="N5067" t="str">
            <v>Production</v>
          </cell>
          <cell r="O5067" t="str">
            <v>eBenefits Network</v>
          </cell>
          <cell r="P5067" t="str">
            <v>Production</v>
          </cell>
          <cell r="Q5067" t="str">
            <v>Live</v>
          </cell>
          <cell r="R5067">
            <v>44607.629733796297</v>
          </cell>
          <cell r="S5067" t="str">
            <v>Fady Maged Old Account</v>
          </cell>
          <cell r="T5067">
            <v>44642</v>
          </cell>
          <cell r="U5067" t="str">
            <v>Billy Smith</v>
          </cell>
          <cell r="V5067">
            <v>44642</v>
          </cell>
          <cell r="W5067">
            <v>44665</v>
          </cell>
          <cell r="Y5067">
            <v>44628</v>
          </cell>
          <cell r="AC5067">
            <v>44660</v>
          </cell>
        </row>
        <row r="5068">
          <cell r="I5068" t="str">
            <v>EDI</v>
          </cell>
          <cell r="L5068">
            <v>688</v>
          </cell>
          <cell r="N5068" t="str">
            <v>Production</v>
          </cell>
          <cell r="O5068" t="str">
            <v>eBenefits Network</v>
          </cell>
          <cell r="P5068" t="str">
            <v>Production</v>
          </cell>
          <cell r="Q5068" t="str">
            <v>Cancelled</v>
          </cell>
          <cell r="R5068">
            <v>44607.62972222222</v>
          </cell>
          <cell r="S5068" t="str">
            <v>Amira Elshora Old Account</v>
          </cell>
          <cell r="T5068">
            <v>44647</v>
          </cell>
          <cell r="U5068" t="str">
            <v>Billy Smith</v>
          </cell>
          <cell r="V5068">
            <v>44648</v>
          </cell>
          <cell r="W5068">
            <v>25569</v>
          </cell>
          <cell r="Y5068">
            <v>44628</v>
          </cell>
          <cell r="AC5068">
            <v>44660</v>
          </cell>
        </row>
        <row r="5069">
          <cell r="I5069" t="str">
            <v>EDI</v>
          </cell>
          <cell r="L5069">
            <v>674</v>
          </cell>
          <cell r="N5069" t="str">
            <v>Production</v>
          </cell>
          <cell r="O5069" t="str">
            <v>eBenefits Network</v>
          </cell>
          <cell r="P5069" t="str">
            <v>Production</v>
          </cell>
          <cell r="Q5069" t="str">
            <v>Live</v>
          </cell>
          <cell r="R5069">
            <v>44607.62972222222</v>
          </cell>
          <cell r="S5069" t="str">
            <v>Ahmed Gamal</v>
          </cell>
          <cell r="T5069">
            <v>44647</v>
          </cell>
          <cell r="U5069" t="str">
            <v>Billy Smith</v>
          </cell>
          <cell r="W5069">
            <v>44712</v>
          </cell>
          <cell r="Y5069">
            <v>44628</v>
          </cell>
          <cell r="AC5069">
            <v>44712</v>
          </cell>
        </row>
        <row r="5070">
          <cell r="I5070" t="str">
            <v>EDI</v>
          </cell>
          <cell r="L5070">
            <v>829</v>
          </cell>
          <cell r="N5070" t="str">
            <v>Production</v>
          </cell>
          <cell r="O5070" t="str">
            <v>eBenefits Network</v>
          </cell>
          <cell r="P5070" t="str">
            <v>Production</v>
          </cell>
          <cell r="Q5070" t="str">
            <v>Live</v>
          </cell>
          <cell r="R5070">
            <v>44607.62972222222</v>
          </cell>
          <cell r="S5070" t="str">
            <v>Amira Elshora Old Account</v>
          </cell>
          <cell r="T5070">
            <v>44670</v>
          </cell>
          <cell r="U5070" t="str">
            <v>Billy Smith</v>
          </cell>
          <cell r="V5070">
            <v>44678</v>
          </cell>
          <cell r="W5070">
            <v>25569</v>
          </cell>
          <cell r="AC5070">
            <v>44690</v>
          </cell>
        </row>
        <row r="5071">
          <cell r="I5071" t="str">
            <v>EDI</v>
          </cell>
          <cell r="L5071">
            <v>676</v>
          </cell>
          <cell r="N5071" t="str">
            <v>Production</v>
          </cell>
          <cell r="O5071" t="str">
            <v>eBenefits Network</v>
          </cell>
          <cell r="P5071" t="str">
            <v>Production</v>
          </cell>
          <cell r="Q5071" t="str">
            <v>Cancelled</v>
          </cell>
          <cell r="R5071">
            <v>44607.622800925928</v>
          </cell>
          <cell r="S5071" t="str">
            <v>Fady Maged Old Account</v>
          </cell>
          <cell r="T5071">
            <v>44647</v>
          </cell>
          <cell r="U5071" t="str">
            <v>Billy Smith</v>
          </cell>
          <cell r="V5071">
            <v>44647</v>
          </cell>
          <cell r="W5071">
            <v>44698</v>
          </cell>
          <cell r="AC5071">
            <v>44698</v>
          </cell>
        </row>
        <row r="5072">
          <cell r="I5072" t="str">
            <v>EDI</v>
          </cell>
          <cell r="L5072">
            <v>580</v>
          </cell>
          <cell r="N5072" t="str">
            <v>Testing</v>
          </cell>
          <cell r="O5072" t="str">
            <v>No</v>
          </cell>
          <cell r="Q5072" t="str">
            <v>Cancelled</v>
          </cell>
          <cell r="R5072">
            <v>44607.070034722223</v>
          </cell>
          <cell r="S5072" t="str">
            <v>Mina Adel</v>
          </cell>
          <cell r="T5072">
            <v>44888</v>
          </cell>
          <cell r="U5072" t="str">
            <v>Denise Stubenvoll</v>
          </cell>
          <cell r="V5072">
            <v>44679</v>
          </cell>
          <cell r="Y5072">
            <v>44633</v>
          </cell>
        </row>
        <row r="5073">
          <cell r="I5073" t="str">
            <v>EDI</v>
          </cell>
          <cell r="L5073">
            <v>473</v>
          </cell>
          <cell r="N5073" t="str">
            <v>Mapping</v>
          </cell>
          <cell r="O5073" t="str">
            <v>No</v>
          </cell>
          <cell r="Q5073" t="str">
            <v>Cancelled</v>
          </cell>
          <cell r="R5073">
            <v>44607.049976851849</v>
          </cell>
          <cell r="S5073" t="str">
            <v>Haytham Mohamed</v>
          </cell>
          <cell r="T5073">
            <v>44616</v>
          </cell>
          <cell r="U5073" t="str">
            <v>Vicky Wright</v>
          </cell>
          <cell r="Y5073">
            <v>44615</v>
          </cell>
        </row>
        <row r="5074">
          <cell r="I5074" t="str">
            <v>EDI</v>
          </cell>
          <cell r="N5074" t="str">
            <v>Production</v>
          </cell>
          <cell r="O5074" t="str">
            <v>No</v>
          </cell>
          <cell r="Q5074" t="str">
            <v>Cancelled</v>
          </cell>
          <cell r="R5074">
            <v>44606.898993055547</v>
          </cell>
          <cell r="S5074" t="str">
            <v>Dina Medhat</v>
          </cell>
          <cell r="T5074">
            <v>44607</v>
          </cell>
          <cell r="U5074" t="str">
            <v>Elizabeth Kahle</v>
          </cell>
          <cell r="AC5074">
            <v>44607</v>
          </cell>
        </row>
        <row r="5075">
          <cell r="I5075" t="str">
            <v>EDI</v>
          </cell>
          <cell r="L5075">
            <v>875</v>
          </cell>
          <cell r="N5075" t="str">
            <v>Production</v>
          </cell>
          <cell r="O5075" t="str">
            <v>eBenefits Network</v>
          </cell>
          <cell r="P5075" t="str">
            <v>Production</v>
          </cell>
          <cell r="Q5075" t="str">
            <v>Cancelled</v>
          </cell>
          <cell r="R5075">
            <v>44606.835451388892</v>
          </cell>
          <cell r="S5075" t="str">
            <v>Fady Maged Old Account</v>
          </cell>
          <cell r="T5075">
            <v>44670</v>
          </cell>
          <cell r="V5075">
            <v>44686</v>
          </cell>
          <cell r="W5075">
            <v>44732</v>
          </cell>
          <cell r="Y5075">
            <v>44639</v>
          </cell>
          <cell r="AC5075">
            <v>44732</v>
          </cell>
        </row>
        <row r="5076">
          <cell r="I5076" t="str">
            <v>EDI</v>
          </cell>
          <cell r="L5076">
            <v>932</v>
          </cell>
          <cell r="N5076" t="str">
            <v>Production</v>
          </cell>
          <cell r="O5076" t="str">
            <v>eBenefits Network</v>
          </cell>
          <cell r="P5076" t="str">
            <v>Production</v>
          </cell>
          <cell r="Q5076" t="str">
            <v>Cancelled</v>
          </cell>
          <cell r="R5076">
            <v>44606.835127314807</v>
          </cell>
          <cell r="S5076" t="str">
            <v>Amira Elshora Old Account</v>
          </cell>
          <cell r="T5076">
            <v>44691</v>
          </cell>
          <cell r="V5076">
            <v>44692</v>
          </cell>
          <cell r="W5076">
            <v>44732</v>
          </cell>
          <cell r="Y5076">
            <v>44639</v>
          </cell>
          <cell r="AC5076">
            <v>44732</v>
          </cell>
        </row>
        <row r="5077">
          <cell r="I5077" t="str">
            <v>EDI</v>
          </cell>
          <cell r="L5077">
            <v>874</v>
          </cell>
          <cell r="N5077" t="str">
            <v>Production</v>
          </cell>
          <cell r="O5077" t="str">
            <v>eBenefits Network</v>
          </cell>
          <cell r="P5077" t="str">
            <v>Production</v>
          </cell>
          <cell r="Q5077" t="str">
            <v>Cancelled</v>
          </cell>
          <cell r="R5077">
            <v>44606.834814814807</v>
          </cell>
          <cell r="S5077" t="str">
            <v>Fady Maged Old Account</v>
          </cell>
          <cell r="T5077">
            <v>44670</v>
          </cell>
          <cell r="V5077">
            <v>44686</v>
          </cell>
          <cell r="W5077">
            <v>44732</v>
          </cell>
          <cell r="Y5077">
            <v>44639</v>
          </cell>
          <cell r="AC5077">
            <v>44732</v>
          </cell>
        </row>
        <row r="5078">
          <cell r="I5078" t="str">
            <v>EDI</v>
          </cell>
          <cell r="L5078">
            <v>879</v>
          </cell>
          <cell r="N5078" t="str">
            <v>Production</v>
          </cell>
          <cell r="O5078" t="str">
            <v>eBenefits Network</v>
          </cell>
          <cell r="P5078" t="str">
            <v>Production</v>
          </cell>
          <cell r="Q5078" t="str">
            <v>Cancelled</v>
          </cell>
          <cell r="R5078">
            <v>44606.834467592591</v>
          </cell>
          <cell r="S5078" t="str">
            <v>Fady Maged Old Account</v>
          </cell>
          <cell r="T5078">
            <v>44682</v>
          </cell>
          <cell r="V5078">
            <v>44690</v>
          </cell>
          <cell r="W5078">
            <v>44732</v>
          </cell>
          <cell r="Y5078">
            <v>44639</v>
          </cell>
          <cell r="AC5078">
            <v>44732</v>
          </cell>
        </row>
        <row r="5079">
          <cell r="I5079" t="str">
            <v>EDI</v>
          </cell>
          <cell r="L5079">
            <v>844</v>
          </cell>
          <cell r="N5079" t="str">
            <v>Production</v>
          </cell>
          <cell r="O5079" t="str">
            <v>eBenefits Network</v>
          </cell>
          <cell r="P5079" t="str">
            <v>Production</v>
          </cell>
          <cell r="Q5079" t="str">
            <v>Cancelled</v>
          </cell>
          <cell r="R5079">
            <v>44606.834120370368</v>
          </cell>
          <cell r="S5079" t="str">
            <v>Amira Elshora Old Account</v>
          </cell>
          <cell r="T5079">
            <v>44677</v>
          </cell>
          <cell r="V5079">
            <v>44685</v>
          </cell>
          <cell r="W5079">
            <v>44732</v>
          </cell>
          <cell r="Y5079">
            <v>44639</v>
          </cell>
          <cell r="AC5079">
            <v>44732</v>
          </cell>
        </row>
        <row r="5080">
          <cell r="I5080" t="str">
            <v>EDI</v>
          </cell>
          <cell r="L5080">
            <v>792</v>
          </cell>
          <cell r="N5080" t="str">
            <v>Production</v>
          </cell>
          <cell r="O5080" t="str">
            <v>eBenefits Network</v>
          </cell>
          <cell r="P5080" t="str">
            <v>Production</v>
          </cell>
          <cell r="Q5080" t="str">
            <v>Cancelled</v>
          </cell>
          <cell r="R5080">
            <v>44606.828877314823</v>
          </cell>
          <cell r="S5080" t="str">
            <v>Fady Maged Old Account</v>
          </cell>
          <cell r="T5080">
            <v>44666</v>
          </cell>
          <cell r="U5080" t="str">
            <v>Billy Smith</v>
          </cell>
          <cell r="V5080">
            <v>44667</v>
          </cell>
          <cell r="W5080">
            <v>44767</v>
          </cell>
          <cell r="Y5080">
            <v>44639</v>
          </cell>
          <cell r="AC5080">
            <v>44767</v>
          </cell>
        </row>
        <row r="5081">
          <cell r="I5081" t="str">
            <v>EDI</v>
          </cell>
          <cell r="L5081">
            <v>703</v>
          </cell>
          <cell r="N5081" t="str">
            <v>Production</v>
          </cell>
          <cell r="O5081" t="str">
            <v>eBenefits Network</v>
          </cell>
          <cell r="P5081" t="str">
            <v>Production</v>
          </cell>
          <cell r="Q5081" t="str">
            <v>Cancelled</v>
          </cell>
          <cell r="R5081">
            <v>44606.828877314823</v>
          </cell>
          <cell r="S5081" t="str">
            <v>Amira Elshora Old Account</v>
          </cell>
          <cell r="T5081">
            <v>44650</v>
          </cell>
          <cell r="U5081" t="str">
            <v>Billy Smith</v>
          </cell>
          <cell r="V5081">
            <v>44651</v>
          </cell>
          <cell r="W5081">
            <v>44683</v>
          </cell>
          <cell r="Y5081">
            <v>44639</v>
          </cell>
          <cell r="AC5081">
            <v>44679</v>
          </cell>
        </row>
        <row r="5082">
          <cell r="I5082" t="str">
            <v>EDI</v>
          </cell>
          <cell r="L5082">
            <v>901</v>
          </cell>
          <cell r="N5082" t="str">
            <v>Production</v>
          </cell>
          <cell r="O5082" t="str">
            <v>eBenefits Network</v>
          </cell>
          <cell r="P5082" t="str">
            <v>Production</v>
          </cell>
          <cell r="Q5082" t="str">
            <v>Cancelled</v>
          </cell>
          <cell r="R5082">
            <v>44606.828865740739</v>
          </cell>
          <cell r="S5082" t="str">
            <v>Fady Maged Old Account</v>
          </cell>
          <cell r="T5082">
            <v>44691</v>
          </cell>
          <cell r="U5082" t="str">
            <v>Billy Smith</v>
          </cell>
          <cell r="V5082">
            <v>44695</v>
          </cell>
          <cell r="W5082">
            <v>44711</v>
          </cell>
          <cell r="Y5082">
            <v>44639</v>
          </cell>
          <cell r="AC5082">
            <v>44711</v>
          </cell>
        </row>
        <row r="5083">
          <cell r="I5083" t="str">
            <v>EDI</v>
          </cell>
          <cell r="L5083">
            <v>729</v>
          </cell>
          <cell r="N5083" t="str">
            <v>Production</v>
          </cell>
          <cell r="O5083" t="str">
            <v>eBenefits Network</v>
          </cell>
          <cell r="P5083" t="str">
            <v>Production</v>
          </cell>
          <cell r="Q5083" t="str">
            <v>Cancelled</v>
          </cell>
          <cell r="R5083">
            <v>44606.76730324074</v>
          </cell>
          <cell r="S5083" t="str">
            <v>Amira Elshora Old Account</v>
          </cell>
          <cell r="T5083">
            <v>44666</v>
          </cell>
          <cell r="U5083" t="str">
            <v>Billy Smith</v>
          </cell>
          <cell r="V5083">
            <v>44669</v>
          </cell>
          <cell r="W5083">
            <v>44711</v>
          </cell>
          <cell r="Y5083">
            <v>44628</v>
          </cell>
          <cell r="AC5083">
            <v>44711</v>
          </cell>
        </row>
        <row r="5084">
          <cell r="I5084" t="str">
            <v>EDI</v>
          </cell>
          <cell r="L5084">
            <v>437</v>
          </cell>
          <cell r="N5084" t="str">
            <v>Production</v>
          </cell>
          <cell r="O5084" t="str">
            <v>No</v>
          </cell>
          <cell r="Q5084" t="str">
            <v>Cancelled</v>
          </cell>
          <cell r="R5084">
            <v>44606.623495370368</v>
          </cell>
          <cell r="S5084" t="str">
            <v>Mina Adel Old Account</v>
          </cell>
          <cell r="T5084">
            <v>44608</v>
          </cell>
          <cell r="U5084" t="str">
            <v>Billy Smith</v>
          </cell>
          <cell r="V5084">
            <v>44677</v>
          </cell>
          <cell r="W5084">
            <v>44684</v>
          </cell>
          <cell r="Y5084">
            <v>44608</v>
          </cell>
          <cell r="AC5084">
            <v>44679</v>
          </cell>
        </row>
        <row r="5085">
          <cell r="I5085" t="str">
            <v>EDI</v>
          </cell>
          <cell r="L5085">
            <v>686</v>
          </cell>
          <cell r="N5085" t="str">
            <v>Production</v>
          </cell>
          <cell r="O5085" t="str">
            <v>No</v>
          </cell>
          <cell r="Q5085" t="str">
            <v>Cancelled</v>
          </cell>
          <cell r="R5085">
            <v>44606.623495370368</v>
          </cell>
          <cell r="S5085" t="str">
            <v>Joseph Atef Old Account</v>
          </cell>
          <cell r="T5085">
            <v>44647</v>
          </cell>
          <cell r="U5085" t="str">
            <v>Billy Smith</v>
          </cell>
          <cell r="V5085">
            <v>44685</v>
          </cell>
          <cell r="W5085">
            <v>44769</v>
          </cell>
          <cell r="Y5085">
            <v>44647</v>
          </cell>
          <cell r="AC5085">
            <v>44761</v>
          </cell>
        </row>
        <row r="5086">
          <cell r="I5086" t="str">
            <v>EDI</v>
          </cell>
          <cell r="L5086">
            <v>492</v>
          </cell>
          <cell r="N5086" t="str">
            <v>Production</v>
          </cell>
          <cell r="O5086" t="str">
            <v>No</v>
          </cell>
          <cell r="Q5086" t="str">
            <v>Cancelled</v>
          </cell>
          <cell r="R5086">
            <v>44606.623495370368</v>
          </cell>
          <cell r="S5086" t="str">
            <v>Omnia Abdelaziz</v>
          </cell>
          <cell r="T5086">
            <v>44892</v>
          </cell>
          <cell r="U5086" t="str">
            <v>Billy Smith</v>
          </cell>
          <cell r="V5086">
            <v>44663</v>
          </cell>
          <cell r="W5086">
            <v>44754</v>
          </cell>
          <cell r="Y5086">
            <v>44615</v>
          </cell>
          <cell r="AC5086">
            <v>44752</v>
          </cell>
        </row>
        <row r="5087">
          <cell r="I5087" t="str">
            <v>EDI</v>
          </cell>
          <cell r="L5087">
            <v>622</v>
          </cell>
          <cell r="N5087" t="str">
            <v>Production</v>
          </cell>
          <cell r="O5087" t="str">
            <v>No</v>
          </cell>
          <cell r="Q5087" t="str">
            <v>Live</v>
          </cell>
          <cell r="R5087">
            <v>44606.591620370367</v>
          </cell>
          <cell r="S5087" t="str">
            <v>Mina Adel Old Account</v>
          </cell>
          <cell r="T5087">
            <v>44637</v>
          </cell>
          <cell r="U5087" t="str">
            <v>Vicky Wright</v>
          </cell>
          <cell r="V5087">
            <v>44643</v>
          </cell>
          <cell r="W5087">
            <v>25569</v>
          </cell>
          <cell r="Y5087">
            <v>44636</v>
          </cell>
          <cell r="AC5087">
            <v>44678</v>
          </cell>
        </row>
        <row r="5088">
          <cell r="I5088" t="str">
            <v>EDI</v>
          </cell>
          <cell r="L5088">
            <v>448</v>
          </cell>
          <cell r="N5088" t="str">
            <v>Production</v>
          </cell>
          <cell r="O5088" t="str">
            <v>No</v>
          </cell>
          <cell r="Q5088" t="str">
            <v>Cancelled</v>
          </cell>
          <cell r="R5088">
            <v>44602.817858796298</v>
          </cell>
          <cell r="S5088" t="str">
            <v>Jack Salah</v>
          </cell>
          <cell r="T5088">
            <v>44608</v>
          </cell>
          <cell r="U5088" t="str">
            <v>Vicky Wright</v>
          </cell>
          <cell r="V5088">
            <v>44649</v>
          </cell>
          <cell r="W5088">
            <v>44689</v>
          </cell>
          <cell r="Y5088">
            <v>44608</v>
          </cell>
          <cell r="AC5088">
            <v>44686</v>
          </cell>
        </row>
        <row r="5089">
          <cell r="I5089" t="str">
            <v>EDI</v>
          </cell>
          <cell r="L5089">
            <v>588</v>
          </cell>
          <cell r="N5089" t="str">
            <v>Production</v>
          </cell>
          <cell r="O5089" t="str">
            <v>No</v>
          </cell>
          <cell r="Q5089" t="str">
            <v>Cancelled</v>
          </cell>
          <cell r="R5089">
            <v>44602.615682870368</v>
          </cell>
          <cell r="S5089" t="str">
            <v>Omnia Abdelaziz</v>
          </cell>
          <cell r="T5089">
            <v>44892</v>
          </cell>
          <cell r="U5089" t="str">
            <v>Billy Smith</v>
          </cell>
          <cell r="W5089">
            <v>44762</v>
          </cell>
          <cell r="Y5089">
            <v>44629</v>
          </cell>
          <cell r="AC5089">
            <v>44760</v>
          </cell>
        </row>
        <row r="5090">
          <cell r="I5090" t="str">
            <v>EDI</v>
          </cell>
          <cell r="L5090">
            <v>443</v>
          </cell>
          <cell r="N5090" t="str">
            <v>Testing</v>
          </cell>
          <cell r="O5090" t="str">
            <v>No</v>
          </cell>
          <cell r="Q5090" t="str">
            <v>Cancelled</v>
          </cell>
          <cell r="R5090">
            <v>44600.616006944438</v>
          </cell>
          <cell r="S5090" t="str">
            <v>Omnia Abdelaziz Old Account</v>
          </cell>
          <cell r="T5090">
            <v>44606</v>
          </cell>
          <cell r="U5090" t="str">
            <v>Cheryl Cabana</v>
          </cell>
          <cell r="V5090">
            <v>44679</v>
          </cell>
          <cell r="Y5090">
            <v>44602</v>
          </cell>
        </row>
        <row r="5091">
          <cell r="I5091" t="str">
            <v>EDI</v>
          </cell>
          <cell r="L5091">
            <v>439</v>
          </cell>
          <cell r="N5091" t="str">
            <v>Testing</v>
          </cell>
          <cell r="O5091" t="str">
            <v>No</v>
          </cell>
          <cell r="Q5091" t="str">
            <v>Cancelled</v>
          </cell>
          <cell r="R5091">
            <v>44600.616006944438</v>
          </cell>
          <cell r="S5091" t="str">
            <v>Haytham Mohamed</v>
          </cell>
          <cell r="T5091">
            <v>44612</v>
          </cell>
          <cell r="U5091" t="str">
            <v>Cheryl Cabana</v>
          </cell>
          <cell r="V5091">
            <v>44679</v>
          </cell>
          <cell r="Y5091">
            <v>44608</v>
          </cell>
        </row>
        <row r="5092">
          <cell r="I5092" t="str">
            <v>EDI</v>
          </cell>
          <cell r="L5092">
            <v>531</v>
          </cell>
          <cell r="N5092" t="str">
            <v>Production</v>
          </cell>
          <cell r="O5092" t="str">
            <v>Everything Benefits</v>
          </cell>
          <cell r="P5092" t="str">
            <v>Production</v>
          </cell>
          <cell r="Q5092" t="str">
            <v>Cancelled</v>
          </cell>
          <cell r="R5092">
            <v>44599.802314814813</v>
          </cell>
          <cell r="S5092" t="str">
            <v>Mohamed Abdelhamed</v>
          </cell>
          <cell r="T5092">
            <v>44627</v>
          </cell>
          <cell r="V5092">
            <v>44629</v>
          </cell>
          <cell r="W5092">
            <v>44711</v>
          </cell>
          <cell r="Y5092">
            <v>44600</v>
          </cell>
          <cell r="AC5092">
            <v>44711</v>
          </cell>
        </row>
        <row r="5093">
          <cell r="I5093" t="str">
            <v>EDI</v>
          </cell>
          <cell r="L5093">
            <v>534</v>
          </cell>
          <cell r="N5093" t="str">
            <v>Production</v>
          </cell>
          <cell r="O5093" t="str">
            <v>Everything Benefits</v>
          </cell>
          <cell r="P5093" t="str">
            <v>Production</v>
          </cell>
          <cell r="Q5093" t="str">
            <v>Live</v>
          </cell>
          <cell r="R5093">
            <v>44599.800300925926</v>
          </cell>
          <cell r="S5093" t="str">
            <v>Ahmed Gamal</v>
          </cell>
          <cell r="T5093">
            <v>44627</v>
          </cell>
          <cell r="V5093">
            <v>44760</v>
          </cell>
          <cell r="W5093">
            <v>25569</v>
          </cell>
          <cell r="Y5093">
            <v>44600</v>
          </cell>
          <cell r="AC5093">
            <v>44822</v>
          </cell>
        </row>
        <row r="5094">
          <cell r="I5094" t="str">
            <v>EDI</v>
          </cell>
          <cell r="L5094">
            <v>532</v>
          </cell>
          <cell r="N5094" t="str">
            <v>Production</v>
          </cell>
          <cell r="O5094" t="str">
            <v>Everything Benefits</v>
          </cell>
          <cell r="P5094" t="str">
            <v>Production</v>
          </cell>
          <cell r="Q5094" t="str">
            <v>Live</v>
          </cell>
          <cell r="R5094">
            <v>44599.80028935185</v>
          </cell>
          <cell r="S5094" t="str">
            <v>Mohamed Abdelhamed</v>
          </cell>
          <cell r="T5094">
            <v>44627</v>
          </cell>
          <cell r="V5094">
            <v>44637</v>
          </cell>
          <cell r="W5094">
            <v>44711</v>
          </cell>
          <cell r="Y5094">
            <v>44600</v>
          </cell>
          <cell r="AC5094">
            <v>44711</v>
          </cell>
        </row>
        <row r="5095">
          <cell r="I5095" t="str">
            <v>EDI</v>
          </cell>
          <cell r="L5095">
            <v>536</v>
          </cell>
          <cell r="N5095" t="str">
            <v>Production</v>
          </cell>
          <cell r="O5095" t="str">
            <v>Everything Benefits</v>
          </cell>
          <cell r="P5095" t="str">
            <v>Production</v>
          </cell>
          <cell r="Q5095" t="str">
            <v>Live</v>
          </cell>
          <cell r="R5095">
            <v>44599.795972222222</v>
          </cell>
          <cell r="S5095" t="str">
            <v>Mohamed Abdelhamed</v>
          </cell>
          <cell r="T5095">
            <v>44637</v>
          </cell>
          <cell r="V5095">
            <v>44656</v>
          </cell>
          <cell r="W5095">
            <v>44711</v>
          </cell>
          <cell r="Y5095">
            <v>44600</v>
          </cell>
          <cell r="AC5095">
            <v>44711</v>
          </cell>
        </row>
        <row r="5096">
          <cell r="I5096" t="str">
            <v>EDI</v>
          </cell>
          <cell r="L5096">
            <v>535</v>
          </cell>
          <cell r="N5096" t="str">
            <v>Production</v>
          </cell>
          <cell r="O5096" t="str">
            <v>Everything Benefits</v>
          </cell>
          <cell r="P5096" t="str">
            <v>Production</v>
          </cell>
          <cell r="Q5096" t="str">
            <v>Live</v>
          </cell>
          <cell r="R5096">
            <v>44599.795972222222</v>
          </cell>
          <cell r="S5096" t="str">
            <v>Ahmed Gamal</v>
          </cell>
          <cell r="T5096">
            <v>44627</v>
          </cell>
          <cell r="V5096">
            <v>44760</v>
          </cell>
          <cell r="W5096">
            <v>25569</v>
          </cell>
          <cell r="Y5096">
            <v>44600</v>
          </cell>
          <cell r="AC5096">
            <v>44822</v>
          </cell>
        </row>
        <row r="5097">
          <cell r="I5097" t="str">
            <v>EDI</v>
          </cell>
          <cell r="L5097">
            <v>524</v>
          </cell>
          <cell r="N5097" t="str">
            <v>Production</v>
          </cell>
          <cell r="O5097" t="str">
            <v>No</v>
          </cell>
          <cell r="Q5097" t="str">
            <v>Cancelled</v>
          </cell>
          <cell r="R5097">
            <v>44599.738310185188</v>
          </cell>
          <cell r="S5097" t="str">
            <v>Joseph Atef Old Account</v>
          </cell>
          <cell r="T5097">
            <v>44626</v>
          </cell>
          <cell r="U5097" t="str">
            <v>Billy Smith</v>
          </cell>
          <cell r="V5097">
            <v>44635</v>
          </cell>
          <cell r="W5097">
            <v>44706</v>
          </cell>
          <cell r="Y5097">
            <v>44623</v>
          </cell>
          <cell r="AC5097">
            <v>44706</v>
          </cell>
        </row>
        <row r="5098">
          <cell r="I5098" t="str">
            <v>EDI</v>
          </cell>
          <cell r="L5098">
            <v>445</v>
          </cell>
          <cell r="N5098" t="str">
            <v>Production</v>
          </cell>
          <cell r="O5098" t="str">
            <v>No</v>
          </cell>
          <cell r="Q5098" t="str">
            <v>Cancelled</v>
          </cell>
          <cell r="R5098">
            <v>44599.738310185188</v>
          </cell>
          <cell r="S5098" t="str">
            <v>Mina George Old Account</v>
          </cell>
          <cell r="T5098">
            <v>44760</v>
          </cell>
          <cell r="U5098" t="str">
            <v>Billy Smith</v>
          </cell>
          <cell r="V5098">
            <v>44629</v>
          </cell>
          <cell r="W5098">
            <v>44769</v>
          </cell>
          <cell r="Y5098">
            <v>44612</v>
          </cell>
          <cell r="AC5098">
            <v>44762</v>
          </cell>
        </row>
        <row r="5099">
          <cell r="I5099" t="str">
            <v>EDI</v>
          </cell>
          <cell r="L5099">
            <v>416</v>
          </cell>
          <cell r="N5099" t="str">
            <v>Production</v>
          </cell>
          <cell r="O5099" t="str">
            <v>No</v>
          </cell>
          <cell r="Q5099" t="str">
            <v>Live</v>
          </cell>
          <cell r="R5099">
            <v>44599.738310185188</v>
          </cell>
          <cell r="S5099" t="str">
            <v>Haytham Mohamed</v>
          </cell>
          <cell r="T5099">
            <v>44607</v>
          </cell>
          <cell r="U5099" t="str">
            <v>Billy Smith</v>
          </cell>
          <cell r="V5099">
            <v>44607</v>
          </cell>
          <cell r="W5099">
            <v>44614</v>
          </cell>
          <cell r="Y5099">
            <v>44606</v>
          </cell>
          <cell r="AC5099">
            <v>44612</v>
          </cell>
        </row>
        <row r="5100">
          <cell r="I5100" t="str">
            <v>EDI</v>
          </cell>
          <cell r="L5100">
            <v>461</v>
          </cell>
          <cell r="N5100" t="str">
            <v>Production</v>
          </cell>
          <cell r="O5100" t="str">
            <v>No</v>
          </cell>
          <cell r="Q5100" t="str">
            <v>Cancelled</v>
          </cell>
          <cell r="R5100">
            <v>44599.738298611112</v>
          </cell>
          <cell r="S5100" t="str">
            <v>Mohamed Samy</v>
          </cell>
          <cell r="T5100">
            <v>44606</v>
          </cell>
          <cell r="U5100" t="str">
            <v>Billy Smith</v>
          </cell>
          <cell r="V5100">
            <v>44649</v>
          </cell>
          <cell r="W5100">
            <v>44684</v>
          </cell>
          <cell r="Y5100">
            <v>44604</v>
          </cell>
          <cell r="AC5100">
            <v>44679</v>
          </cell>
        </row>
        <row r="5101">
          <cell r="I5101" t="str">
            <v>EDI</v>
          </cell>
          <cell r="L5101">
            <v>530</v>
          </cell>
          <cell r="N5101" t="str">
            <v>Production</v>
          </cell>
          <cell r="O5101" t="str">
            <v>No</v>
          </cell>
          <cell r="Q5101" t="str">
            <v>Live</v>
          </cell>
          <cell r="R5101">
            <v>44599.738298611112</v>
          </cell>
          <cell r="S5101" t="str">
            <v>Omar Elmahalwy Old Account</v>
          </cell>
          <cell r="T5101">
            <v>44628</v>
          </cell>
          <cell r="U5101" t="str">
            <v>Billy Smith</v>
          </cell>
          <cell r="V5101">
            <v>44634</v>
          </cell>
          <cell r="W5101">
            <v>44656</v>
          </cell>
          <cell r="Y5101">
            <v>44627</v>
          </cell>
          <cell r="AC5101">
            <v>44651</v>
          </cell>
        </row>
        <row r="5102">
          <cell r="I5102" t="str">
            <v>EDI</v>
          </cell>
          <cell r="L5102">
            <v>451</v>
          </cell>
          <cell r="N5102" t="str">
            <v>Production</v>
          </cell>
          <cell r="O5102" t="str">
            <v>No</v>
          </cell>
          <cell r="Q5102" t="str">
            <v>Cancelled</v>
          </cell>
          <cell r="R5102">
            <v>44599.03</v>
          </cell>
          <cell r="S5102" t="str">
            <v>Ahmed Sami Old Account</v>
          </cell>
          <cell r="T5102">
            <v>44608</v>
          </cell>
          <cell r="U5102" t="str">
            <v>Vicky Wright</v>
          </cell>
          <cell r="V5102">
            <v>44614</v>
          </cell>
          <cell r="W5102">
            <v>44642</v>
          </cell>
          <cell r="Y5102">
            <v>44607</v>
          </cell>
          <cell r="AC5102">
            <v>44641</v>
          </cell>
        </row>
        <row r="5103">
          <cell r="I5103" t="str">
            <v>EDI</v>
          </cell>
          <cell r="L5103">
            <v>447</v>
          </cell>
          <cell r="N5103" t="str">
            <v>Production</v>
          </cell>
          <cell r="O5103" t="str">
            <v>No</v>
          </cell>
          <cell r="Q5103" t="str">
            <v>Cancelled</v>
          </cell>
          <cell r="R5103">
            <v>44595.59171296296</v>
          </cell>
          <cell r="S5103" t="str">
            <v>Omar Elmahalwy Old Account</v>
          </cell>
          <cell r="T5103">
            <v>44613</v>
          </cell>
          <cell r="U5103" t="str">
            <v>Billy Smith</v>
          </cell>
          <cell r="V5103">
            <v>44641</v>
          </cell>
          <cell r="W5103">
            <v>44658</v>
          </cell>
          <cell r="AC5103">
            <v>44656</v>
          </cell>
        </row>
        <row r="5104">
          <cell r="I5104" t="str">
            <v>EDI</v>
          </cell>
          <cell r="L5104">
            <v>1412</v>
          </cell>
          <cell r="N5104" t="str">
            <v>Production</v>
          </cell>
          <cell r="O5104" t="str">
            <v>No</v>
          </cell>
          <cell r="Q5104" t="str">
            <v>Cancelled</v>
          </cell>
          <cell r="R5104">
            <v>44594.907962962963</v>
          </cell>
          <cell r="S5104" t="str">
            <v>Aya Fathy</v>
          </cell>
          <cell r="T5104">
            <v>44794</v>
          </cell>
          <cell r="U5104" t="str">
            <v>Miranda Naeem</v>
          </cell>
          <cell r="V5104">
            <v>25569</v>
          </cell>
          <cell r="W5104">
            <v>44824</v>
          </cell>
          <cell r="Y5104">
            <v>44794</v>
          </cell>
          <cell r="AC5104">
            <v>44815</v>
          </cell>
        </row>
        <row r="5105">
          <cell r="I5105" t="str">
            <v>EDI</v>
          </cell>
          <cell r="L5105">
            <v>455</v>
          </cell>
          <cell r="N5105" t="str">
            <v>Production</v>
          </cell>
          <cell r="O5105" t="str">
            <v>No</v>
          </cell>
          <cell r="Q5105" t="str">
            <v>Cancelled</v>
          </cell>
          <cell r="R5105">
            <v>44594.58016203704</v>
          </cell>
          <cell r="S5105" t="str">
            <v>Joseph Atef Old Account</v>
          </cell>
          <cell r="T5105">
            <v>44613</v>
          </cell>
          <cell r="U5105" t="str">
            <v>Miranda Naeem</v>
          </cell>
          <cell r="V5105">
            <v>44627</v>
          </cell>
          <cell r="W5105">
            <v>44663</v>
          </cell>
          <cell r="AC5105">
            <v>44657</v>
          </cell>
        </row>
        <row r="5106">
          <cell r="I5106" t="str">
            <v>EDI</v>
          </cell>
          <cell r="L5106">
            <v>1117</v>
          </cell>
          <cell r="N5106" t="str">
            <v>Production</v>
          </cell>
          <cell r="O5106" t="str">
            <v>No</v>
          </cell>
          <cell r="Q5106" t="str">
            <v>Live</v>
          </cell>
          <cell r="R5106">
            <v>44594.580150462964</v>
          </cell>
          <cell r="S5106" t="str">
            <v>Omar Elmahalwy Old Account</v>
          </cell>
          <cell r="T5106">
            <v>44727</v>
          </cell>
          <cell r="U5106" t="str">
            <v>Miranda Naeem</v>
          </cell>
          <cell r="V5106">
            <v>44796</v>
          </cell>
          <cell r="W5106">
            <v>44824</v>
          </cell>
          <cell r="Y5106">
            <v>44724</v>
          </cell>
          <cell r="AC5106">
            <v>44819</v>
          </cell>
        </row>
        <row r="5107">
          <cell r="I5107" t="str">
            <v>EDI</v>
          </cell>
          <cell r="L5107">
            <v>405</v>
          </cell>
          <cell r="N5107" t="str">
            <v>Production</v>
          </cell>
          <cell r="O5107" t="str">
            <v>No</v>
          </cell>
          <cell r="Q5107" t="str">
            <v>Live</v>
          </cell>
          <cell r="R5107">
            <v>44594.576111111113</v>
          </cell>
          <cell r="S5107" t="str">
            <v>Fady Bassel</v>
          </cell>
          <cell r="T5107">
            <v>44601</v>
          </cell>
          <cell r="U5107" t="str">
            <v>Billy Smith</v>
          </cell>
          <cell r="V5107">
            <v>44649</v>
          </cell>
          <cell r="W5107">
            <v>44670</v>
          </cell>
          <cell r="Y5107">
            <v>44600</v>
          </cell>
          <cell r="AC5107">
            <v>44665</v>
          </cell>
        </row>
        <row r="5108">
          <cell r="I5108" t="str">
            <v>EDI</v>
          </cell>
          <cell r="L5108">
            <v>683</v>
          </cell>
          <cell r="N5108" t="str">
            <v>Production</v>
          </cell>
          <cell r="O5108" t="str">
            <v>No</v>
          </cell>
          <cell r="Q5108" t="str">
            <v>Live</v>
          </cell>
          <cell r="R5108">
            <v>44594.576099537036</v>
          </cell>
          <cell r="S5108" t="str">
            <v>Omar Elmahalwy Old Account</v>
          </cell>
          <cell r="T5108">
            <v>44647</v>
          </cell>
          <cell r="U5108" t="str">
            <v>Billy Smith</v>
          </cell>
          <cell r="V5108">
            <v>44657</v>
          </cell>
          <cell r="W5108">
            <v>44700</v>
          </cell>
          <cell r="Y5108">
            <v>44647</v>
          </cell>
          <cell r="AC5108">
            <v>44686</v>
          </cell>
        </row>
        <row r="5109">
          <cell r="I5109" t="str">
            <v>EDI</v>
          </cell>
          <cell r="L5109">
            <v>453</v>
          </cell>
          <cell r="N5109" t="str">
            <v>Production</v>
          </cell>
          <cell r="O5109" t="str">
            <v>No</v>
          </cell>
          <cell r="Q5109" t="str">
            <v>Live</v>
          </cell>
          <cell r="R5109">
            <v>44594.576099537036</v>
          </cell>
          <cell r="S5109" t="str">
            <v>Haytham Mohamed</v>
          </cell>
          <cell r="T5109">
            <v>44613</v>
          </cell>
          <cell r="U5109" t="str">
            <v>Billy Smith</v>
          </cell>
          <cell r="V5109">
            <v>44657</v>
          </cell>
          <cell r="W5109">
            <v>44684</v>
          </cell>
          <cell r="Y5109">
            <v>44612</v>
          </cell>
          <cell r="AC5109">
            <v>44681</v>
          </cell>
        </row>
        <row r="5110">
          <cell r="I5110" t="str">
            <v>EDI</v>
          </cell>
          <cell r="L5110">
            <v>456</v>
          </cell>
          <cell r="N5110" t="str">
            <v>Production</v>
          </cell>
          <cell r="O5110" t="str">
            <v>No</v>
          </cell>
          <cell r="Q5110" t="str">
            <v>Cancelled</v>
          </cell>
          <cell r="R5110">
            <v>44594.576099537036</v>
          </cell>
          <cell r="S5110" t="str">
            <v>Ahmed Sami Old Account</v>
          </cell>
          <cell r="T5110">
            <v>44598</v>
          </cell>
          <cell r="U5110" t="str">
            <v>Billy Smith</v>
          </cell>
          <cell r="V5110">
            <v>44650</v>
          </cell>
          <cell r="W5110">
            <v>44740</v>
          </cell>
          <cell r="Y5110">
            <v>44598</v>
          </cell>
          <cell r="AC5110">
            <v>44735</v>
          </cell>
        </row>
        <row r="5111">
          <cell r="I5111" t="str">
            <v>EDI</v>
          </cell>
          <cell r="L5111">
            <v>383</v>
          </cell>
          <cell r="N5111" t="str">
            <v>Production</v>
          </cell>
          <cell r="O5111" t="str">
            <v>No</v>
          </cell>
          <cell r="Q5111" t="str">
            <v>Cancelled</v>
          </cell>
          <cell r="R5111">
            <v>44593.622002314813</v>
          </cell>
          <cell r="S5111" t="str">
            <v>Joseph Atef</v>
          </cell>
          <cell r="T5111">
            <v>44888</v>
          </cell>
          <cell r="U5111" t="str">
            <v>Denise Stubenvoll</v>
          </cell>
          <cell r="V5111">
            <v>44690</v>
          </cell>
          <cell r="W5111">
            <v>45392</v>
          </cell>
          <cell r="Y5111">
            <v>44598</v>
          </cell>
          <cell r="AC5111">
            <v>45392</v>
          </cell>
        </row>
        <row r="5112">
          <cell r="I5112" t="str">
            <v>EDI</v>
          </cell>
          <cell r="L5112">
            <v>419</v>
          </cell>
          <cell r="N5112" t="str">
            <v>Production</v>
          </cell>
          <cell r="O5112" t="str">
            <v>No</v>
          </cell>
          <cell r="Q5112" t="str">
            <v>Cancelled</v>
          </cell>
          <cell r="R5112">
            <v>44589.870509259257</v>
          </cell>
          <cell r="S5112" t="str">
            <v>Omar Elmahalwy Old Account</v>
          </cell>
          <cell r="T5112">
            <v>44607</v>
          </cell>
          <cell r="U5112" t="str">
            <v>Miranda Naeem</v>
          </cell>
          <cell r="V5112">
            <v>44626</v>
          </cell>
          <cell r="W5112">
            <v>44656</v>
          </cell>
          <cell r="Y5112">
            <v>44606</v>
          </cell>
          <cell r="AC5112">
            <v>44634</v>
          </cell>
        </row>
        <row r="5113">
          <cell r="I5113" t="str">
            <v>EDI</v>
          </cell>
          <cell r="L5113">
            <v>402</v>
          </cell>
          <cell r="N5113" t="str">
            <v>Production</v>
          </cell>
          <cell r="O5113" t="str">
            <v>No</v>
          </cell>
          <cell r="Q5113" t="str">
            <v>Cancelled</v>
          </cell>
          <cell r="R5113">
            <v>44589.870509259257</v>
          </cell>
          <cell r="S5113" t="str">
            <v>Haytham Mohamed</v>
          </cell>
          <cell r="T5113">
            <v>44606</v>
          </cell>
          <cell r="U5113" t="str">
            <v>Miranda Naeem</v>
          </cell>
          <cell r="V5113">
            <v>44627</v>
          </cell>
          <cell r="W5113">
            <v>44684</v>
          </cell>
          <cell r="Y5113">
            <v>44605</v>
          </cell>
          <cell r="AC5113">
            <v>44678</v>
          </cell>
        </row>
        <row r="5114">
          <cell r="I5114" t="str">
            <v>EDI</v>
          </cell>
          <cell r="N5114" t="str">
            <v>Production</v>
          </cell>
          <cell r="O5114" t="str">
            <v>No</v>
          </cell>
          <cell r="Q5114" t="str">
            <v>Cancelled</v>
          </cell>
          <cell r="R5114">
            <v>44589.566296296303</v>
          </cell>
          <cell r="S5114" t="str">
            <v>Dina Medhat</v>
          </cell>
          <cell r="T5114">
            <v>44591</v>
          </cell>
          <cell r="U5114" t="str">
            <v>Billy Smith</v>
          </cell>
        </row>
        <row r="5115">
          <cell r="I5115" t="str">
            <v>EDI</v>
          </cell>
          <cell r="N5115" t="str">
            <v>Production</v>
          </cell>
          <cell r="O5115" t="str">
            <v>No</v>
          </cell>
          <cell r="Q5115" t="str">
            <v>Cancelled</v>
          </cell>
          <cell r="R5115">
            <v>44589.565729166658</v>
          </cell>
          <cell r="S5115" t="str">
            <v>Dina Medhat</v>
          </cell>
          <cell r="T5115">
            <v>44591</v>
          </cell>
          <cell r="U5115" t="str">
            <v>Billy Smith</v>
          </cell>
        </row>
        <row r="5116">
          <cell r="I5116" t="str">
            <v>EDI</v>
          </cell>
          <cell r="L5116">
            <v>385</v>
          </cell>
          <cell r="N5116" t="str">
            <v>Production</v>
          </cell>
          <cell r="O5116" t="str">
            <v>No</v>
          </cell>
          <cell r="Q5116" t="str">
            <v>Cancelled</v>
          </cell>
          <cell r="R5116">
            <v>44588.839907407397</v>
          </cell>
          <cell r="S5116" t="str">
            <v>Haytham Mohamed</v>
          </cell>
          <cell r="T5116">
            <v>44601</v>
          </cell>
          <cell r="U5116" t="str">
            <v>Denise Stubenvoll</v>
          </cell>
          <cell r="V5116">
            <v>44612</v>
          </cell>
          <cell r="W5116">
            <v>44614</v>
          </cell>
          <cell r="Y5116">
            <v>44600</v>
          </cell>
          <cell r="AC5116">
            <v>44612</v>
          </cell>
        </row>
        <row r="5117">
          <cell r="I5117" t="str">
            <v>EDI</v>
          </cell>
          <cell r="L5117">
            <v>695</v>
          </cell>
          <cell r="N5117" t="str">
            <v>Production</v>
          </cell>
          <cell r="O5117" t="str">
            <v>No</v>
          </cell>
          <cell r="Q5117" t="str">
            <v>Cancelled</v>
          </cell>
          <cell r="R5117">
            <v>44588.839907407397</v>
          </cell>
          <cell r="S5117" t="str">
            <v>Omar Elmahalwy Old Account</v>
          </cell>
          <cell r="T5117">
            <v>44649</v>
          </cell>
          <cell r="U5117" t="str">
            <v>Denise Stubenvoll</v>
          </cell>
          <cell r="V5117">
            <v>44689</v>
          </cell>
          <cell r="W5117">
            <v>44762</v>
          </cell>
          <cell r="Y5117">
            <v>44644</v>
          </cell>
          <cell r="AC5117">
            <v>44757</v>
          </cell>
        </row>
        <row r="5118">
          <cell r="I5118" t="str">
            <v>EDI</v>
          </cell>
          <cell r="L5118">
            <v>500</v>
          </cell>
          <cell r="N5118" t="str">
            <v>Production</v>
          </cell>
          <cell r="O5118" t="str">
            <v>No</v>
          </cell>
          <cell r="Q5118" t="str">
            <v>Live</v>
          </cell>
          <cell r="R5118">
            <v>44588.839907407397</v>
          </cell>
          <cell r="S5118" t="str">
            <v>Haytham Mohamed</v>
          </cell>
          <cell r="T5118">
            <v>44760</v>
          </cell>
          <cell r="U5118" t="str">
            <v>Denise Stubenvoll</v>
          </cell>
          <cell r="V5118">
            <v>44718</v>
          </cell>
          <cell r="W5118">
            <v>44818</v>
          </cell>
          <cell r="Y5118">
            <v>44620</v>
          </cell>
          <cell r="AC5118">
            <v>44816</v>
          </cell>
        </row>
        <row r="5119">
          <cell r="I5119" t="str">
            <v>EDI</v>
          </cell>
          <cell r="L5119">
            <v>395</v>
          </cell>
          <cell r="N5119" t="str">
            <v>Production</v>
          </cell>
          <cell r="O5119" t="str">
            <v>No</v>
          </cell>
          <cell r="Q5119" t="str">
            <v>Cancelled</v>
          </cell>
          <cell r="R5119">
            <v>44588.839895833327</v>
          </cell>
          <cell r="S5119" t="str">
            <v>Mina George Old Account</v>
          </cell>
          <cell r="T5119">
            <v>44602</v>
          </cell>
          <cell r="U5119" t="str">
            <v>Denise Stubenvoll</v>
          </cell>
          <cell r="V5119">
            <v>44609</v>
          </cell>
          <cell r="W5119">
            <v>44621</v>
          </cell>
          <cell r="Y5119">
            <v>44601</v>
          </cell>
          <cell r="AC5119">
            <v>44615</v>
          </cell>
        </row>
        <row r="5120">
          <cell r="I5120" t="str">
            <v>EDI</v>
          </cell>
          <cell r="L5120">
            <v>490</v>
          </cell>
          <cell r="N5120" t="str">
            <v>Production</v>
          </cell>
          <cell r="O5120" t="str">
            <v>No</v>
          </cell>
          <cell r="Q5120" t="str">
            <v>Cancelled</v>
          </cell>
          <cell r="R5120">
            <v>44587.94121527778</v>
          </cell>
          <cell r="S5120" t="str">
            <v>Omnia Abdelaziz</v>
          </cell>
          <cell r="T5120">
            <v>44892</v>
          </cell>
          <cell r="U5120" t="str">
            <v>Denise Stubenvoll</v>
          </cell>
          <cell r="V5120">
            <v>44680</v>
          </cell>
          <cell r="W5120">
            <v>44797</v>
          </cell>
          <cell r="Y5120">
            <v>44612</v>
          </cell>
          <cell r="AC5120">
            <v>44794</v>
          </cell>
        </row>
        <row r="5121">
          <cell r="I5121" t="str">
            <v>EDI</v>
          </cell>
          <cell r="L5121">
            <v>479</v>
          </cell>
          <cell r="N5121" t="str">
            <v>Production</v>
          </cell>
          <cell r="O5121" t="str">
            <v>Everything Benefits</v>
          </cell>
          <cell r="P5121" t="str">
            <v>Production</v>
          </cell>
          <cell r="Q5121" t="str">
            <v>Live</v>
          </cell>
          <cell r="R5121">
            <v>44587.675520833327</v>
          </cell>
          <cell r="S5121" t="str">
            <v>Alaa Yehia</v>
          </cell>
          <cell r="T5121">
            <v>44607</v>
          </cell>
          <cell r="U5121" t="str">
            <v>Billy Smith</v>
          </cell>
          <cell r="W5121">
            <v>44662</v>
          </cell>
          <cell r="AC5121">
            <v>44662</v>
          </cell>
        </row>
        <row r="5122">
          <cell r="I5122" t="str">
            <v>EDI</v>
          </cell>
          <cell r="L5122">
            <v>431</v>
          </cell>
          <cell r="N5122" t="str">
            <v>Testing</v>
          </cell>
          <cell r="O5122" t="str">
            <v>Everything Benefits</v>
          </cell>
          <cell r="P5122" t="str">
            <v>Phase 3</v>
          </cell>
          <cell r="Q5122" t="str">
            <v>Cancelled</v>
          </cell>
          <cell r="R5122">
            <v>44587.667581018519</v>
          </cell>
          <cell r="S5122" t="str">
            <v>Alaa Yehia</v>
          </cell>
          <cell r="T5122">
            <v>44607</v>
          </cell>
          <cell r="U5122" t="str">
            <v>Billy Smith</v>
          </cell>
        </row>
        <row r="5123">
          <cell r="I5123" t="str">
            <v>EDI</v>
          </cell>
          <cell r="L5123">
            <v>363</v>
          </cell>
          <cell r="N5123" t="str">
            <v>Production</v>
          </cell>
          <cell r="O5123" t="str">
            <v>Everything Benefits</v>
          </cell>
          <cell r="P5123" t="str">
            <v>Production</v>
          </cell>
          <cell r="Q5123" t="str">
            <v>Cancelled</v>
          </cell>
          <cell r="R5123">
            <v>44587.667581018519</v>
          </cell>
          <cell r="S5123" t="str">
            <v>Mahmoud Heidar</v>
          </cell>
          <cell r="T5123">
            <v>44593</v>
          </cell>
          <cell r="U5123" t="str">
            <v>Billy Smith</v>
          </cell>
          <cell r="V5123">
            <v>44651</v>
          </cell>
          <cell r="W5123">
            <v>44872</v>
          </cell>
          <cell r="AC5123">
            <v>44871</v>
          </cell>
        </row>
        <row r="5124">
          <cell r="I5124" t="str">
            <v>EDI</v>
          </cell>
          <cell r="L5124">
            <v>446</v>
          </cell>
          <cell r="N5124" t="str">
            <v>Production</v>
          </cell>
          <cell r="O5124" t="str">
            <v>Everything Benefits</v>
          </cell>
          <cell r="P5124" t="str">
            <v>Production</v>
          </cell>
          <cell r="Q5124" t="str">
            <v>Live</v>
          </cell>
          <cell r="R5124">
            <v>44587.657592592594</v>
          </cell>
          <cell r="S5124" t="str">
            <v>Mohamed Abdelhamed</v>
          </cell>
          <cell r="T5124">
            <v>44614</v>
          </cell>
          <cell r="V5124">
            <v>44629</v>
          </cell>
          <cell r="W5124">
            <v>44781</v>
          </cell>
          <cell r="AC5124">
            <v>44780</v>
          </cell>
        </row>
        <row r="5125">
          <cell r="I5125" t="str">
            <v>EDI</v>
          </cell>
          <cell r="L5125">
            <v>499</v>
          </cell>
          <cell r="N5125" t="str">
            <v>Testing</v>
          </cell>
          <cell r="O5125" t="str">
            <v>Everything Benefits</v>
          </cell>
          <cell r="P5125" t="str">
            <v>Migration Testing</v>
          </cell>
          <cell r="Q5125" t="str">
            <v>Cancelled</v>
          </cell>
          <cell r="R5125">
            <v>44587.651747685188</v>
          </cell>
          <cell r="S5125" t="str">
            <v>Mahmoud Heidar</v>
          </cell>
          <cell r="T5125">
            <v>44618</v>
          </cell>
          <cell r="V5125">
            <v>44634</v>
          </cell>
          <cell r="Y5125">
            <v>44616</v>
          </cell>
        </row>
        <row r="5126">
          <cell r="I5126" t="str">
            <v>EDI</v>
          </cell>
          <cell r="L5126">
            <v>432</v>
          </cell>
          <cell r="N5126" t="str">
            <v>Production</v>
          </cell>
          <cell r="O5126" t="str">
            <v>Everything Benefits</v>
          </cell>
          <cell r="P5126" t="str">
            <v>Production</v>
          </cell>
          <cell r="Q5126" t="str">
            <v>Live</v>
          </cell>
          <cell r="R5126">
            <v>44587.651736111111</v>
          </cell>
          <cell r="S5126" t="str">
            <v>Mina Kamil</v>
          </cell>
          <cell r="T5126">
            <v>44889</v>
          </cell>
          <cell r="U5126" t="str">
            <v>Melodie Coles</v>
          </cell>
          <cell r="V5126">
            <v>25569</v>
          </cell>
          <cell r="W5126">
            <v>45131</v>
          </cell>
          <cell r="AC5126">
            <v>45102</v>
          </cell>
        </row>
        <row r="5127">
          <cell r="I5127" t="str">
            <v>EDI</v>
          </cell>
          <cell r="L5127">
            <v>423</v>
          </cell>
          <cell r="N5127" t="str">
            <v>Production</v>
          </cell>
          <cell r="O5127" t="str">
            <v>Everything Benefits</v>
          </cell>
          <cell r="P5127" t="str">
            <v>Production</v>
          </cell>
          <cell r="Q5127" t="str">
            <v>Live</v>
          </cell>
          <cell r="R5127">
            <v>44587.651736111111</v>
          </cell>
          <cell r="S5127" t="str">
            <v>Mohamed Abdelhamed</v>
          </cell>
          <cell r="T5127">
            <v>44607</v>
          </cell>
          <cell r="V5127">
            <v>44629</v>
          </cell>
          <cell r="W5127">
            <v>44781</v>
          </cell>
          <cell r="AC5127">
            <v>44780</v>
          </cell>
        </row>
        <row r="5128">
          <cell r="I5128" t="str">
            <v>EDI</v>
          </cell>
          <cell r="L5128">
            <v>484</v>
          </cell>
          <cell r="N5128" t="str">
            <v>Production</v>
          </cell>
          <cell r="O5128" t="str">
            <v>Everything Benefits</v>
          </cell>
          <cell r="P5128" t="str">
            <v>Production</v>
          </cell>
          <cell r="Q5128" t="str">
            <v>Live</v>
          </cell>
          <cell r="R5128">
            <v>44587.651736111111</v>
          </cell>
          <cell r="S5128" t="str">
            <v>Ahmed Gamal</v>
          </cell>
          <cell r="T5128">
            <v>44618</v>
          </cell>
          <cell r="W5128">
            <v>44809</v>
          </cell>
          <cell r="AC5128">
            <v>44808</v>
          </cell>
        </row>
        <row r="5129">
          <cell r="I5129" t="str">
            <v>EDI</v>
          </cell>
          <cell r="L5129">
            <v>472</v>
          </cell>
          <cell r="N5129" t="str">
            <v>Production</v>
          </cell>
          <cell r="O5129" t="str">
            <v>Everything Benefits</v>
          </cell>
          <cell r="P5129" t="str">
            <v>Production</v>
          </cell>
          <cell r="Q5129" t="str">
            <v>Live</v>
          </cell>
          <cell r="R5129">
            <v>44587.651724537027</v>
          </cell>
          <cell r="S5129" t="str">
            <v>Mirna Azmy</v>
          </cell>
          <cell r="T5129">
            <v>44607</v>
          </cell>
          <cell r="V5129">
            <v>44830</v>
          </cell>
          <cell r="W5129">
            <v>44836</v>
          </cell>
          <cell r="AC5129">
            <v>44836</v>
          </cell>
        </row>
        <row r="5130">
          <cell r="I5130" t="str">
            <v>EDI</v>
          </cell>
          <cell r="L5130">
            <v>415</v>
          </cell>
          <cell r="N5130" t="str">
            <v>Production</v>
          </cell>
          <cell r="O5130" t="str">
            <v>Everything Benefits</v>
          </cell>
          <cell r="P5130" t="str">
            <v>Production</v>
          </cell>
          <cell r="Q5130" t="str">
            <v>Live</v>
          </cell>
          <cell r="R5130">
            <v>44587.583993055552</v>
          </cell>
          <cell r="S5130" t="str">
            <v>Mohamed Abdelhamed</v>
          </cell>
          <cell r="T5130">
            <v>44607</v>
          </cell>
          <cell r="U5130" t="str">
            <v>Billy Smith</v>
          </cell>
          <cell r="V5130">
            <v>44627</v>
          </cell>
          <cell r="W5130">
            <v>44900</v>
          </cell>
          <cell r="AC5130">
            <v>44711</v>
          </cell>
        </row>
        <row r="5131">
          <cell r="I5131" t="str">
            <v>EDI</v>
          </cell>
          <cell r="L5131">
            <v>507</v>
          </cell>
          <cell r="N5131" t="str">
            <v>Production</v>
          </cell>
          <cell r="O5131" t="str">
            <v>No</v>
          </cell>
          <cell r="Q5131" t="str">
            <v>Cancelled</v>
          </cell>
          <cell r="R5131">
            <v>44586.911597222221</v>
          </cell>
          <cell r="S5131" t="str">
            <v>Omnia Abdelaziz Old Account</v>
          </cell>
          <cell r="T5131">
            <v>44621</v>
          </cell>
          <cell r="U5131" t="str">
            <v>Vicky Wright</v>
          </cell>
          <cell r="V5131">
            <v>44657</v>
          </cell>
          <cell r="W5131">
            <v>44670</v>
          </cell>
          <cell r="Y5131">
            <v>44621</v>
          </cell>
          <cell r="AC5131">
            <v>44670</v>
          </cell>
        </row>
        <row r="5132">
          <cell r="I5132" t="str">
            <v>EDI</v>
          </cell>
          <cell r="L5132">
            <v>430</v>
          </cell>
          <cell r="N5132" t="str">
            <v>Production</v>
          </cell>
          <cell r="O5132" t="str">
            <v>Everything Benefits</v>
          </cell>
          <cell r="P5132" t="str">
            <v>Production</v>
          </cell>
          <cell r="Q5132" t="str">
            <v>Live</v>
          </cell>
          <cell r="R5132">
            <v>44586.829282407409</v>
          </cell>
          <cell r="S5132" t="str">
            <v>Mahmoud Heidar</v>
          </cell>
          <cell r="T5132">
            <v>44607</v>
          </cell>
          <cell r="U5132" t="str">
            <v>Billy Smith</v>
          </cell>
          <cell r="V5132">
            <v>44614</v>
          </cell>
          <cell r="W5132">
            <v>45025</v>
          </cell>
          <cell r="AC5132">
            <v>45019</v>
          </cell>
        </row>
        <row r="5133">
          <cell r="I5133" t="str">
            <v>EDI</v>
          </cell>
          <cell r="L5133">
            <v>378</v>
          </cell>
          <cell r="N5133" t="str">
            <v>Production</v>
          </cell>
          <cell r="O5133" t="str">
            <v>Everything Benefits</v>
          </cell>
          <cell r="P5133" t="str">
            <v>Production</v>
          </cell>
          <cell r="Q5133" t="str">
            <v>Live</v>
          </cell>
          <cell r="R5133">
            <v>44586.829282407409</v>
          </cell>
          <cell r="S5133" t="str">
            <v>Mahmoud Heidar</v>
          </cell>
          <cell r="T5133">
            <v>44593</v>
          </cell>
          <cell r="U5133" t="str">
            <v>Billy Smith</v>
          </cell>
          <cell r="V5133">
            <v>44613</v>
          </cell>
          <cell r="W5133">
            <v>25569</v>
          </cell>
          <cell r="AC5133">
            <v>44662</v>
          </cell>
        </row>
        <row r="5134">
          <cell r="I5134" t="str">
            <v>EDI</v>
          </cell>
          <cell r="L5134">
            <v>422</v>
          </cell>
          <cell r="N5134" t="str">
            <v>Production</v>
          </cell>
          <cell r="O5134" t="str">
            <v>Everything Benefits</v>
          </cell>
          <cell r="P5134" t="str">
            <v>Production</v>
          </cell>
          <cell r="Q5134" t="str">
            <v>Cancelled</v>
          </cell>
          <cell r="R5134">
            <v>44586.811840277784</v>
          </cell>
          <cell r="S5134" t="str">
            <v>Mirna Azmy</v>
          </cell>
          <cell r="T5134">
            <v>44607</v>
          </cell>
          <cell r="U5134" t="str">
            <v>Billy Smith</v>
          </cell>
          <cell r="V5134">
            <v>44693</v>
          </cell>
          <cell r="W5134">
            <v>44656</v>
          </cell>
          <cell r="AC5134">
            <v>44850</v>
          </cell>
        </row>
        <row r="5135">
          <cell r="I5135" t="str">
            <v>EDI</v>
          </cell>
          <cell r="L5135">
            <v>417</v>
          </cell>
          <cell r="N5135" t="str">
            <v>Production</v>
          </cell>
          <cell r="O5135" t="str">
            <v>Everything Benefits</v>
          </cell>
          <cell r="P5135" t="str">
            <v>Production</v>
          </cell>
          <cell r="Q5135" t="str">
            <v>Cancelled</v>
          </cell>
          <cell r="R5135">
            <v>44586.810868055552</v>
          </cell>
          <cell r="S5135" t="str">
            <v>Ahmed Gamal</v>
          </cell>
          <cell r="T5135">
            <v>44607</v>
          </cell>
          <cell r="U5135" t="str">
            <v>Billy Smith</v>
          </cell>
          <cell r="V5135">
            <v>44839</v>
          </cell>
          <cell r="W5135">
            <v>44851</v>
          </cell>
          <cell r="AC5135">
            <v>44850</v>
          </cell>
        </row>
        <row r="5136">
          <cell r="I5136" t="str">
            <v>EDI</v>
          </cell>
          <cell r="L5136">
            <v>414</v>
          </cell>
          <cell r="N5136" t="str">
            <v>Production</v>
          </cell>
          <cell r="O5136" t="str">
            <v>Everything Benefits</v>
          </cell>
          <cell r="P5136" t="str">
            <v>Production</v>
          </cell>
          <cell r="Q5136" t="str">
            <v>Cancelled</v>
          </cell>
          <cell r="R5136">
            <v>44586.810856481483</v>
          </cell>
          <cell r="S5136" t="str">
            <v>Mohamed Abdelhamed</v>
          </cell>
          <cell r="T5136">
            <v>44607</v>
          </cell>
          <cell r="U5136" t="str">
            <v>Billy Smith</v>
          </cell>
          <cell r="V5136">
            <v>44608</v>
          </cell>
          <cell r="W5136">
            <v>44685</v>
          </cell>
          <cell r="AC5136">
            <v>44651</v>
          </cell>
        </row>
        <row r="5137">
          <cell r="I5137" t="str">
            <v>EDI</v>
          </cell>
          <cell r="L5137">
            <v>379</v>
          </cell>
          <cell r="N5137" t="str">
            <v>Production</v>
          </cell>
          <cell r="O5137" t="str">
            <v>Everything Benefits</v>
          </cell>
          <cell r="P5137" t="str">
            <v>Production</v>
          </cell>
          <cell r="Q5137" t="str">
            <v>Cancelled</v>
          </cell>
          <cell r="R5137">
            <v>44586.788194444453</v>
          </cell>
          <cell r="S5137" t="str">
            <v>Mahmoud Heidar</v>
          </cell>
          <cell r="T5137">
            <v>44593</v>
          </cell>
          <cell r="U5137" t="str">
            <v>Billy Smith</v>
          </cell>
          <cell r="V5137">
            <v>44614</v>
          </cell>
          <cell r="W5137">
            <v>44907</v>
          </cell>
          <cell r="AC5137">
            <v>44899</v>
          </cell>
        </row>
        <row r="5138">
          <cell r="I5138" t="str">
            <v>EDI</v>
          </cell>
          <cell r="L5138">
            <v>412</v>
          </cell>
          <cell r="N5138" t="str">
            <v>Production</v>
          </cell>
          <cell r="O5138" t="str">
            <v>Everything Benefits</v>
          </cell>
          <cell r="P5138" t="str">
            <v>Production</v>
          </cell>
          <cell r="Q5138" t="str">
            <v>Live</v>
          </cell>
          <cell r="R5138">
            <v>44586.788194444453</v>
          </cell>
          <cell r="S5138" t="str">
            <v>Mohamed Abdelhamed</v>
          </cell>
          <cell r="T5138">
            <v>44607</v>
          </cell>
          <cell r="U5138" t="str">
            <v>Billy Smith</v>
          </cell>
          <cell r="V5138">
            <v>44621</v>
          </cell>
          <cell r="W5138">
            <v>44662</v>
          </cell>
          <cell r="AC5138">
            <v>44662</v>
          </cell>
        </row>
        <row r="5139">
          <cell r="I5139" t="str">
            <v>EDI</v>
          </cell>
          <cell r="L5139">
            <v>420</v>
          </cell>
          <cell r="N5139" t="str">
            <v>Production</v>
          </cell>
          <cell r="O5139" t="str">
            <v>Everything Benefits</v>
          </cell>
          <cell r="P5139" t="str">
            <v>Production</v>
          </cell>
          <cell r="Q5139" t="str">
            <v>Cancelled</v>
          </cell>
          <cell r="R5139">
            <v>44586.731712962966</v>
          </cell>
          <cell r="S5139" t="str">
            <v>Mohamed Abdelhamed</v>
          </cell>
          <cell r="T5139">
            <v>44607</v>
          </cell>
          <cell r="U5139" t="str">
            <v>Billy Smith</v>
          </cell>
          <cell r="V5139">
            <v>44609</v>
          </cell>
          <cell r="W5139">
            <v>44642</v>
          </cell>
          <cell r="AC5139">
            <v>44642</v>
          </cell>
        </row>
        <row r="5140">
          <cell r="I5140" t="str">
            <v>EDI</v>
          </cell>
          <cell r="L5140">
            <v>380</v>
          </cell>
          <cell r="N5140" t="str">
            <v>Production</v>
          </cell>
          <cell r="O5140" t="str">
            <v>Everything Benefits</v>
          </cell>
          <cell r="P5140" t="str">
            <v>Production</v>
          </cell>
          <cell r="Q5140" t="str">
            <v>Cancelled</v>
          </cell>
          <cell r="R5140">
            <v>44586.731712962966</v>
          </cell>
          <cell r="S5140" t="str">
            <v>Mahmoud Heidar</v>
          </cell>
          <cell r="T5140">
            <v>44593</v>
          </cell>
          <cell r="U5140" t="str">
            <v>Billy Smith</v>
          </cell>
          <cell r="V5140">
            <v>44613</v>
          </cell>
          <cell r="W5140">
            <v>44991</v>
          </cell>
          <cell r="AC5140">
            <v>44990</v>
          </cell>
        </row>
        <row r="5141">
          <cell r="I5141" t="str">
            <v>EDI</v>
          </cell>
          <cell r="L5141">
            <v>411</v>
          </cell>
          <cell r="N5141" t="str">
            <v>Production</v>
          </cell>
          <cell r="O5141" t="str">
            <v>Everything Benefits</v>
          </cell>
          <cell r="P5141" t="str">
            <v>Production</v>
          </cell>
          <cell r="Q5141" t="str">
            <v>Cancelled</v>
          </cell>
          <cell r="R5141">
            <v>44586.725740740738</v>
          </cell>
          <cell r="S5141" t="str">
            <v>Mohamed Abdelhamed</v>
          </cell>
          <cell r="T5141">
            <v>44607</v>
          </cell>
          <cell r="U5141" t="str">
            <v>Billy Smith</v>
          </cell>
          <cell r="V5141">
            <v>44623</v>
          </cell>
          <cell r="W5141">
            <v>25569</v>
          </cell>
          <cell r="AC5141">
            <v>44790</v>
          </cell>
        </row>
        <row r="5142">
          <cell r="I5142" t="str">
            <v>EDI</v>
          </cell>
          <cell r="L5142">
            <v>454</v>
          </cell>
          <cell r="N5142" t="str">
            <v>Testing</v>
          </cell>
          <cell r="O5142" t="str">
            <v>No</v>
          </cell>
          <cell r="Q5142" t="str">
            <v>Cancelled</v>
          </cell>
          <cell r="R5142">
            <v>44586.713831018518</v>
          </cell>
          <cell r="S5142" t="str">
            <v>Joseph Atef Old Account</v>
          </cell>
          <cell r="T5142">
            <v>44598</v>
          </cell>
          <cell r="U5142" t="str">
            <v>Miranda Naeem</v>
          </cell>
          <cell r="V5142">
            <v>44643</v>
          </cell>
          <cell r="Y5142">
            <v>44598</v>
          </cell>
        </row>
        <row r="5143">
          <cell r="I5143" t="str">
            <v>EDI</v>
          </cell>
          <cell r="L5143">
            <v>442</v>
          </cell>
          <cell r="N5143" t="str">
            <v>Production</v>
          </cell>
          <cell r="O5143" t="str">
            <v>No</v>
          </cell>
          <cell r="Q5143" t="str">
            <v>Cancelled</v>
          </cell>
          <cell r="R5143">
            <v>44586.713831018518</v>
          </cell>
          <cell r="S5143" t="str">
            <v>Omnia Abdelaziz Old Account</v>
          </cell>
          <cell r="T5143">
            <v>44608</v>
          </cell>
          <cell r="U5143" t="str">
            <v>Miranda Naeem</v>
          </cell>
          <cell r="V5143">
            <v>44658</v>
          </cell>
          <cell r="W5143">
            <v>44704</v>
          </cell>
          <cell r="Y5143">
            <v>44607</v>
          </cell>
          <cell r="AC5143">
            <v>44697</v>
          </cell>
        </row>
        <row r="5144">
          <cell r="I5144" t="str">
            <v>EDI</v>
          </cell>
          <cell r="L5144">
            <v>691</v>
          </cell>
          <cell r="N5144" t="str">
            <v>Testing</v>
          </cell>
          <cell r="O5144" t="str">
            <v>No</v>
          </cell>
          <cell r="Q5144" t="str">
            <v>Cancelled</v>
          </cell>
          <cell r="R5144">
            <v>44586.713831018518</v>
          </cell>
          <cell r="S5144" t="str">
            <v>Omnia Abdelaziz Old Account</v>
          </cell>
          <cell r="T5144">
            <v>44647</v>
          </cell>
          <cell r="U5144" t="str">
            <v>Miranda Naeem</v>
          </cell>
          <cell r="V5144">
            <v>44677</v>
          </cell>
          <cell r="Y5144">
            <v>44647</v>
          </cell>
        </row>
        <row r="5145">
          <cell r="I5145" t="str">
            <v>EDI</v>
          </cell>
          <cell r="L5145">
            <v>613</v>
          </cell>
          <cell r="N5145" t="str">
            <v>Production</v>
          </cell>
          <cell r="O5145" t="str">
            <v>eBenefits Network</v>
          </cell>
          <cell r="P5145" t="str">
            <v>Production</v>
          </cell>
          <cell r="Q5145" t="str">
            <v>Cancelled</v>
          </cell>
          <cell r="R5145">
            <v>44586.59642361111</v>
          </cell>
          <cell r="S5145" t="str">
            <v>Ahmed Gamal</v>
          </cell>
          <cell r="T5145">
            <v>44660</v>
          </cell>
          <cell r="U5145" t="str">
            <v>Billy Smith</v>
          </cell>
          <cell r="W5145">
            <v>44719</v>
          </cell>
          <cell r="AC5145">
            <v>44719</v>
          </cell>
        </row>
        <row r="5146">
          <cell r="I5146" t="str">
            <v>EDI</v>
          </cell>
          <cell r="L5146">
            <v>566</v>
          </cell>
          <cell r="N5146" t="str">
            <v>Production</v>
          </cell>
          <cell r="O5146" t="str">
            <v>eBenefits Network</v>
          </cell>
          <cell r="P5146" t="str">
            <v>Production</v>
          </cell>
          <cell r="Q5146" t="str">
            <v>Cancelled</v>
          </cell>
          <cell r="R5146">
            <v>44586.594583333332</v>
          </cell>
          <cell r="S5146" t="str">
            <v>Amira Elshora Old Account</v>
          </cell>
          <cell r="T5146">
            <v>44632</v>
          </cell>
          <cell r="U5146" t="str">
            <v>Billy Smith</v>
          </cell>
          <cell r="V5146">
            <v>44632</v>
          </cell>
          <cell r="W5146">
            <v>44658</v>
          </cell>
          <cell r="AC5146">
            <v>44658</v>
          </cell>
        </row>
        <row r="5147">
          <cell r="I5147" t="str">
            <v>EDI</v>
          </cell>
          <cell r="N5147" t="str">
            <v>Mapping</v>
          </cell>
          <cell r="O5147" t="str">
            <v>eBenefits Network</v>
          </cell>
          <cell r="P5147" t="str">
            <v>Phase 1 - Map Built</v>
          </cell>
          <cell r="Q5147" t="str">
            <v>Cancelled</v>
          </cell>
          <cell r="R5147">
            <v>44586.592094907413</v>
          </cell>
          <cell r="S5147" t="str">
            <v>Karim Tarek</v>
          </cell>
          <cell r="T5147">
            <v>44649</v>
          </cell>
          <cell r="U5147" t="str">
            <v>Billy Smith</v>
          </cell>
        </row>
        <row r="5148">
          <cell r="I5148" t="str">
            <v>EDI</v>
          </cell>
          <cell r="L5148">
            <v>654</v>
          </cell>
          <cell r="N5148" t="str">
            <v>Testing</v>
          </cell>
          <cell r="O5148" t="str">
            <v>No</v>
          </cell>
          <cell r="Q5148" t="str">
            <v>Cancelled</v>
          </cell>
          <cell r="R5148">
            <v>44585.90834490741</v>
          </cell>
          <cell r="S5148" t="str">
            <v>Aya Fathy</v>
          </cell>
          <cell r="T5148">
            <v>44760</v>
          </cell>
          <cell r="U5148" t="str">
            <v>Denise Stubenvoll</v>
          </cell>
          <cell r="V5148">
            <v>44655</v>
          </cell>
          <cell r="Y5148">
            <v>44642</v>
          </cell>
        </row>
        <row r="5149">
          <cell r="I5149" t="str">
            <v>EDI</v>
          </cell>
          <cell r="L5149">
            <v>616</v>
          </cell>
          <cell r="N5149" t="str">
            <v>Testing</v>
          </cell>
          <cell r="O5149" t="str">
            <v>No</v>
          </cell>
          <cell r="Q5149" t="str">
            <v>Cancelled</v>
          </cell>
          <cell r="R5149">
            <v>44585.908333333333</v>
          </cell>
          <cell r="S5149" t="str">
            <v>Ahmed Sami</v>
          </cell>
          <cell r="T5149">
            <v>44895</v>
          </cell>
          <cell r="U5149" t="str">
            <v>Denise Stubenvoll</v>
          </cell>
          <cell r="V5149">
            <v>44662</v>
          </cell>
          <cell r="Y5149">
            <v>44635</v>
          </cell>
        </row>
        <row r="5150">
          <cell r="I5150" t="str">
            <v>EDI</v>
          </cell>
          <cell r="L5150">
            <v>399</v>
          </cell>
          <cell r="N5150" t="str">
            <v>Production</v>
          </cell>
          <cell r="O5150" t="str">
            <v>No</v>
          </cell>
          <cell r="Q5150" t="str">
            <v>Cancelled</v>
          </cell>
          <cell r="R5150">
            <v>44585.908333333333</v>
          </cell>
          <cell r="S5150" t="str">
            <v>Joseph Atef Old Account</v>
          </cell>
          <cell r="T5150">
            <v>44586</v>
          </cell>
          <cell r="U5150" t="str">
            <v>Denise Stubenvoll</v>
          </cell>
          <cell r="V5150">
            <v>44644</v>
          </cell>
          <cell r="W5150">
            <v>44649</v>
          </cell>
          <cell r="AC5150">
            <v>44644</v>
          </cell>
        </row>
        <row r="5151">
          <cell r="I5151" t="str">
            <v>EDI</v>
          </cell>
          <cell r="L5151">
            <v>406</v>
          </cell>
          <cell r="N5151" t="str">
            <v>Production</v>
          </cell>
          <cell r="O5151" t="str">
            <v>No</v>
          </cell>
          <cell r="Q5151" t="str">
            <v>Cancelled</v>
          </cell>
          <cell r="R5151">
            <v>44585.908333333333</v>
          </cell>
          <cell r="S5151" t="str">
            <v>Andrew Ramy</v>
          </cell>
          <cell r="T5151">
            <v>44760</v>
          </cell>
          <cell r="U5151" t="str">
            <v>Denise Stubenvoll</v>
          </cell>
          <cell r="V5151">
            <v>44640</v>
          </cell>
          <cell r="W5151">
            <v>44818</v>
          </cell>
          <cell r="Y5151">
            <v>44604</v>
          </cell>
          <cell r="AC5151">
            <v>44812</v>
          </cell>
        </row>
        <row r="5152">
          <cell r="I5152" t="str">
            <v>EDI</v>
          </cell>
          <cell r="L5152">
            <v>744</v>
          </cell>
          <cell r="N5152" t="str">
            <v>Production</v>
          </cell>
          <cell r="O5152" t="str">
            <v>eBenefits Network</v>
          </cell>
          <cell r="P5152" t="str">
            <v>Production</v>
          </cell>
          <cell r="Q5152" t="str">
            <v>Live</v>
          </cell>
          <cell r="R5152">
            <v>44583.973460648151</v>
          </cell>
          <cell r="S5152" t="str">
            <v>Fady Maged Old Account</v>
          </cell>
          <cell r="T5152">
            <v>44655</v>
          </cell>
          <cell r="U5152" t="str">
            <v>Melodie Coles</v>
          </cell>
          <cell r="V5152">
            <v>44658</v>
          </cell>
          <cell r="W5152">
            <v>44700</v>
          </cell>
          <cell r="AC5152">
            <v>44697</v>
          </cell>
        </row>
        <row r="5153">
          <cell r="I5153" t="str">
            <v>EDI</v>
          </cell>
          <cell r="L5153">
            <v>610</v>
          </cell>
          <cell r="N5153" t="str">
            <v>Production</v>
          </cell>
          <cell r="O5153" t="str">
            <v>eBenefits Network</v>
          </cell>
          <cell r="P5153" t="str">
            <v>Production</v>
          </cell>
          <cell r="Q5153" t="str">
            <v>Live</v>
          </cell>
          <cell r="R5153">
            <v>44583.973460648151</v>
          </cell>
          <cell r="S5153" t="str">
            <v>Fady Maged Old Account</v>
          </cell>
          <cell r="T5153">
            <v>44636</v>
          </cell>
          <cell r="U5153" t="str">
            <v>Melodie Coles</v>
          </cell>
          <cell r="V5153">
            <v>44639</v>
          </cell>
          <cell r="W5153">
            <v>44655</v>
          </cell>
          <cell r="AC5153">
            <v>44654</v>
          </cell>
        </row>
        <row r="5154">
          <cell r="I5154" t="str">
            <v>EDI</v>
          </cell>
          <cell r="L5154">
            <v>630</v>
          </cell>
          <cell r="N5154" t="str">
            <v>Production</v>
          </cell>
          <cell r="O5154" t="str">
            <v>eBenefits Network</v>
          </cell>
          <cell r="P5154" t="str">
            <v>Production</v>
          </cell>
          <cell r="Q5154" t="str">
            <v>Live</v>
          </cell>
          <cell r="R5154">
            <v>44583.973449074067</v>
          </cell>
          <cell r="S5154" t="str">
            <v>Ahmed Gamal</v>
          </cell>
          <cell r="T5154">
            <v>44642</v>
          </cell>
          <cell r="U5154" t="str">
            <v>Melodie Coles</v>
          </cell>
          <cell r="W5154">
            <v>44713</v>
          </cell>
          <cell r="AC5154">
            <v>44712</v>
          </cell>
        </row>
        <row r="5155">
          <cell r="I5155" t="str">
            <v>EDI</v>
          </cell>
          <cell r="L5155">
            <v>636</v>
          </cell>
          <cell r="N5155" t="str">
            <v>Production</v>
          </cell>
          <cell r="O5155" t="str">
            <v>eBenefits Network</v>
          </cell>
          <cell r="P5155" t="str">
            <v>Production</v>
          </cell>
          <cell r="Q5155" t="str">
            <v>Cancelled</v>
          </cell>
          <cell r="R5155">
            <v>44583.918749999997</v>
          </cell>
          <cell r="S5155" t="str">
            <v>Ahmed Gamal</v>
          </cell>
          <cell r="T5155">
            <v>44642</v>
          </cell>
          <cell r="U5155" t="str">
            <v>Melodie Coles</v>
          </cell>
          <cell r="W5155">
            <v>44706</v>
          </cell>
          <cell r="AC5155">
            <v>44703</v>
          </cell>
        </row>
        <row r="5156">
          <cell r="I5156" t="str">
            <v>EDI</v>
          </cell>
          <cell r="L5156">
            <v>623</v>
          </cell>
          <cell r="N5156" t="str">
            <v>Production</v>
          </cell>
          <cell r="O5156" t="str">
            <v>eBenefits Network</v>
          </cell>
          <cell r="P5156" t="str">
            <v>Production</v>
          </cell>
          <cell r="Q5156" t="str">
            <v>Cancelled</v>
          </cell>
          <cell r="R5156">
            <v>44582.817418981482</v>
          </cell>
          <cell r="S5156" t="str">
            <v>Amira Elshora Old Account</v>
          </cell>
          <cell r="T5156">
            <v>44638</v>
          </cell>
          <cell r="U5156" t="str">
            <v>Billy Smith</v>
          </cell>
          <cell r="V5156">
            <v>44640</v>
          </cell>
          <cell r="W5156">
            <v>44690</v>
          </cell>
          <cell r="AC5156">
            <v>44690</v>
          </cell>
        </row>
        <row r="5157">
          <cell r="I5157" t="str">
            <v>EDI</v>
          </cell>
          <cell r="L5157">
            <v>538</v>
          </cell>
          <cell r="N5157" t="str">
            <v>Production</v>
          </cell>
          <cell r="O5157" t="str">
            <v>eBenefits Network</v>
          </cell>
          <cell r="P5157" t="str">
            <v>Production</v>
          </cell>
          <cell r="Q5157" t="str">
            <v>Cancelled</v>
          </cell>
          <cell r="R5157">
            <v>44582.815127314818</v>
          </cell>
          <cell r="S5157" t="str">
            <v>Amira Elshora Old Account</v>
          </cell>
          <cell r="T5157">
            <v>44627</v>
          </cell>
          <cell r="U5157" t="str">
            <v>Billy Smith</v>
          </cell>
          <cell r="V5157">
            <v>44628</v>
          </cell>
          <cell r="W5157">
            <v>44648</v>
          </cell>
          <cell r="AC5157">
            <v>44648</v>
          </cell>
        </row>
        <row r="5158">
          <cell r="I5158" t="str">
            <v>EDI</v>
          </cell>
          <cell r="L5158">
            <v>711</v>
          </cell>
          <cell r="N5158" t="str">
            <v>Production</v>
          </cell>
          <cell r="O5158" t="str">
            <v>eBenefits Network</v>
          </cell>
          <cell r="P5158" t="str">
            <v>Production</v>
          </cell>
          <cell r="Q5158" t="str">
            <v>Cancelled</v>
          </cell>
          <cell r="R5158">
            <v>44582.812824074077</v>
          </cell>
          <cell r="S5158" t="str">
            <v>Fady Maged Old Account</v>
          </cell>
          <cell r="T5158">
            <v>44650</v>
          </cell>
          <cell r="U5158" t="str">
            <v>Billy Smith</v>
          </cell>
          <cell r="V5158">
            <v>44670</v>
          </cell>
          <cell r="W5158">
            <v>25569</v>
          </cell>
          <cell r="AC5158">
            <v>44697</v>
          </cell>
        </row>
        <row r="5159">
          <cell r="I5159" t="str">
            <v>EDI</v>
          </cell>
          <cell r="L5159">
            <v>542</v>
          </cell>
          <cell r="N5159" t="str">
            <v>Production</v>
          </cell>
          <cell r="O5159" t="str">
            <v>eBenefits Network</v>
          </cell>
          <cell r="P5159" t="str">
            <v>Production</v>
          </cell>
          <cell r="Q5159" t="str">
            <v>Live</v>
          </cell>
          <cell r="R5159">
            <v>44582.802291666667</v>
          </cell>
          <cell r="S5159" t="str">
            <v>Amira Elshora Old Account</v>
          </cell>
          <cell r="T5159">
            <v>44627</v>
          </cell>
          <cell r="U5159" t="str">
            <v>Billy Smith</v>
          </cell>
          <cell r="V5159">
            <v>25569</v>
          </cell>
          <cell r="W5159">
            <v>44732</v>
          </cell>
          <cell r="AC5159">
            <v>44732</v>
          </cell>
        </row>
        <row r="5160">
          <cell r="I5160" t="str">
            <v>EDI</v>
          </cell>
          <cell r="L5160">
            <v>528</v>
          </cell>
          <cell r="N5160" t="str">
            <v>Production</v>
          </cell>
          <cell r="O5160" t="str">
            <v>eBenefits Network</v>
          </cell>
          <cell r="P5160" t="str">
            <v>Production</v>
          </cell>
          <cell r="Q5160" t="str">
            <v>Live</v>
          </cell>
          <cell r="R5160">
            <v>44582.802291666667</v>
          </cell>
          <cell r="S5160" t="str">
            <v>Fady Maged Old Account</v>
          </cell>
          <cell r="T5160">
            <v>44627</v>
          </cell>
          <cell r="U5160" t="str">
            <v>Billy Smith</v>
          </cell>
          <cell r="V5160">
            <v>44634</v>
          </cell>
          <cell r="W5160">
            <v>44665</v>
          </cell>
          <cell r="AC5160">
            <v>44660</v>
          </cell>
        </row>
        <row r="5161">
          <cell r="I5161" t="str">
            <v>EDI</v>
          </cell>
          <cell r="L5161">
            <v>845</v>
          </cell>
          <cell r="N5161" t="str">
            <v>Production</v>
          </cell>
          <cell r="O5161" t="str">
            <v>eBenefits Network</v>
          </cell>
          <cell r="P5161" t="str">
            <v>Production</v>
          </cell>
          <cell r="Q5161" t="str">
            <v>Live</v>
          </cell>
          <cell r="R5161">
            <v>44582.802291666667</v>
          </cell>
          <cell r="S5161" t="str">
            <v>Ahmed Gamal</v>
          </cell>
          <cell r="T5161">
            <v>44677</v>
          </cell>
          <cell r="U5161" t="str">
            <v>Billy Smith</v>
          </cell>
          <cell r="W5161">
            <v>44718</v>
          </cell>
          <cell r="AC5161">
            <v>44718</v>
          </cell>
        </row>
        <row r="5162">
          <cell r="I5162" t="str">
            <v>EDI</v>
          </cell>
          <cell r="L5162">
            <v>481</v>
          </cell>
          <cell r="N5162" t="str">
            <v>Production</v>
          </cell>
          <cell r="O5162" t="str">
            <v>eBenefits Network</v>
          </cell>
          <cell r="P5162" t="str">
            <v>Production</v>
          </cell>
          <cell r="Q5162" t="str">
            <v>Live</v>
          </cell>
          <cell r="R5162">
            <v>44582.798784722218</v>
          </cell>
          <cell r="S5162" t="str">
            <v>Fady Maged Old Account</v>
          </cell>
          <cell r="T5162">
            <v>44616</v>
          </cell>
          <cell r="U5162" t="str">
            <v>Billy Smith</v>
          </cell>
          <cell r="V5162">
            <v>44617</v>
          </cell>
          <cell r="W5162">
            <v>44707</v>
          </cell>
          <cell r="AC5162">
            <v>44704</v>
          </cell>
        </row>
        <row r="5163">
          <cell r="I5163" t="str">
            <v>EDI</v>
          </cell>
          <cell r="L5163">
            <v>818</v>
          </cell>
          <cell r="N5163" t="str">
            <v>Production</v>
          </cell>
          <cell r="O5163" t="str">
            <v>eBenefits Network</v>
          </cell>
          <cell r="P5163" t="str">
            <v>Production</v>
          </cell>
          <cell r="Q5163" t="str">
            <v>Cancelled</v>
          </cell>
          <cell r="R5163">
            <v>44582.787731481483</v>
          </cell>
          <cell r="S5163" t="str">
            <v>Ahmed Gamal</v>
          </cell>
          <cell r="T5163">
            <v>44670</v>
          </cell>
          <cell r="U5163" t="str">
            <v>Billy Smith</v>
          </cell>
          <cell r="W5163">
            <v>44706</v>
          </cell>
          <cell r="AC5163">
            <v>44703</v>
          </cell>
        </row>
        <row r="5164">
          <cell r="I5164" t="str">
            <v>EDI</v>
          </cell>
          <cell r="L5164">
            <v>828</v>
          </cell>
          <cell r="N5164" t="str">
            <v>Production</v>
          </cell>
          <cell r="O5164" t="str">
            <v>eBenefits Network</v>
          </cell>
          <cell r="P5164" t="str">
            <v>Production</v>
          </cell>
          <cell r="Q5164" t="str">
            <v>Cancelled</v>
          </cell>
          <cell r="R5164">
            <v>44582.787719907406</v>
          </cell>
          <cell r="S5164" t="str">
            <v>Fady Maged Old Account</v>
          </cell>
          <cell r="T5164">
            <v>44670</v>
          </cell>
          <cell r="U5164" t="str">
            <v>Billy Smith</v>
          </cell>
          <cell r="V5164">
            <v>44677</v>
          </cell>
          <cell r="W5164">
            <v>44713</v>
          </cell>
          <cell r="AC5164">
            <v>44712</v>
          </cell>
        </row>
        <row r="5165">
          <cell r="I5165" t="str">
            <v>EDI</v>
          </cell>
          <cell r="L5165">
            <v>480</v>
          </cell>
          <cell r="N5165" t="str">
            <v>Production</v>
          </cell>
          <cell r="O5165" t="str">
            <v>eBenefits Network</v>
          </cell>
          <cell r="P5165" t="str">
            <v>Production</v>
          </cell>
          <cell r="Q5165" t="str">
            <v>Cancelled</v>
          </cell>
          <cell r="R5165">
            <v>44582.784317129634</v>
          </cell>
          <cell r="S5165" t="str">
            <v>Fady Maged Old Account</v>
          </cell>
          <cell r="T5165">
            <v>44615</v>
          </cell>
          <cell r="U5165" t="str">
            <v>Billy Smith</v>
          </cell>
          <cell r="V5165">
            <v>44617</v>
          </cell>
          <cell r="W5165">
            <v>44707</v>
          </cell>
          <cell r="AC5165">
            <v>44704</v>
          </cell>
        </row>
        <row r="5166">
          <cell r="I5166" t="str">
            <v>EDI</v>
          </cell>
          <cell r="L5166">
            <v>609</v>
          </cell>
          <cell r="N5166" t="str">
            <v>Production</v>
          </cell>
          <cell r="O5166" t="str">
            <v>eBenefits Network</v>
          </cell>
          <cell r="P5166" t="str">
            <v>Production</v>
          </cell>
          <cell r="Q5166" t="str">
            <v>Cancelled</v>
          </cell>
          <cell r="R5166">
            <v>44582.784317129634</v>
          </cell>
          <cell r="S5166" t="str">
            <v>Fady Maged Old Account</v>
          </cell>
          <cell r="T5166">
            <v>44636</v>
          </cell>
          <cell r="U5166" t="str">
            <v>Billy Smith</v>
          </cell>
          <cell r="V5166">
            <v>44639</v>
          </cell>
          <cell r="W5166">
            <v>44712</v>
          </cell>
          <cell r="AC5166">
            <v>44703</v>
          </cell>
        </row>
        <row r="5167">
          <cell r="I5167" t="str">
            <v>EDI</v>
          </cell>
          <cell r="L5167">
            <v>565</v>
          </cell>
          <cell r="N5167" t="str">
            <v>Production</v>
          </cell>
          <cell r="O5167" t="str">
            <v>eBenefits Network</v>
          </cell>
          <cell r="P5167" t="str">
            <v>Production</v>
          </cell>
          <cell r="Q5167" t="str">
            <v>Cancelled</v>
          </cell>
          <cell r="R5167">
            <v>44582.784317129634</v>
          </cell>
          <cell r="S5167" t="str">
            <v>Amira Elshora Old Account</v>
          </cell>
          <cell r="T5167">
            <v>44632</v>
          </cell>
          <cell r="U5167" t="str">
            <v>Billy Smith</v>
          </cell>
          <cell r="V5167">
            <v>44632</v>
          </cell>
          <cell r="W5167">
            <v>44655</v>
          </cell>
          <cell r="AC5167">
            <v>44650</v>
          </cell>
        </row>
        <row r="5168">
          <cell r="I5168" t="str">
            <v>EDI</v>
          </cell>
          <cell r="L5168">
            <v>434</v>
          </cell>
          <cell r="N5168" t="str">
            <v>Production</v>
          </cell>
          <cell r="O5168" t="str">
            <v>No</v>
          </cell>
          <cell r="Q5168" t="str">
            <v>Cancelled</v>
          </cell>
          <cell r="R5168">
            <v>44582.66128472222</v>
          </cell>
          <cell r="S5168" t="str">
            <v>Omar Elmahalwy Old Account</v>
          </cell>
          <cell r="T5168">
            <v>44612</v>
          </cell>
          <cell r="U5168" t="str">
            <v>Denise Stubenvoll</v>
          </cell>
          <cell r="V5168">
            <v>44656</v>
          </cell>
          <cell r="W5168">
            <v>44679</v>
          </cell>
          <cell r="Y5168">
            <v>44609</v>
          </cell>
          <cell r="AC5168">
            <v>44679</v>
          </cell>
        </row>
        <row r="5169">
          <cell r="I5169" t="str">
            <v>EDI</v>
          </cell>
          <cell r="L5169">
            <v>885</v>
          </cell>
          <cell r="N5169" t="str">
            <v>Production</v>
          </cell>
          <cell r="O5169" t="str">
            <v>eBenefits Network</v>
          </cell>
          <cell r="P5169" t="str">
            <v>Production</v>
          </cell>
          <cell r="Q5169" t="str">
            <v>Cancelled</v>
          </cell>
          <cell r="R5169">
            <v>44581.850624999999</v>
          </cell>
          <cell r="S5169" t="str">
            <v>Ahmed Gamal</v>
          </cell>
          <cell r="T5169">
            <v>44691</v>
          </cell>
          <cell r="U5169" t="str">
            <v>Billy Smith</v>
          </cell>
          <cell r="W5169">
            <v>44763</v>
          </cell>
          <cell r="AC5169">
            <v>44763</v>
          </cell>
        </row>
        <row r="5170">
          <cell r="I5170" t="str">
            <v>EDI</v>
          </cell>
          <cell r="L5170">
            <v>526</v>
          </cell>
          <cell r="N5170" t="str">
            <v>Production</v>
          </cell>
          <cell r="O5170" t="str">
            <v>eBenefits Network</v>
          </cell>
          <cell r="P5170" t="str">
            <v>Production</v>
          </cell>
          <cell r="Q5170" t="str">
            <v>Cancelled</v>
          </cell>
          <cell r="R5170">
            <v>44581.850624999999</v>
          </cell>
          <cell r="S5170" t="str">
            <v>Fady Maged Old Account</v>
          </cell>
          <cell r="T5170">
            <v>44622</v>
          </cell>
          <cell r="U5170" t="str">
            <v>Billy Smith</v>
          </cell>
          <cell r="V5170">
            <v>44627</v>
          </cell>
          <cell r="W5170">
            <v>44641</v>
          </cell>
          <cell r="AC5170">
            <v>44641</v>
          </cell>
        </row>
        <row r="5171">
          <cell r="I5171" t="str">
            <v>EDI</v>
          </cell>
          <cell r="L5171">
            <v>520</v>
          </cell>
          <cell r="N5171" t="str">
            <v>Production</v>
          </cell>
          <cell r="O5171" t="str">
            <v>eBenefits Network</v>
          </cell>
          <cell r="P5171" t="str">
            <v>Production</v>
          </cell>
          <cell r="Q5171" t="str">
            <v>Cancelled</v>
          </cell>
          <cell r="R5171">
            <v>44581.850613425922</v>
          </cell>
          <cell r="S5171" t="str">
            <v>Fady Maged Old Account</v>
          </cell>
          <cell r="T5171">
            <v>44622</v>
          </cell>
          <cell r="U5171" t="str">
            <v>Billy Smith</v>
          </cell>
          <cell r="V5171">
            <v>25569</v>
          </cell>
          <cell r="W5171">
            <v>44641</v>
          </cell>
          <cell r="AC5171">
            <v>44641</v>
          </cell>
        </row>
        <row r="5172">
          <cell r="I5172" t="str">
            <v>EDI</v>
          </cell>
          <cell r="L5172">
            <v>521</v>
          </cell>
          <cell r="N5172" t="str">
            <v>Production</v>
          </cell>
          <cell r="O5172" t="str">
            <v>eBenefits Network</v>
          </cell>
          <cell r="P5172" t="str">
            <v>Production</v>
          </cell>
          <cell r="Q5172" t="str">
            <v>Cancelled</v>
          </cell>
          <cell r="R5172">
            <v>44581.845833333333</v>
          </cell>
          <cell r="S5172" t="str">
            <v>Fady Maged Old Account</v>
          </cell>
          <cell r="T5172">
            <v>44621</v>
          </cell>
          <cell r="U5172" t="str">
            <v>Billy Smith</v>
          </cell>
          <cell r="V5172">
            <v>44625</v>
          </cell>
          <cell r="W5172">
            <v>44767</v>
          </cell>
          <cell r="AC5172">
            <v>44767</v>
          </cell>
        </row>
        <row r="5173">
          <cell r="I5173" t="str">
            <v>EDI</v>
          </cell>
          <cell r="L5173">
            <v>478</v>
          </cell>
          <cell r="N5173" t="str">
            <v>Production</v>
          </cell>
          <cell r="O5173" t="str">
            <v>eBenefits Network</v>
          </cell>
          <cell r="P5173" t="str">
            <v>Production</v>
          </cell>
          <cell r="Q5173" t="str">
            <v>Cancelled</v>
          </cell>
          <cell r="R5173">
            <v>44581.845833333333</v>
          </cell>
          <cell r="S5173" t="str">
            <v>Fady Maged Old Account</v>
          </cell>
          <cell r="T5173">
            <v>44615</v>
          </cell>
          <cell r="U5173" t="str">
            <v>Billy Smith</v>
          </cell>
          <cell r="V5173">
            <v>44622</v>
          </cell>
          <cell r="W5173">
            <v>44655</v>
          </cell>
          <cell r="AC5173">
            <v>44654</v>
          </cell>
        </row>
        <row r="5174">
          <cell r="I5174" t="str">
            <v>EDI</v>
          </cell>
          <cell r="L5174">
            <v>582</v>
          </cell>
          <cell r="N5174" t="str">
            <v>Production</v>
          </cell>
          <cell r="O5174" t="str">
            <v>eBenefits Network</v>
          </cell>
          <cell r="P5174" t="str">
            <v>Production</v>
          </cell>
          <cell r="Q5174" t="str">
            <v>Cancelled</v>
          </cell>
          <cell r="R5174">
            <v>44581.842557870368</v>
          </cell>
          <cell r="S5174" t="str">
            <v>Ahmed Gamal</v>
          </cell>
          <cell r="T5174">
            <v>44635</v>
          </cell>
          <cell r="U5174" t="str">
            <v>Billy Smith</v>
          </cell>
          <cell r="W5174">
            <v>25569</v>
          </cell>
          <cell r="AC5174">
            <v>44660</v>
          </cell>
        </row>
        <row r="5175">
          <cell r="I5175" t="str">
            <v>EDI</v>
          </cell>
          <cell r="L5175">
            <v>569</v>
          </cell>
          <cell r="N5175" t="str">
            <v>Production</v>
          </cell>
          <cell r="O5175" t="str">
            <v>eBenefits Network</v>
          </cell>
          <cell r="P5175" t="str">
            <v>Production</v>
          </cell>
          <cell r="Q5175" t="str">
            <v>Cancelled</v>
          </cell>
          <cell r="R5175">
            <v>44581.842557870368</v>
          </cell>
          <cell r="S5175" t="str">
            <v>Fady Maged Old Account</v>
          </cell>
          <cell r="T5175">
            <v>44627</v>
          </cell>
          <cell r="U5175" t="str">
            <v>Billy Smith</v>
          </cell>
          <cell r="V5175">
            <v>44634</v>
          </cell>
          <cell r="W5175">
            <v>44719</v>
          </cell>
          <cell r="AC5175">
            <v>44719</v>
          </cell>
        </row>
        <row r="5176">
          <cell r="I5176" t="str">
            <v>EDI</v>
          </cell>
          <cell r="L5176">
            <v>509</v>
          </cell>
          <cell r="N5176" t="str">
            <v>Production</v>
          </cell>
          <cell r="O5176" t="str">
            <v>eBenefits Network</v>
          </cell>
          <cell r="P5176" t="str">
            <v>Production</v>
          </cell>
          <cell r="Q5176" t="str">
            <v>Cancelled</v>
          </cell>
          <cell r="R5176">
            <v>44581.834629629629</v>
          </cell>
          <cell r="S5176" t="str">
            <v>Fady Maged Old Account</v>
          </cell>
          <cell r="T5176">
            <v>44621</v>
          </cell>
          <cell r="U5176" t="str">
            <v>Billy Smith</v>
          </cell>
          <cell r="V5176">
            <v>44622</v>
          </cell>
          <cell r="W5176">
            <v>44641</v>
          </cell>
          <cell r="AC5176">
            <v>44641</v>
          </cell>
        </row>
        <row r="5177">
          <cell r="I5177" t="str">
            <v>EDI</v>
          </cell>
          <cell r="L5177">
            <v>951</v>
          </cell>
          <cell r="N5177" t="str">
            <v>Production</v>
          </cell>
          <cell r="O5177" t="str">
            <v>eBenefits Network</v>
          </cell>
          <cell r="P5177" t="str">
            <v>Production</v>
          </cell>
          <cell r="Q5177" t="str">
            <v>Cancelled</v>
          </cell>
          <cell r="R5177">
            <v>44581.834618055553</v>
          </cell>
          <cell r="S5177" t="str">
            <v>Fady Maged Old Account</v>
          </cell>
          <cell r="T5177">
            <v>44691</v>
          </cell>
          <cell r="U5177" t="str">
            <v>Billy Smith</v>
          </cell>
          <cell r="V5177">
            <v>44699</v>
          </cell>
          <cell r="W5177">
            <v>44711</v>
          </cell>
          <cell r="AC5177">
            <v>44711</v>
          </cell>
        </row>
        <row r="5178">
          <cell r="I5178" t="str">
            <v>EDI</v>
          </cell>
          <cell r="L5178">
            <v>567</v>
          </cell>
          <cell r="N5178" t="str">
            <v>Production</v>
          </cell>
          <cell r="O5178" t="str">
            <v>eBenefits Network</v>
          </cell>
          <cell r="P5178" t="str">
            <v>Production</v>
          </cell>
          <cell r="Q5178" t="str">
            <v>Cancelled</v>
          </cell>
          <cell r="R5178">
            <v>44581.834618055553</v>
          </cell>
          <cell r="S5178" t="str">
            <v>Amira Elshora Old Account</v>
          </cell>
          <cell r="T5178">
            <v>44632</v>
          </cell>
          <cell r="U5178" t="str">
            <v>Billy Smith</v>
          </cell>
          <cell r="V5178">
            <v>44632</v>
          </cell>
          <cell r="W5178">
            <v>44732</v>
          </cell>
          <cell r="AC5178">
            <v>44732</v>
          </cell>
        </row>
        <row r="5179">
          <cell r="I5179" t="str">
            <v>EDI</v>
          </cell>
          <cell r="L5179">
            <v>387</v>
          </cell>
          <cell r="N5179" t="str">
            <v>Testing</v>
          </cell>
          <cell r="O5179" t="str">
            <v>eBenefits Network</v>
          </cell>
          <cell r="P5179" t="str">
            <v>Migration Testing</v>
          </cell>
          <cell r="Q5179" t="str">
            <v>Cancelled</v>
          </cell>
          <cell r="R5179">
            <v>44581.831712962958</v>
          </cell>
          <cell r="S5179" t="str">
            <v>Amira Elshora Old Account</v>
          </cell>
          <cell r="T5179">
            <v>44600</v>
          </cell>
          <cell r="U5179" t="str">
            <v>Billy Smith</v>
          </cell>
          <cell r="V5179">
            <v>25569</v>
          </cell>
        </row>
        <row r="5180">
          <cell r="I5180" t="str">
            <v>EDI</v>
          </cell>
          <cell r="L5180">
            <v>584</v>
          </cell>
          <cell r="N5180" t="str">
            <v>Production</v>
          </cell>
          <cell r="O5180" t="str">
            <v>eBenefits Network</v>
          </cell>
          <cell r="P5180" t="str">
            <v>Production</v>
          </cell>
          <cell r="Q5180" t="str">
            <v>Cancelled</v>
          </cell>
          <cell r="R5180">
            <v>44581.830729166657</v>
          </cell>
          <cell r="S5180" t="str">
            <v>Amira Elshora Old Account</v>
          </cell>
          <cell r="T5180">
            <v>44635</v>
          </cell>
          <cell r="U5180" t="str">
            <v>Billy Smith</v>
          </cell>
          <cell r="V5180">
            <v>44635</v>
          </cell>
          <cell r="W5180">
            <v>44655</v>
          </cell>
          <cell r="AC5180">
            <v>44654</v>
          </cell>
        </row>
        <row r="5181">
          <cell r="I5181" t="str">
            <v>EDI</v>
          </cell>
          <cell r="L5181">
            <v>591</v>
          </cell>
          <cell r="N5181" t="str">
            <v>Production</v>
          </cell>
          <cell r="O5181" t="str">
            <v>eBenefits Network</v>
          </cell>
          <cell r="P5181" t="str">
            <v>Production</v>
          </cell>
          <cell r="Q5181" t="str">
            <v>Cancelled</v>
          </cell>
          <cell r="R5181">
            <v>44581.828587962962</v>
          </cell>
          <cell r="S5181" t="str">
            <v>Fady Maged Old Account</v>
          </cell>
          <cell r="T5181">
            <v>44634</v>
          </cell>
          <cell r="U5181" t="str">
            <v>Billy Smith</v>
          </cell>
          <cell r="V5181">
            <v>44636</v>
          </cell>
          <cell r="W5181">
            <v>44659</v>
          </cell>
          <cell r="AC5181">
            <v>44654</v>
          </cell>
        </row>
        <row r="5182">
          <cell r="I5182" t="str">
            <v>EDI</v>
          </cell>
          <cell r="L5182">
            <v>589</v>
          </cell>
          <cell r="N5182" t="str">
            <v>Production</v>
          </cell>
          <cell r="O5182" t="str">
            <v>eBenefits Network</v>
          </cell>
          <cell r="P5182" t="str">
            <v>Production</v>
          </cell>
          <cell r="Q5182" t="str">
            <v>Cancelled</v>
          </cell>
          <cell r="R5182">
            <v>44581.828587962962</v>
          </cell>
          <cell r="S5182" t="str">
            <v>Fady Maged Old Account</v>
          </cell>
          <cell r="T5182">
            <v>44634</v>
          </cell>
          <cell r="U5182" t="str">
            <v>Billy Smith</v>
          </cell>
          <cell r="V5182">
            <v>44636</v>
          </cell>
          <cell r="W5182">
            <v>44701</v>
          </cell>
          <cell r="AC5182">
            <v>44698</v>
          </cell>
        </row>
        <row r="5183">
          <cell r="I5183" t="str">
            <v>EDI</v>
          </cell>
          <cell r="L5183">
            <v>592</v>
          </cell>
          <cell r="N5183" t="str">
            <v>Production</v>
          </cell>
          <cell r="O5183" t="str">
            <v>eBenefits Network</v>
          </cell>
          <cell r="P5183" t="str">
            <v>Production</v>
          </cell>
          <cell r="Q5183" t="str">
            <v>Cancelled</v>
          </cell>
          <cell r="R5183">
            <v>44581.828576388893</v>
          </cell>
          <cell r="S5183" t="str">
            <v>Fady Maged Old Account</v>
          </cell>
          <cell r="T5183">
            <v>44634</v>
          </cell>
          <cell r="U5183" t="str">
            <v>Billy Smith</v>
          </cell>
          <cell r="V5183">
            <v>44636</v>
          </cell>
          <cell r="W5183">
            <v>44659</v>
          </cell>
          <cell r="AC5183">
            <v>44655</v>
          </cell>
        </row>
        <row r="5184">
          <cell r="I5184" t="str">
            <v>EDI</v>
          </cell>
          <cell r="L5184">
            <v>866</v>
          </cell>
          <cell r="N5184" t="str">
            <v>Production</v>
          </cell>
          <cell r="O5184" t="str">
            <v>eBenefits Network</v>
          </cell>
          <cell r="P5184" t="str">
            <v>Production</v>
          </cell>
          <cell r="Q5184" t="str">
            <v>Live</v>
          </cell>
          <cell r="R5184">
            <v>44581.812534722223</v>
          </cell>
          <cell r="S5184" t="str">
            <v>Amira Elshora Old Account</v>
          </cell>
          <cell r="T5184">
            <v>44682</v>
          </cell>
          <cell r="U5184" t="str">
            <v>Billy Smith</v>
          </cell>
          <cell r="V5184">
            <v>44685</v>
          </cell>
          <cell r="W5184">
            <v>44711</v>
          </cell>
          <cell r="AC5184">
            <v>44711</v>
          </cell>
        </row>
        <row r="5185">
          <cell r="I5185" t="str">
            <v>EDI</v>
          </cell>
          <cell r="L5185">
            <v>704</v>
          </cell>
          <cell r="N5185" t="str">
            <v>Production</v>
          </cell>
          <cell r="O5185" t="str">
            <v>eBenefits Network</v>
          </cell>
          <cell r="P5185" t="str">
            <v>Production</v>
          </cell>
          <cell r="Q5185" t="str">
            <v>Live</v>
          </cell>
          <cell r="R5185">
            <v>44581.812523148154</v>
          </cell>
          <cell r="S5185" t="str">
            <v>Amira Elshora Old Account</v>
          </cell>
          <cell r="T5185">
            <v>44650</v>
          </cell>
          <cell r="U5185" t="str">
            <v>Billy Smith</v>
          </cell>
          <cell r="V5185">
            <v>44651</v>
          </cell>
          <cell r="W5185">
            <v>44714</v>
          </cell>
          <cell r="AC5185">
            <v>44711</v>
          </cell>
        </row>
        <row r="5186">
          <cell r="I5186" t="str">
            <v>EDI</v>
          </cell>
          <cell r="L5186">
            <v>939</v>
          </cell>
          <cell r="N5186" t="str">
            <v>Production</v>
          </cell>
          <cell r="O5186" t="str">
            <v>eBenefits Network</v>
          </cell>
          <cell r="P5186" t="str">
            <v>Production</v>
          </cell>
          <cell r="Q5186" t="str">
            <v>Cancelled</v>
          </cell>
          <cell r="R5186">
            <v>44581.805752314824</v>
          </cell>
          <cell r="S5186" t="str">
            <v>Fady Maged Old Account</v>
          </cell>
          <cell r="T5186">
            <v>44691</v>
          </cell>
          <cell r="U5186" t="str">
            <v>Billy Smith</v>
          </cell>
          <cell r="V5186">
            <v>44693</v>
          </cell>
          <cell r="W5186">
            <v>44733</v>
          </cell>
          <cell r="AC5186">
            <v>44732</v>
          </cell>
        </row>
        <row r="5187">
          <cell r="I5187" t="str">
            <v>EDI</v>
          </cell>
          <cell r="L5187">
            <v>506</v>
          </cell>
          <cell r="N5187" t="str">
            <v>Testing</v>
          </cell>
          <cell r="O5187" t="str">
            <v>eBenefits Network</v>
          </cell>
          <cell r="P5187" t="str">
            <v>Phase 3</v>
          </cell>
          <cell r="Q5187" t="str">
            <v>Cancelled</v>
          </cell>
          <cell r="R5187">
            <v>44581.800057870372</v>
          </cell>
          <cell r="S5187" t="str">
            <v>Amira Elshora Old Account</v>
          </cell>
          <cell r="T5187">
            <v>44621</v>
          </cell>
          <cell r="U5187" t="str">
            <v>Billy Smith</v>
          </cell>
          <cell r="V5187">
            <v>44622</v>
          </cell>
        </row>
        <row r="5188">
          <cell r="I5188" t="str">
            <v>EDI</v>
          </cell>
          <cell r="N5188" t="str">
            <v>Mapping</v>
          </cell>
          <cell r="O5188" t="str">
            <v>eBenefits Network</v>
          </cell>
          <cell r="P5188" t="str">
            <v>Phase 1 - Map Built</v>
          </cell>
          <cell r="Q5188" t="str">
            <v>Cancelled</v>
          </cell>
          <cell r="R5188">
            <v>44581.800057870372</v>
          </cell>
          <cell r="S5188" t="str">
            <v>Karim Tarek</v>
          </cell>
          <cell r="T5188">
            <v>44662</v>
          </cell>
          <cell r="U5188" t="str">
            <v>Billy Smith</v>
          </cell>
        </row>
        <row r="5189">
          <cell r="I5189" t="str">
            <v>EDI</v>
          </cell>
          <cell r="N5189" t="str">
            <v>Mapping</v>
          </cell>
          <cell r="O5189" t="str">
            <v>eBenefits Network</v>
          </cell>
          <cell r="P5189" t="str">
            <v>Phase 1 - Map Built</v>
          </cell>
          <cell r="Q5189" t="str">
            <v>Cancelled</v>
          </cell>
          <cell r="R5189">
            <v>44581.800057870372</v>
          </cell>
          <cell r="S5189" t="str">
            <v>Karim Tarek</v>
          </cell>
          <cell r="T5189">
            <v>44662</v>
          </cell>
          <cell r="U5189" t="str">
            <v>Billy Smith</v>
          </cell>
        </row>
        <row r="5190">
          <cell r="I5190" t="str">
            <v>EDI</v>
          </cell>
          <cell r="N5190" t="str">
            <v>Mapping</v>
          </cell>
          <cell r="O5190" t="str">
            <v>eBenefits Network</v>
          </cell>
          <cell r="P5190" t="str">
            <v>Phase 2</v>
          </cell>
          <cell r="Q5190" t="str">
            <v>Cancelled</v>
          </cell>
          <cell r="R5190">
            <v>44581.800046296303</v>
          </cell>
          <cell r="T5190">
            <v>44630</v>
          </cell>
          <cell r="U5190" t="str">
            <v>Billy Smith</v>
          </cell>
        </row>
        <row r="5191">
          <cell r="I5191" t="str">
            <v>EDI</v>
          </cell>
          <cell r="L5191">
            <v>23</v>
          </cell>
          <cell r="N5191" t="str">
            <v>Production</v>
          </cell>
          <cell r="O5191" t="str">
            <v>No</v>
          </cell>
          <cell r="Q5191" t="str">
            <v>Cancelled</v>
          </cell>
          <cell r="R5191">
            <v>44581.760752314818</v>
          </cell>
          <cell r="S5191" t="str">
            <v>Dina Medhat</v>
          </cell>
          <cell r="T5191">
            <v>44581</v>
          </cell>
          <cell r="U5191" t="str">
            <v>Miranda Naeem</v>
          </cell>
          <cell r="V5191">
            <v>25569</v>
          </cell>
          <cell r="W5191">
            <v>44929</v>
          </cell>
          <cell r="AC5191">
            <v>44929</v>
          </cell>
        </row>
        <row r="5192">
          <cell r="I5192" t="str">
            <v>EDI</v>
          </cell>
          <cell r="L5192">
            <v>608</v>
          </cell>
          <cell r="N5192" t="str">
            <v>Testing</v>
          </cell>
          <cell r="O5192" t="str">
            <v>eBenefits Network</v>
          </cell>
          <cell r="P5192" t="str">
            <v>Migration Testing</v>
          </cell>
          <cell r="Q5192" t="str">
            <v>Cancelled</v>
          </cell>
          <cell r="R5192">
            <v>44581.621249999997</v>
          </cell>
          <cell r="S5192" t="str">
            <v>Fady Maged Old Account</v>
          </cell>
          <cell r="T5192">
            <v>44636</v>
          </cell>
          <cell r="U5192" t="str">
            <v>Billy Smith</v>
          </cell>
          <cell r="V5192">
            <v>44639</v>
          </cell>
        </row>
        <row r="5193">
          <cell r="I5193" t="str">
            <v>EDI</v>
          </cell>
          <cell r="L5193">
            <v>518</v>
          </cell>
          <cell r="N5193" t="str">
            <v>Production</v>
          </cell>
          <cell r="O5193" t="str">
            <v>eBenefits Network</v>
          </cell>
          <cell r="P5193" t="str">
            <v>Production</v>
          </cell>
          <cell r="Q5193" t="str">
            <v>Cancelled</v>
          </cell>
          <cell r="R5193">
            <v>44581.621249999997</v>
          </cell>
          <cell r="S5193" t="str">
            <v>Amira Elshora Old Account</v>
          </cell>
          <cell r="T5193">
            <v>44622</v>
          </cell>
          <cell r="U5193" t="str">
            <v>Billy Smith</v>
          </cell>
          <cell r="V5193">
            <v>44623</v>
          </cell>
          <cell r="W5193">
            <v>44669</v>
          </cell>
          <cell r="AC5193">
            <v>44668</v>
          </cell>
        </row>
        <row r="5194">
          <cell r="I5194" t="str">
            <v>EDI</v>
          </cell>
          <cell r="L5194">
            <v>593</v>
          </cell>
          <cell r="N5194" t="str">
            <v>Production</v>
          </cell>
          <cell r="O5194" t="str">
            <v>eBenefits Network</v>
          </cell>
          <cell r="P5194" t="str">
            <v>Production</v>
          </cell>
          <cell r="Q5194" t="str">
            <v>Cancelled</v>
          </cell>
          <cell r="R5194">
            <v>44581.621249999997</v>
          </cell>
          <cell r="S5194" t="str">
            <v>Fady Maged Old Account</v>
          </cell>
          <cell r="T5194">
            <v>44634</v>
          </cell>
          <cell r="U5194" t="str">
            <v>Billy Smith</v>
          </cell>
          <cell r="V5194">
            <v>44636</v>
          </cell>
          <cell r="W5194">
            <v>44690</v>
          </cell>
          <cell r="AC5194">
            <v>44690</v>
          </cell>
        </row>
        <row r="5195">
          <cell r="I5195" t="str">
            <v>EDI</v>
          </cell>
          <cell r="N5195" t="str">
            <v>Production</v>
          </cell>
          <cell r="O5195" t="str">
            <v>No</v>
          </cell>
          <cell r="Q5195" t="str">
            <v>Cancelled</v>
          </cell>
          <cell r="R5195">
            <v>44581.567118055558</v>
          </cell>
          <cell r="S5195" t="str">
            <v>Dina Medhat</v>
          </cell>
          <cell r="T5195">
            <v>44581</v>
          </cell>
          <cell r="U5195" t="str">
            <v>Elizabeth Kahle</v>
          </cell>
        </row>
        <row r="5196">
          <cell r="I5196" t="str">
            <v>EDI</v>
          </cell>
          <cell r="L5196">
            <v>619</v>
          </cell>
          <cell r="N5196" t="str">
            <v>Production</v>
          </cell>
          <cell r="O5196" t="str">
            <v>eBenefits Network</v>
          </cell>
          <cell r="P5196" t="str">
            <v>Production</v>
          </cell>
          <cell r="Q5196" t="str">
            <v>Cancelled</v>
          </cell>
          <cell r="R5196">
            <v>44580.815243055556</v>
          </cell>
          <cell r="S5196" t="str">
            <v>Amira Elshora Old Account</v>
          </cell>
          <cell r="T5196">
            <v>44638</v>
          </cell>
          <cell r="U5196" t="str">
            <v>Billy Smith</v>
          </cell>
          <cell r="V5196">
            <v>44640</v>
          </cell>
          <cell r="W5196">
            <v>25569</v>
          </cell>
          <cell r="AC5196">
            <v>44679</v>
          </cell>
        </row>
        <row r="5197">
          <cell r="I5197" t="str">
            <v>EDI</v>
          </cell>
          <cell r="L5197">
            <v>491</v>
          </cell>
          <cell r="N5197" t="str">
            <v>Production</v>
          </cell>
          <cell r="O5197" t="str">
            <v>eBenefits Network</v>
          </cell>
          <cell r="P5197" t="str">
            <v>Production</v>
          </cell>
          <cell r="Q5197" t="str">
            <v>Cancelled</v>
          </cell>
          <cell r="R5197">
            <v>44580.811539351853</v>
          </cell>
          <cell r="S5197" t="str">
            <v>Amira Elshora Old Account</v>
          </cell>
          <cell r="T5197">
            <v>44616</v>
          </cell>
          <cell r="U5197" t="str">
            <v>Billy Smith</v>
          </cell>
          <cell r="V5197">
            <v>44620</v>
          </cell>
          <cell r="W5197">
            <v>25569</v>
          </cell>
          <cell r="AC5197">
            <v>44641</v>
          </cell>
        </row>
        <row r="5198">
          <cell r="I5198" t="str">
            <v>EDI</v>
          </cell>
          <cell r="L5198">
            <v>581</v>
          </cell>
          <cell r="N5198" t="str">
            <v>Production</v>
          </cell>
          <cell r="O5198" t="str">
            <v>eBenefits Network</v>
          </cell>
          <cell r="P5198" t="str">
            <v>Production</v>
          </cell>
          <cell r="Q5198" t="str">
            <v>Live</v>
          </cell>
          <cell r="R5198">
            <v>44580.809317129628</v>
          </cell>
          <cell r="S5198" t="str">
            <v>Amira Elshora Old Account</v>
          </cell>
          <cell r="T5198">
            <v>44635</v>
          </cell>
          <cell r="U5198" t="str">
            <v>Billy Smith</v>
          </cell>
          <cell r="V5198">
            <v>44635</v>
          </cell>
          <cell r="W5198">
            <v>25569</v>
          </cell>
          <cell r="AC5198">
            <v>44654</v>
          </cell>
        </row>
        <row r="5199">
          <cell r="I5199" t="str">
            <v>EDI</v>
          </cell>
          <cell r="L5199">
            <v>611</v>
          </cell>
          <cell r="N5199" t="str">
            <v>Production</v>
          </cell>
          <cell r="O5199" t="str">
            <v>eBenefits Network</v>
          </cell>
          <cell r="P5199" t="str">
            <v>Production</v>
          </cell>
          <cell r="Q5199" t="str">
            <v>Live</v>
          </cell>
          <cell r="R5199">
            <v>44580.809305555558</v>
          </cell>
          <cell r="S5199" t="str">
            <v>Fady Maged Old Account</v>
          </cell>
          <cell r="T5199">
            <v>44637</v>
          </cell>
          <cell r="U5199" t="str">
            <v>Billy Smith</v>
          </cell>
          <cell r="V5199">
            <v>44640</v>
          </cell>
          <cell r="W5199">
            <v>44655</v>
          </cell>
          <cell r="AC5199">
            <v>44655</v>
          </cell>
        </row>
        <row r="5200">
          <cell r="I5200" t="str">
            <v>EDI</v>
          </cell>
          <cell r="L5200">
            <v>570</v>
          </cell>
          <cell r="N5200" t="str">
            <v>Production</v>
          </cell>
          <cell r="O5200" t="str">
            <v>eBenefits Network</v>
          </cell>
          <cell r="P5200" t="str">
            <v>Production</v>
          </cell>
          <cell r="Q5200" t="str">
            <v>Cancelled</v>
          </cell>
          <cell r="R5200">
            <v>44580.806168981479</v>
          </cell>
          <cell r="S5200" t="str">
            <v>Fady Maged Old Account</v>
          </cell>
          <cell r="T5200">
            <v>44627</v>
          </cell>
          <cell r="U5200" t="str">
            <v>Billy Smith</v>
          </cell>
          <cell r="V5200">
            <v>44633</v>
          </cell>
          <cell r="W5200">
            <v>44650</v>
          </cell>
          <cell r="AC5200">
            <v>44650</v>
          </cell>
        </row>
        <row r="5201">
          <cell r="I5201" t="str">
            <v>EDI</v>
          </cell>
          <cell r="L5201">
            <v>596</v>
          </cell>
          <cell r="N5201" t="str">
            <v>Production</v>
          </cell>
          <cell r="O5201" t="str">
            <v>eBenefits Network</v>
          </cell>
          <cell r="P5201" t="str">
            <v>Production</v>
          </cell>
          <cell r="Q5201" t="str">
            <v>Cancelled</v>
          </cell>
          <cell r="R5201">
            <v>44580.806168981479</v>
          </cell>
          <cell r="S5201" t="str">
            <v>Ahmed Gamal</v>
          </cell>
          <cell r="T5201">
            <v>44636</v>
          </cell>
          <cell r="U5201" t="str">
            <v>Billy Smith</v>
          </cell>
          <cell r="W5201">
            <v>25569</v>
          </cell>
          <cell r="AC5201">
            <v>44690</v>
          </cell>
        </row>
        <row r="5202">
          <cell r="I5202" t="str">
            <v>EDI</v>
          </cell>
          <cell r="L5202">
            <v>549</v>
          </cell>
          <cell r="N5202" t="str">
            <v>Production</v>
          </cell>
          <cell r="O5202" t="str">
            <v>eBenefits Network</v>
          </cell>
          <cell r="P5202" t="str">
            <v>Production</v>
          </cell>
          <cell r="Q5202" t="str">
            <v>Live</v>
          </cell>
          <cell r="R5202">
            <v>44580.802766203713</v>
          </cell>
          <cell r="S5202" t="str">
            <v>Amira Elshora Old Account</v>
          </cell>
          <cell r="T5202">
            <v>44627</v>
          </cell>
          <cell r="U5202" t="str">
            <v>Billy Smith</v>
          </cell>
          <cell r="V5202">
            <v>44629</v>
          </cell>
          <cell r="W5202">
            <v>25569</v>
          </cell>
          <cell r="AC5202">
            <v>44711</v>
          </cell>
        </row>
        <row r="5203">
          <cell r="I5203" t="str">
            <v>EDI</v>
          </cell>
          <cell r="L5203">
            <v>587</v>
          </cell>
          <cell r="N5203" t="str">
            <v>Production</v>
          </cell>
          <cell r="O5203" t="str">
            <v>eBenefits Network</v>
          </cell>
          <cell r="P5203" t="str">
            <v>Production</v>
          </cell>
          <cell r="Q5203" t="str">
            <v>Live</v>
          </cell>
          <cell r="R5203">
            <v>44580.802766203713</v>
          </cell>
          <cell r="S5203" t="str">
            <v>Amira Elshora Old Account</v>
          </cell>
          <cell r="T5203">
            <v>44635</v>
          </cell>
          <cell r="U5203" t="str">
            <v>Billy Smith</v>
          </cell>
          <cell r="V5203">
            <v>44635</v>
          </cell>
          <cell r="W5203">
            <v>25569</v>
          </cell>
          <cell r="AC5203">
            <v>44679</v>
          </cell>
        </row>
        <row r="5204">
          <cell r="I5204" t="str">
            <v>EDI</v>
          </cell>
          <cell r="L5204">
            <v>604</v>
          </cell>
          <cell r="N5204" t="str">
            <v>Production</v>
          </cell>
          <cell r="O5204" t="str">
            <v>eBenefits Network</v>
          </cell>
          <cell r="P5204" t="str">
            <v>Production</v>
          </cell>
          <cell r="Q5204" t="str">
            <v>Live</v>
          </cell>
          <cell r="R5204">
            <v>44580.796932870369</v>
          </cell>
          <cell r="S5204" t="str">
            <v>Amira Elshora Old Account</v>
          </cell>
          <cell r="T5204">
            <v>44636</v>
          </cell>
          <cell r="U5204" t="str">
            <v>Billy Smith</v>
          </cell>
          <cell r="V5204">
            <v>44637</v>
          </cell>
          <cell r="W5204">
            <v>44714</v>
          </cell>
          <cell r="AC5204">
            <v>44704</v>
          </cell>
        </row>
        <row r="5205">
          <cell r="I5205" t="str">
            <v>EDI</v>
          </cell>
          <cell r="L5205">
            <v>463</v>
          </cell>
          <cell r="N5205" t="str">
            <v>Testing</v>
          </cell>
          <cell r="O5205" t="str">
            <v>eBenefits Network</v>
          </cell>
          <cell r="P5205" t="str">
            <v>Phase 3</v>
          </cell>
          <cell r="Q5205" t="str">
            <v>Cancelled</v>
          </cell>
          <cell r="R5205">
            <v>44580.707442129627</v>
          </cell>
          <cell r="S5205" t="str">
            <v>Fady Maged Old Account</v>
          </cell>
          <cell r="T5205">
            <v>44614</v>
          </cell>
          <cell r="U5205" t="str">
            <v>Billy Smith</v>
          </cell>
          <cell r="V5205">
            <v>44615</v>
          </cell>
        </row>
        <row r="5206">
          <cell r="I5206" t="str">
            <v>EDI</v>
          </cell>
          <cell r="N5206" t="str">
            <v>Mapping</v>
          </cell>
          <cell r="O5206" t="str">
            <v>eBenefits Network</v>
          </cell>
          <cell r="P5206" t="str">
            <v>Phase 1 - Map Built</v>
          </cell>
          <cell r="Q5206" t="str">
            <v>Cancelled</v>
          </cell>
          <cell r="R5206">
            <v>44580.707442129627</v>
          </cell>
          <cell r="S5206" t="str">
            <v>Rawan Sherif</v>
          </cell>
          <cell r="T5206">
            <v>44585</v>
          </cell>
          <cell r="U5206" t="str">
            <v>Billy Smith</v>
          </cell>
        </row>
        <row r="5207">
          <cell r="I5207" t="str">
            <v>EDI</v>
          </cell>
          <cell r="L5207">
            <v>464</v>
          </cell>
          <cell r="N5207" t="str">
            <v>Testing</v>
          </cell>
          <cell r="O5207" t="str">
            <v>eBenefits Network</v>
          </cell>
          <cell r="P5207" t="str">
            <v>Phase 3</v>
          </cell>
          <cell r="Q5207" t="str">
            <v>Cancelled</v>
          </cell>
          <cell r="R5207">
            <v>44580.707430555558</v>
          </cell>
          <cell r="S5207" t="str">
            <v>Fady Maged Old Account</v>
          </cell>
          <cell r="T5207">
            <v>44614</v>
          </cell>
          <cell r="U5207" t="str">
            <v>Billy Smith</v>
          </cell>
          <cell r="V5207">
            <v>44615</v>
          </cell>
        </row>
        <row r="5208">
          <cell r="I5208" t="str">
            <v>EDI</v>
          </cell>
          <cell r="L5208">
            <v>571</v>
          </cell>
          <cell r="N5208" t="str">
            <v>Production</v>
          </cell>
          <cell r="O5208" t="str">
            <v>eBenefits Network</v>
          </cell>
          <cell r="P5208" t="str">
            <v>Production</v>
          </cell>
          <cell r="Q5208" t="str">
            <v>Live</v>
          </cell>
          <cell r="R5208">
            <v>44580.704062500001</v>
          </cell>
          <cell r="S5208" t="str">
            <v>Ahmed Gamal</v>
          </cell>
          <cell r="T5208">
            <v>44632</v>
          </cell>
          <cell r="U5208" t="str">
            <v>Billy Smith</v>
          </cell>
          <cell r="W5208">
            <v>44754</v>
          </cell>
          <cell r="AC5208">
            <v>44749</v>
          </cell>
        </row>
        <row r="5209">
          <cell r="I5209" t="str">
            <v>EDI</v>
          </cell>
          <cell r="L5209">
            <v>558</v>
          </cell>
          <cell r="N5209" t="str">
            <v>Production</v>
          </cell>
          <cell r="O5209" t="str">
            <v>eBenefits Network</v>
          </cell>
          <cell r="P5209" t="str">
            <v>Production</v>
          </cell>
          <cell r="Q5209" t="str">
            <v>Cancelled</v>
          </cell>
          <cell r="R5209">
            <v>44580.701608796298</v>
          </cell>
          <cell r="S5209" t="str">
            <v>Amira Elshora Old Account</v>
          </cell>
          <cell r="T5209">
            <v>44627</v>
          </cell>
          <cell r="U5209" t="str">
            <v>Billy Smith</v>
          </cell>
          <cell r="V5209">
            <v>25569</v>
          </cell>
          <cell r="W5209">
            <v>44753</v>
          </cell>
          <cell r="AC5209">
            <v>44749</v>
          </cell>
        </row>
        <row r="5210">
          <cell r="I5210" t="str">
            <v>EDI</v>
          </cell>
          <cell r="L5210">
            <v>458</v>
          </cell>
          <cell r="N5210" t="str">
            <v>Production</v>
          </cell>
          <cell r="O5210" t="str">
            <v>eBenefits Network</v>
          </cell>
          <cell r="P5210" t="str">
            <v>Production</v>
          </cell>
          <cell r="Q5210" t="str">
            <v>Live</v>
          </cell>
          <cell r="R5210">
            <v>44580.701597222222</v>
          </cell>
          <cell r="S5210" t="str">
            <v>Fady Maged Old Account</v>
          </cell>
          <cell r="T5210">
            <v>44614</v>
          </cell>
          <cell r="U5210" t="str">
            <v>Billy Smith</v>
          </cell>
          <cell r="V5210">
            <v>25569</v>
          </cell>
          <cell r="W5210">
            <v>44635</v>
          </cell>
          <cell r="AC5210">
            <v>44629</v>
          </cell>
        </row>
        <row r="5211">
          <cell r="I5211" t="str">
            <v>EDI</v>
          </cell>
          <cell r="L5211">
            <v>457</v>
          </cell>
          <cell r="N5211" t="str">
            <v>Production</v>
          </cell>
          <cell r="O5211" t="str">
            <v>eBenefits Network</v>
          </cell>
          <cell r="P5211" t="str">
            <v>Production</v>
          </cell>
          <cell r="Q5211" t="str">
            <v>Cancelled</v>
          </cell>
          <cell r="R5211">
            <v>44580.701597222222</v>
          </cell>
          <cell r="S5211" t="str">
            <v>Fady Maged Old Account</v>
          </cell>
          <cell r="T5211">
            <v>44614</v>
          </cell>
          <cell r="U5211" t="str">
            <v>Billy Smith</v>
          </cell>
          <cell r="V5211">
            <v>44615</v>
          </cell>
          <cell r="W5211">
            <v>44634</v>
          </cell>
          <cell r="AC5211">
            <v>44630</v>
          </cell>
        </row>
        <row r="5212">
          <cell r="I5212" t="str">
            <v>EDI</v>
          </cell>
          <cell r="L5212">
            <v>835</v>
          </cell>
          <cell r="N5212" t="str">
            <v>Production</v>
          </cell>
          <cell r="O5212" t="str">
            <v>eBenefits Network</v>
          </cell>
          <cell r="P5212" t="str">
            <v>Production</v>
          </cell>
          <cell r="Q5212" t="str">
            <v>Cancelled</v>
          </cell>
          <cell r="R5212">
            <v>44580.701597222222</v>
          </cell>
          <cell r="S5212" t="str">
            <v>Ahmed Gamal</v>
          </cell>
          <cell r="T5212">
            <v>44682</v>
          </cell>
          <cell r="U5212" t="str">
            <v>Billy Smith</v>
          </cell>
          <cell r="W5212">
            <v>44746</v>
          </cell>
          <cell r="AC5212">
            <v>44746</v>
          </cell>
        </row>
        <row r="5213">
          <cell r="I5213" t="str">
            <v>EDI</v>
          </cell>
          <cell r="L5213">
            <v>930</v>
          </cell>
          <cell r="N5213" t="str">
            <v>Testing</v>
          </cell>
          <cell r="O5213" t="str">
            <v>eBenefits Network</v>
          </cell>
          <cell r="P5213" t="str">
            <v>Migration Testing</v>
          </cell>
          <cell r="Q5213" t="str">
            <v>Cancelled</v>
          </cell>
          <cell r="R5213">
            <v>44580.696273148147</v>
          </cell>
          <cell r="S5213" t="str">
            <v>Amira Elshora Old Account</v>
          </cell>
          <cell r="T5213">
            <v>44691</v>
          </cell>
          <cell r="U5213" t="str">
            <v>Billy Smith</v>
          </cell>
          <cell r="V5213">
            <v>44692</v>
          </cell>
        </row>
        <row r="5214">
          <cell r="I5214" t="str">
            <v>EDI</v>
          </cell>
          <cell r="L5214">
            <v>470</v>
          </cell>
          <cell r="N5214" t="str">
            <v>Production</v>
          </cell>
          <cell r="O5214" t="str">
            <v>eBenefits Network</v>
          </cell>
          <cell r="P5214" t="str">
            <v>Production</v>
          </cell>
          <cell r="Q5214" t="str">
            <v>Cancelled</v>
          </cell>
          <cell r="R5214">
            <v>44580.696273148147</v>
          </cell>
          <cell r="S5214" t="str">
            <v>Amira Elshora Old Account</v>
          </cell>
          <cell r="T5214">
            <v>44614</v>
          </cell>
          <cell r="U5214" t="str">
            <v>Billy Smith</v>
          </cell>
          <cell r="V5214">
            <v>44616</v>
          </cell>
          <cell r="W5214">
            <v>44641</v>
          </cell>
          <cell r="AC5214">
            <v>44641</v>
          </cell>
        </row>
        <row r="5215">
          <cell r="I5215" t="str">
            <v>EDI</v>
          </cell>
          <cell r="L5215">
            <v>465</v>
          </cell>
          <cell r="N5215" t="str">
            <v>Production</v>
          </cell>
          <cell r="O5215" t="str">
            <v>eBenefits Network</v>
          </cell>
          <cell r="P5215" t="str">
            <v>Production</v>
          </cell>
          <cell r="Q5215" t="str">
            <v>Cancelled</v>
          </cell>
          <cell r="R5215">
            <v>44580.696261574078</v>
          </cell>
          <cell r="S5215" t="str">
            <v>Amira Elshora Old Account</v>
          </cell>
          <cell r="T5215">
            <v>44614</v>
          </cell>
          <cell r="U5215" t="str">
            <v>Billy Smith</v>
          </cell>
          <cell r="V5215">
            <v>44615</v>
          </cell>
          <cell r="W5215">
            <v>44635</v>
          </cell>
          <cell r="AC5215">
            <v>44629</v>
          </cell>
        </row>
        <row r="5216">
          <cell r="I5216" t="str">
            <v>EDI</v>
          </cell>
          <cell r="L5216">
            <v>462</v>
          </cell>
          <cell r="N5216" t="str">
            <v>Production</v>
          </cell>
          <cell r="O5216" t="str">
            <v>eBenefits Network</v>
          </cell>
          <cell r="P5216" t="str">
            <v>Production</v>
          </cell>
          <cell r="Q5216" t="str">
            <v>Cancelled</v>
          </cell>
          <cell r="R5216">
            <v>44580.696261574078</v>
          </cell>
          <cell r="S5216" t="str">
            <v>Amira Elshora Old Account</v>
          </cell>
          <cell r="T5216">
            <v>44614</v>
          </cell>
          <cell r="U5216" t="str">
            <v>Billy Smith</v>
          </cell>
          <cell r="V5216">
            <v>44616</v>
          </cell>
          <cell r="W5216">
            <v>25569</v>
          </cell>
          <cell r="AC5216">
            <v>44654</v>
          </cell>
        </row>
        <row r="5217">
          <cell r="I5217" t="str">
            <v>EDI</v>
          </cell>
          <cell r="L5217">
            <v>354</v>
          </cell>
          <cell r="N5217" t="str">
            <v>Production</v>
          </cell>
          <cell r="O5217" t="str">
            <v>No</v>
          </cell>
          <cell r="Q5217" t="str">
            <v>Cancelled</v>
          </cell>
          <cell r="R5217">
            <v>44580.657048611109</v>
          </cell>
          <cell r="S5217" t="str">
            <v>Mina Adel Old Account</v>
          </cell>
          <cell r="T5217">
            <v>44592</v>
          </cell>
          <cell r="U5217" t="str">
            <v>Denise Stubenvoll</v>
          </cell>
          <cell r="V5217">
            <v>25569</v>
          </cell>
          <cell r="W5217">
            <v>44783</v>
          </cell>
          <cell r="AC5217">
            <v>44763</v>
          </cell>
        </row>
        <row r="5218">
          <cell r="I5218" t="str">
            <v>EDI</v>
          </cell>
          <cell r="L5218">
            <v>498</v>
          </cell>
          <cell r="N5218" t="str">
            <v>Production</v>
          </cell>
          <cell r="O5218" t="str">
            <v>eBenefits Network</v>
          </cell>
          <cell r="P5218" t="str">
            <v>Production</v>
          </cell>
          <cell r="Q5218" t="str">
            <v>Cancelled</v>
          </cell>
          <cell r="R5218">
            <v>44580.614965277768</v>
          </cell>
          <cell r="S5218" t="str">
            <v>Amira Elshora Old Account</v>
          </cell>
          <cell r="T5218">
            <v>44615</v>
          </cell>
          <cell r="U5218" t="str">
            <v>Billy Smith</v>
          </cell>
          <cell r="V5218">
            <v>44620</v>
          </cell>
          <cell r="W5218">
            <v>44650</v>
          </cell>
          <cell r="AC5218">
            <v>44648</v>
          </cell>
        </row>
        <row r="5219">
          <cell r="I5219" t="str">
            <v>EDI</v>
          </cell>
          <cell r="L5219">
            <v>675</v>
          </cell>
          <cell r="N5219" t="str">
            <v>Production</v>
          </cell>
          <cell r="O5219" t="str">
            <v>eBenefits Network</v>
          </cell>
          <cell r="P5219" t="str">
            <v>Production</v>
          </cell>
          <cell r="Q5219" t="str">
            <v>Cancelled</v>
          </cell>
          <cell r="R5219">
            <v>44580.614965277768</v>
          </cell>
          <cell r="S5219" t="str">
            <v>Fady Maged Old Account</v>
          </cell>
          <cell r="T5219">
            <v>44647</v>
          </cell>
          <cell r="U5219" t="str">
            <v>Billy Smith</v>
          </cell>
          <cell r="V5219">
            <v>44648</v>
          </cell>
          <cell r="W5219">
            <v>44697</v>
          </cell>
          <cell r="AC5219">
            <v>44697</v>
          </cell>
        </row>
        <row r="5220">
          <cell r="I5220" t="str">
            <v>EDI</v>
          </cell>
          <cell r="L5220">
            <v>576</v>
          </cell>
          <cell r="N5220" t="str">
            <v>Production</v>
          </cell>
          <cell r="O5220" t="str">
            <v>eBenefits Network</v>
          </cell>
          <cell r="P5220" t="str">
            <v>Production</v>
          </cell>
          <cell r="Q5220" t="str">
            <v>Cancelled</v>
          </cell>
          <cell r="R5220">
            <v>44580.614953703713</v>
          </cell>
          <cell r="S5220" t="str">
            <v>Ahmed Gamal</v>
          </cell>
          <cell r="T5220">
            <v>44634</v>
          </cell>
          <cell r="U5220" t="str">
            <v>Billy Smith</v>
          </cell>
          <cell r="W5220">
            <v>44886</v>
          </cell>
          <cell r="AC5220">
            <v>44654</v>
          </cell>
        </row>
        <row r="5221">
          <cell r="I5221" t="str">
            <v>EDI</v>
          </cell>
          <cell r="L5221">
            <v>784</v>
          </cell>
          <cell r="N5221" t="str">
            <v>Production</v>
          </cell>
          <cell r="O5221" t="str">
            <v>eBenefits Network</v>
          </cell>
          <cell r="P5221" t="str">
            <v>Production</v>
          </cell>
          <cell r="Q5221" t="str">
            <v>Cancelled</v>
          </cell>
          <cell r="R5221">
            <v>44580.614953703713</v>
          </cell>
          <cell r="S5221" t="str">
            <v>Fady Maged Old Account</v>
          </cell>
          <cell r="T5221">
            <v>44657</v>
          </cell>
          <cell r="U5221" t="str">
            <v>Billy Smith</v>
          </cell>
          <cell r="V5221">
            <v>44667</v>
          </cell>
          <cell r="W5221">
            <v>25569</v>
          </cell>
          <cell r="AC5221">
            <v>44703</v>
          </cell>
        </row>
        <row r="5222">
          <cell r="I5222" t="str">
            <v>EDI</v>
          </cell>
          <cell r="L5222">
            <v>914</v>
          </cell>
          <cell r="N5222" t="str">
            <v>Production</v>
          </cell>
          <cell r="O5222" t="str">
            <v>eBenefits Network</v>
          </cell>
          <cell r="P5222" t="str">
            <v>Production</v>
          </cell>
          <cell r="Q5222" t="str">
            <v>Cancelled</v>
          </cell>
          <cell r="R5222">
            <v>44580.614953703713</v>
          </cell>
          <cell r="S5222" t="str">
            <v>Fady Maged Old Account</v>
          </cell>
          <cell r="T5222">
            <v>44698</v>
          </cell>
          <cell r="U5222" t="str">
            <v>Billy Smith</v>
          </cell>
          <cell r="V5222">
            <v>44699</v>
          </cell>
          <cell r="W5222">
            <v>44711</v>
          </cell>
          <cell r="AC5222">
            <v>44711</v>
          </cell>
        </row>
        <row r="5223">
          <cell r="I5223" t="str">
            <v>EDI</v>
          </cell>
          <cell r="L5223">
            <v>460</v>
          </cell>
          <cell r="N5223" t="str">
            <v>Production</v>
          </cell>
          <cell r="O5223" t="str">
            <v>No</v>
          </cell>
          <cell r="Q5223" t="str">
            <v>Cancelled</v>
          </cell>
          <cell r="R5223">
            <v>44580.606307870366</v>
          </cell>
          <cell r="S5223" t="str">
            <v>Mohamed Samy</v>
          </cell>
          <cell r="T5223">
            <v>44598</v>
          </cell>
          <cell r="U5223" t="str">
            <v>Miranda Naeem</v>
          </cell>
          <cell r="V5223">
            <v>44684</v>
          </cell>
          <cell r="W5223">
            <v>44775</v>
          </cell>
          <cell r="Y5223">
            <v>44598</v>
          </cell>
          <cell r="AC5223">
            <v>44770</v>
          </cell>
        </row>
        <row r="5224">
          <cell r="I5224" t="str">
            <v>EDI</v>
          </cell>
          <cell r="L5224">
            <v>469</v>
          </cell>
          <cell r="N5224" t="str">
            <v>Production</v>
          </cell>
          <cell r="O5224" t="str">
            <v>No</v>
          </cell>
          <cell r="Q5224" t="str">
            <v>Cancelled</v>
          </cell>
          <cell r="R5224">
            <v>44580.606296296297</v>
          </cell>
          <cell r="S5224" t="str">
            <v>Mohamed Samy</v>
          </cell>
          <cell r="T5224">
            <v>44613</v>
          </cell>
          <cell r="U5224" t="str">
            <v>Miranda Naeem</v>
          </cell>
          <cell r="V5224">
            <v>44728</v>
          </cell>
          <cell r="W5224">
            <v>44740</v>
          </cell>
          <cell r="Y5224">
            <v>44613</v>
          </cell>
          <cell r="AC5224">
            <v>44735</v>
          </cell>
        </row>
        <row r="5225">
          <cell r="I5225" t="str">
            <v>EDI</v>
          </cell>
          <cell r="L5225">
            <v>353</v>
          </cell>
          <cell r="N5225" t="str">
            <v>Production</v>
          </cell>
          <cell r="O5225" t="str">
            <v>No</v>
          </cell>
          <cell r="Q5225" t="str">
            <v>Cancelled</v>
          </cell>
          <cell r="R5225">
            <v>44580.606296296297</v>
          </cell>
          <cell r="S5225" t="str">
            <v>Mina Adel Old Account</v>
          </cell>
          <cell r="T5225">
            <v>44587</v>
          </cell>
          <cell r="U5225" t="str">
            <v>Miranda Naeem</v>
          </cell>
          <cell r="V5225">
            <v>44614</v>
          </cell>
          <cell r="W5225">
            <v>44635</v>
          </cell>
          <cell r="AC5225">
            <v>44634</v>
          </cell>
        </row>
        <row r="5226">
          <cell r="I5226" t="str">
            <v>EDI</v>
          </cell>
          <cell r="L5226">
            <v>440</v>
          </cell>
          <cell r="N5226" t="str">
            <v>Testing</v>
          </cell>
          <cell r="O5226" t="str">
            <v>No</v>
          </cell>
          <cell r="Q5226" t="str">
            <v>Cancelled</v>
          </cell>
          <cell r="R5226">
            <v>44580.60628472222</v>
          </cell>
          <cell r="S5226" t="str">
            <v>Mina George</v>
          </cell>
          <cell r="T5226">
            <v>44889</v>
          </cell>
          <cell r="U5226" t="str">
            <v>Miranda Naeem</v>
          </cell>
          <cell r="V5226">
            <v>45050</v>
          </cell>
          <cell r="Y5226">
            <v>44609</v>
          </cell>
        </row>
        <row r="5227">
          <cell r="I5227" t="str">
            <v>EDI</v>
          </cell>
          <cell r="L5227">
            <v>583</v>
          </cell>
          <cell r="N5227" t="str">
            <v>Testing</v>
          </cell>
          <cell r="O5227" t="str">
            <v>eBenefits Network</v>
          </cell>
          <cell r="P5227" t="str">
            <v>Migration Testing</v>
          </cell>
          <cell r="Q5227" t="str">
            <v>Cancelled</v>
          </cell>
          <cell r="R5227">
            <v>44580.598449074067</v>
          </cell>
          <cell r="S5227" t="str">
            <v>Ahmed Gamal</v>
          </cell>
          <cell r="T5227">
            <v>44635</v>
          </cell>
          <cell r="U5227" t="str">
            <v>Billy Smith</v>
          </cell>
        </row>
        <row r="5228">
          <cell r="I5228" t="str">
            <v>EDI</v>
          </cell>
          <cell r="L5228">
            <v>496</v>
          </cell>
          <cell r="N5228" t="str">
            <v>Testing</v>
          </cell>
          <cell r="O5228" t="str">
            <v>eBenefits Network</v>
          </cell>
          <cell r="P5228" t="str">
            <v>Migration Testing</v>
          </cell>
          <cell r="Q5228" t="str">
            <v>Cancelled</v>
          </cell>
          <cell r="R5228">
            <v>44580.598437499997</v>
          </cell>
          <cell r="S5228" t="str">
            <v>Amira Elshora Old Account</v>
          </cell>
          <cell r="T5228">
            <v>44615</v>
          </cell>
          <cell r="U5228" t="str">
            <v>Billy Smith</v>
          </cell>
          <cell r="V5228">
            <v>44620</v>
          </cell>
        </row>
        <row r="5229">
          <cell r="I5229" t="str">
            <v>EDI</v>
          </cell>
          <cell r="L5229">
            <v>625</v>
          </cell>
          <cell r="N5229" t="str">
            <v>Production</v>
          </cell>
          <cell r="O5229" t="str">
            <v>eBenefits Network</v>
          </cell>
          <cell r="P5229" t="str">
            <v>Production</v>
          </cell>
          <cell r="Q5229" t="str">
            <v>Live</v>
          </cell>
          <cell r="R5229">
            <v>44580.58320601852</v>
          </cell>
          <cell r="S5229" t="str">
            <v>Fady Maged Old Account</v>
          </cell>
          <cell r="T5229">
            <v>44636</v>
          </cell>
          <cell r="U5229" t="str">
            <v>Billy Smith</v>
          </cell>
          <cell r="V5229">
            <v>44640</v>
          </cell>
          <cell r="W5229">
            <v>44690</v>
          </cell>
          <cell r="AC5229">
            <v>44690</v>
          </cell>
        </row>
        <row r="5230">
          <cell r="I5230" t="str">
            <v>EDI</v>
          </cell>
          <cell r="L5230">
            <v>541</v>
          </cell>
          <cell r="N5230" t="str">
            <v>Testing</v>
          </cell>
          <cell r="O5230" t="str">
            <v>eBenefits Network</v>
          </cell>
          <cell r="P5230" t="str">
            <v>Migration Testing</v>
          </cell>
          <cell r="Q5230" t="str">
            <v>Cancelled</v>
          </cell>
          <cell r="R5230">
            <v>44580.577627314808</v>
          </cell>
          <cell r="S5230" t="str">
            <v>Amira Elshora Old Account</v>
          </cell>
          <cell r="T5230">
            <v>44627</v>
          </cell>
          <cell r="U5230" t="str">
            <v>Billy Smith</v>
          </cell>
          <cell r="V5230">
            <v>44629</v>
          </cell>
        </row>
        <row r="5231">
          <cell r="I5231" t="str">
            <v>EDI</v>
          </cell>
          <cell r="L5231">
            <v>758</v>
          </cell>
          <cell r="N5231" t="str">
            <v>Production</v>
          </cell>
          <cell r="O5231" t="str">
            <v>eBenefits Network</v>
          </cell>
          <cell r="P5231" t="str">
            <v>Production</v>
          </cell>
          <cell r="Q5231" t="str">
            <v>Cancelled</v>
          </cell>
          <cell r="R5231">
            <v>44580.577615740738</v>
          </cell>
          <cell r="S5231" t="str">
            <v>Ahmed Gamal</v>
          </cell>
          <cell r="T5231">
            <v>44687</v>
          </cell>
          <cell r="U5231" t="str">
            <v>Billy Smith</v>
          </cell>
          <cell r="W5231">
            <v>44707</v>
          </cell>
          <cell r="AC5231">
            <v>44703</v>
          </cell>
        </row>
        <row r="5232">
          <cell r="I5232" t="str">
            <v>EDI</v>
          </cell>
          <cell r="L5232">
            <v>563</v>
          </cell>
          <cell r="N5232" t="str">
            <v>Production</v>
          </cell>
          <cell r="O5232" t="str">
            <v>eBenefits Network</v>
          </cell>
          <cell r="P5232" t="str">
            <v>Production</v>
          </cell>
          <cell r="Q5232" t="str">
            <v>Cancelled</v>
          </cell>
          <cell r="R5232">
            <v>44580.577615740738</v>
          </cell>
          <cell r="S5232" t="str">
            <v>Fady Maged Old Account</v>
          </cell>
          <cell r="T5232">
            <v>44627</v>
          </cell>
          <cell r="U5232" t="str">
            <v>Billy Smith</v>
          </cell>
          <cell r="V5232">
            <v>44634</v>
          </cell>
          <cell r="W5232">
            <v>44707</v>
          </cell>
          <cell r="AC5232">
            <v>44703</v>
          </cell>
        </row>
        <row r="5233">
          <cell r="I5233" t="str">
            <v>EDI</v>
          </cell>
          <cell r="L5233">
            <v>475</v>
          </cell>
          <cell r="N5233" t="str">
            <v>Production</v>
          </cell>
          <cell r="O5233" t="str">
            <v>eBenefits Network</v>
          </cell>
          <cell r="P5233" t="str">
            <v>Production</v>
          </cell>
          <cell r="Q5233" t="str">
            <v>Cancelled</v>
          </cell>
          <cell r="R5233">
            <v>44580.562962962962</v>
          </cell>
          <cell r="S5233" t="str">
            <v>Amira Elshora Old Account</v>
          </cell>
          <cell r="T5233">
            <v>44615</v>
          </cell>
          <cell r="U5233" t="str">
            <v>Billy Smith</v>
          </cell>
          <cell r="V5233">
            <v>44616</v>
          </cell>
          <cell r="W5233">
            <v>44634</v>
          </cell>
          <cell r="AC5233">
            <v>44630</v>
          </cell>
        </row>
        <row r="5234">
          <cell r="I5234" t="str">
            <v>EDI</v>
          </cell>
          <cell r="L5234">
            <v>516</v>
          </cell>
          <cell r="N5234" t="str">
            <v>Production</v>
          </cell>
          <cell r="O5234" t="str">
            <v>eBenefits Network</v>
          </cell>
          <cell r="P5234" t="str">
            <v>Production</v>
          </cell>
          <cell r="Q5234" t="str">
            <v>Live</v>
          </cell>
          <cell r="R5234">
            <v>44580.562962962962</v>
          </cell>
          <cell r="S5234" t="str">
            <v>Amira Elshora Old Account</v>
          </cell>
          <cell r="T5234">
            <v>44622</v>
          </cell>
          <cell r="U5234" t="str">
            <v>Billy Smith</v>
          </cell>
          <cell r="V5234">
            <v>44623</v>
          </cell>
          <cell r="W5234">
            <v>44641</v>
          </cell>
          <cell r="AC5234">
            <v>44641</v>
          </cell>
        </row>
        <row r="5235">
          <cell r="I5235" t="str">
            <v>EDI</v>
          </cell>
          <cell r="L5235">
            <v>374</v>
          </cell>
          <cell r="N5235" t="str">
            <v>Production</v>
          </cell>
          <cell r="O5235" t="str">
            <v>eBenefits Network</v>
          </cell>
          <cell r="P5235" t="str">
            <v>Production</v>
          </cell>
          <cell r="Q5235" t="str">
            <v>Cancelled</v>
          </cell>
          <cell r="R5235">
            <v>44580.562962962962</v>
          </cell>
          <cell r="S5235" t="str">
            <v>Fady Maged Old Account</v>
          </cell>
          <cell r="T5235">
            <v>44691</v>
          </cell>
          <cell r="U5235" t="str">
            <v>Billy Smith</v>
          </cell>
          <cell r="V5235">
            <v>44697</v>
          </cell>
          <cell r="W5235">
            <v>44711</v>
          </cell>
          <cell r="AC5235">
            <v>44711</v>
          </cell>
        </row>
        <row r="5236">
          <cell r="I5236" t="str">
            <v>EDI</v>
          </cell>
          <cell r="L5236">
            <v>911</v>
          </cell>
          <cell r="N5236" t="str">
            <v>Production</v>
          </cell>
          <cell r="O5236" t="str">
            <v>eBenefits Network</v>
          </cell>
          <cell r="P5236" t="str">
            <v>Production</v>
          </cell>
          <cell r="Q5236" t="str">
            <v>Live</v>
          </cell>
          <cell r="R5236">
            <v>44580.558125000003</v>
          </cell>
          <cell r="S5236" t="str">
            <v>Amira Elshora Old Account</v>
          </cell>
          <cell r="T5236">
            <v>44687</v>
          </cell>
          <cell r="U5236" t="str">
            <v>Billy Smith</v>
          </cell>
          <cell r="V5236">
            <v>44690</v>
          </cell>
          <cell r="W5236">
            <v>44732</v>
          </cell>
          <cell r="AC5236">
            <v>44732</v>
          </cell>
        </row>
        <row r="5237">
          <cell r="I5237" t="str">
            <v>EDI</v>
          </cell>
          <cell r="L5237">
            <v>510</v>
          </cell>
          <cell r="N5237" t="str">
            <v>Production</v>
          </cell>
          <cell r="O5237" t="str">
            <v>eBenefits Network</v>
          </cell>
          <cell r="P5237" t="str">
            <v>Production</v>
          </cell>
          <cell r="Q5237" t="str">
            <v>Live</v>
          </cell>
          <cell r="R5237">
            <v>44580.553391203714</v>
          </cell>
          <cell r="S5237" t="str">
            <v>Fady Maged Old Account</v>
          </cell>
          <cell r="T5237">
            <v>44627</v>
          </cell>
          <cell r="U5237" t="str">
            <v>Billy Smith</v>
          </cell>
          <cell r="V5237">
            <v>44633</v>
          </cell>
          <cell r="W5237">
            <v>44648</v>
          </cell>
          <cell r="AC5237">
            <v>44648</v>
          </cell>
        </row>
        <row r="5238">
          <cell r="I5238" t="str">
            <v>EDI</v>
          </cell>
          <cell r="L5238">
            <v>586</v>
          </cell>
          <cell r="N5238" t="str">
            <v>Production</v>
          </cell>
          <cell r="O5238" t="str">
            <v>eBenefits Network</v>
          </cell>
          <cell r="P5238" t="str">
            <v>Production</v>
          </cell>
          <cell r="Q5238" t="str">
            <v>Cancelled</v>
          </cell>
          <cell r="R5238">
            <v>44580.550740740742</v>
          </cell>
          <cell r="S5238" t="str">
            <v>Ahmed Gamal</v>
          </cell>
          <cell r="T5238">
            <v>44635</v>
          </cell>
          <cell r="U5238" t="str">
            <v>Billy Smith</v>
          </cell>
          <cell r="W5238">
            <v>44690</v>
          </cell>
          <cell r="AC5238">
            <v>44690</v>
          </cell>
        </row>
        <row r="5239">
          <cell r="I5239" t="str">
            <v>EDI</v>
          </cell>
          <cell r="L5239">
            <v>900</v>
          </cell>
          <cell r="N5239" t="str">
            <v>Production</v>
          </cell>
          <cell r="O5239" t="str">
            <v>eBenefits Network</v>
          </cell>
          <cell r="P5239" t="str">
            <v>Production</v>
          </cell>
          <cell r="Q5239" t="str">
            <v>Cancelled</v>
          </cell>
          <cell r="R5239">
            <v>44580.550729166673</v>
          </cell>
          <cell r="S5239" t="str">
            <v>Amira Elshora Old Account</v>
          </cell>
          <cell r="T5239">
            <v>44686</v>
          </cell>
          <cell r="U5239" t="str">
            <v>Billy Smith</v>
          </cell>
          <cell r="V5239">
            <v>44689</v>
          </cell>
          <cell r="W5239">
            <v>25569</v>
          </cell>
          <cell r="AC5239">
            <v>44704</v>
          </cell>
        </row>
        <row r="5240">
          <cell r="I5240" t="str">
            <v>EDI</v>
          </cell>
          <cell r="L5240">
            <v>884</v>
          </cell>
          <cell r="N5240" t="str">
            <v>Production</v>
          </cell>
          <cell r="O5240" t="str">
            <v>eBenefits Network</v>
          </cell>
          <cell r="P5240" t="str">
            <v>Production</v>
          </cell>
          <cell r="Q5240" t="str">
            <v>Cancelled</v>
          </cell>
          <cell r="R5240">
            <v>44580.550729166673</v>
          </cell>
          <cell r="S5240" t="str">
            <v>Ahmed Gamal</v>
          </cell>
          <cell r="T5240">
            <v>44691</v>
          </cell>
          <cell r="U5240" t="str">
            <v>Billy Smith</v>
          </cell>
          <cell r="V5240">
            <v>45706</v>
          </cell>
          <cell r="W5240">
            <v>44753</v>
          </cell>
          <cell r="AC5240">
            <v>44746</v>
          </cell>
        </row>
        <row r="5241">
          <cell r="I5241" t="str">
            <v>EDI</v>
          </cell>
          <cell r="L5241">
            <v>477</v>
          </cell>
          <cell r="N5241" t="str">
            <v>Production</v>
          </cell>
          <cell r="O5241" t="str">
            <v>eBenefits Network</v>
          </cell>
          <cell r="P5241" t="str">
            <v>Production</v>
          </cell>
          <cell r="Q5241" t="str">
            <v>Cancelled</v>
          </cell>
          <cell r="R5241">
            <v>44579.911203703698</v>
          </cell>
          <cell r="S5241" t="str">
            <v>Fady Maged Old Account</v>
          </cell>
          <cell r="T5241">
            <v>44615</v>
          </cell>
          <cell r="U5241" t="str">
            <v>Billy Smith</v>
          </cell>
          <cell r="V5241">
            <v>44616</v>
          </cell>
          <cell r="W5241">
            <v>44634</v>
          </cell>
          <cell r="AC5241">
            <v>44630</v>
          </cell>
        </row>
        <row r="5242">
          <cell r="I5242" t="str">
            <v>EDI</v>
          </cell>
          <cell r="L5242">
            <v>564</v>
          </cell>
          <cell r="N5242" t="str">
            <v>Production</v>
          </cell>
          <cell r="O5242" t="str">
            <v>eBenefits Network</v>
          </cell>
          <cell r="P5242" t="str">
            <v>Production</v>
          </cell>
          <cell r="Q5242" t="str">
            <v>Cancelled</v>
          </cell>
          <cell r="R5242">
            <v>44579.911203703698</v>
          </cell>
          <cell r="S5242" t="str">
            <v>Amira Elshora Old Account</v>
          </cell>
          <cell r="T5242">
            <v>44627</v>
          </cell>
          <cell r="U5242" t="str">
            <v>Billy Smith</v>
          </cell>
          <cell r="V5242">
            <v>44632</v>
          </cell>
          <cell r="W5242">
            <v>44753</v>
          </cell>
          <cell r="AC5242">
            <v>44749</v>
          </cell>
        </row>
        <row r="5243">
          <cell r="I5243" t="str">
            <v>EDI</v>
          </cell>
          <cell r="L5243">
            <v>848</v>
          </cell>
          <cell r="N5243" t="str">
            <v>Production</v>
          </cell>
          <cell r="O5243" t="str">
            <v>eBenefits Network</v>
          </cell>
          <cell r="P5243" t="str">
            <v>Production</v>
          </cell>
          <cell r="Q5243" t="str">
            <v>Cancelled</v>
          </cell>
          <cell r="R5243">
            <v>44579.911192129628</v>
          </cell>
          <cell r="S5243" t="str">
            <v>Ahmed Gamal</v>
          </cell>
          <cell r="T5243">
            <v>44670</v>
          </cell>
          <cell r="U5243" t="str">
            <v>Billy Smith</v>
          </cell>
          <cell r="W5243">
            <v>44707</v>
          </cell>
          <cell r="AC5243">
            <v>44703</v>
          </cell>
        </row>
        <row r="5244">
          <cell r="I5244" t="str">
            <v>EDI</v>
          </cell>
          <cell r="N5244" t="str">
            <v>Mapping</v>
          </cell>
          <cell r="O5244" t="str">
            <v>eBenefits Network</v>
          </cell>
          <cell r="P5244" t="str">
            <v>Phase 2</v>
          </cell>
          <cell r="Q5244" t="str">
            <v>Cancelled</v>
          </cell>
          <cell r="R5244">
            <v>44579.905497685177</v>
          </cell>
          <cell r="S5244" t="str">
            <v>Amira Elshora Old Account</v>
          </cell>
          <cell r="T5244">
            <v>44638</v>
          </cell>
          <cell r="U5244" t="str">
            <v>Billy Smith</v>
          </cell>
        </row>
        <row r="5245">
          <cell r="I5245" t="str">
            <v>EDI</v>
          </cell>
          <cell r="L5245">
            <v>658</v>
          </cell>
          <cell r="N5245" t="str">
            <v>Production</v>
          </cell>
          <cell r="O5245" t="str">
            <v>eBenefits Network</v>
          </cell>
          <cell r="P5245" t="str">
            <v>Production</v>
          </cell>
          <cell r="Q5245" t="str">
            <v>Cancelled</v>
          </cell>
          <cell r="R5245">
            <v>44579.90216435185</v>
          </cell>
          <cell r="S5245" t="str">
            <v>Amira Elshora Old Account</v>
          </cell>
          <cell r="T5245">
            <v>44642</v>
          </cell>
          <cell r="U5245" t="str">
            <v>Billy Smith</v>
          </cell>
          <cell r="V5245">
            <v>44643</v>
          </cell>
          <cell r="W5245">
            <v>44665</v>
          </cell>
          <cell r="AC5245">
            <v>44660</v>
          </cell>
        </row>
        <row r="5246">
          <cell r="I5246" t="str">
            <v>EDI</v>
          </cell>
          <cell r="L5246">
            <v>709</v>
          </cell>
          <cell r="N5246" t="str">
            <v>Production</v>
          </cell>
          <cell r="O5246" t="str">
            <v>eBenefits Network</v>
          </cell>
          <cell r="P5246" t="str">
            <v>Production</v>
          </cell>
          <cell r="Q5246" t="str">
            <v>Cancelled</v>
          </cell>
          <cell r="R5246">
            <v>44579.900462962964</v>
          </cell>
          <cell r="S5246" t="str">
            <v>Fady Maged Old Account</v>
          </cell>
          <cell r="T5246">
            <v>44650</v>
          </cell>
          <cell r="V5246">
            <v>44654</v>
          </cell>
          <cell r="W5246">
            <v>44684</v>
          </cell>
          <cell r="AC5246">
            <v>44679</v>
          </cell>
        </row>
        <row r="5247">
          <cell r="I5247" t="str">
            <v>EDI</v>
          </cell>
          <cell r="L5247">
            <v>820</v>
          </cell>
          <cell r="N5247" t="str">
            <v>Production</v>
          </cell>
          <cell r="O5247" t="str">
            <v>eBenefits Network</v>
          </cell>
          <cell r="P5247" t="str">
            <v>Production</v>
          </cell>
          <cell r="Q5247" t="str">
            <v>Cancelled</v>
          </cell>
          <cell r="R5247">
            <v>44579.900462962964</v>
          </cell>
          <cell r="S5247" t="str">
            <v>Fady Maged Old Account</v>
          </cell>
          <cell r="T5247">
            <v>44666</v>
          </cell>
          <cell r="V5247">
            <v>44674</v>
          </cell>
          <cell r="W5247">
            <v>44712</v>
          </cell>
          <cell r="AC5247">
            <v>44712</v>
          </cell>
        </row>
        <row r="5248">
          <cell r="I5248" t="str">
            <v>EDI</v>
          </cell>
          <cell r="L5248">
            <v>738</v>
          </cell>
          <cell r="N5248" t="str">
            <v>Production</v>
          </cell>
          <cell r="O5248" t="str">
            <v>eBenefits Network</v>
          </cell>
          <cell r="P5248" t="str">
            <v>Production</v>
          </cell>
          <cell r="Q5248" t="str">
            <v>Cancelled</v>
          </cell>
          <cell r="R5248">
            <v>44579.900462962964</v>
          </cell>
          <cell r="S5248" t="str">
            <v>Ahmed Gamal</v>
          </cell>
          <cell r="T5248">
            <v>44657</v>
          </cell>
          <cell r="V5248">
            <v>44888</v>
          </cell>
          <cell r="W5248">
            <v>44724</v>
          </cell>
          <cell r="AC5248">
            <v>44719</v>
          </cell>
        </row>
        <row r="5249">
          <cell r="I5249" t="str">
            <v>EDI</v>
          </cell>
          <cell r="L5249">
            <v>552</v>
          </cell>
          <cell r="N5249" t="str">
            <v>Production</v>
          </cell>
          <cell r="O5249" t="str">
            <v>eBenefits Network</v>
          </cell>
          <cell r="P5249" t="str">
            <v>Production</v>
          </cell>
          <cell r="Q5249" t="str">
            <v>Live</v>
          </cell>
          <cell r="R5249">
            <v>44579.900462962964</v>
          </cell>
          <cell r="S5249" t="str">
            <v>Amira Elshora Old Account</v>
          </cell>
          <cell r="T5249">
            <v>44627</v>
          </cell>
          <cell r="V5249">
            <v>44629</v>
          </cell>
          <cell r="W5249">
            <v>44768</v>
          </cell>
          <cell r="AC5249">
            <v>44768</v>
          </cell>
        </row>
        <row r="5250">
          <cell r="I5250" t="str">
            <v>EDI</v>
          </cell>
          <cell r="L5250">
            <v>497</v>
          </cell>
          <cell r="N5250" t="str">
            <v>Production</v>
          </cell>
          <cell r="O5250" t="str">
            <v>eBenefits Network</v>
          </cell>
          <cell r="P5250" t="str">
            <v>Production</v>
          </cell>
          <cell r="Q5250" t="str">
            <v>Cancelled</v>
          </cell>
          <cell r="R5250">
            <v>44579.83320601852</v>
          </cell>
          <cell r="S5250" t="str">
            <v>Fady Maged Old Account</v>
          </cell>
          <cell r="T5250">
            <v>44615</v>
          </cell>
          <cell r="V5250">
            <v>44620</v>
          </cell>
          <cell r="W5250">
            <v>44649</v>
          </cell>
          <cell r="AC5250">
            <v>44648</v>
          </cell>
        </row>
        <row r="5251">
          <cell r="I5251" t="str">
            <v>EDI</v>
          </cell>
          <cell r="L5251">
            <v>881</v>
          </cell>
          <cell r="N5251" t="str">
            <v>Production</v>
          </cell>
          <cell r="O5251" t="str">
            <v>eBenefits Network</v>
          </cell>
          <cell r="P5251" t="str">
            <v>Production</v>
          </cell>
          <cell r="Q5251" t="str">
            <v>Cancelled</v>
          </cell>
          <cell r="R5251">
            <v>44579.790509259263</v>
          </cell>
          <cell r="S5251" t="str">
            <v>Ahmed Gamal</v>
          </cell>
          <cell r="T5251">
            <v>44691</v>
          </cell>
          <cell r="W5251">
            <v>44711</v>
          </cell>
          <cell r="AC5251">
            <v>44711</v>
          </cell>
        </row>
        <row r="5252">
          <cell r="I5252" t="str">
            <v>EDI</v>
          </cell>
          <cell r="L5252">
            <v>489</v>
          </cell>
          <cell r="N5252" t="str">
            <v>Production</v>
          </cell>
          <cell r="O5252" t="str">
            <v>eBenefits Network</v>
          </cell>
          <cell r="P5252" t="str">
            <v>Production</v>
          </cell>
          <cell r="Q5252" t="str">
            <v>Cancelled</v>
          </cell>
          <cell r="R5252">
            <v>44579.786990740737</v>
          </cell>
          <cell r="S5252" t="str">
            <v>Amira Elshora Old Account</v>
          </cell>
          <cell r="T5252">
            <v>44615</v>
          </cell>
          <cell r="V5252">
            <v>44619</v>
          </cell>
          <cell r="W5252">
            <v>44635</v>
          </cell>
          <cell r="AC5252">
            <v>44630</v>
          </cell>
        </row>
        <row r="5253">
          <cell r="I5253" t="str">
            <v>EDI</v>
          </cell>
          <cell r="L5253">
            <v>626</v>
          </cell>
          <cell r="N5253" t="str">
            <v>Production</v>
          </cell>
          <cell r="O5253" t="str">
            <v>eBenefits Network</v>
          </cell>
          <cell r="P5253" t="str">
            <v>Production</v>
          </cell>
          <cell r="Q5253" t="str">
            <v>Cancelled</v>
          </cell>
          <cell r="R5253">
            <v>44579.784236111111</v>
          </cell>
          <cell r="S5253" t="str">
            <v>Amira Elshora</v>
          </cell>
          <cell r="T5253">
            <v>44943</v>
          </cell>
          <cell r="U5253" t="str">
            <v>Billy Smith</v>
          </cell>
          <cell r="V5253">
            <v>44640</v>
          </cell>
          <cell r="W5253">
            <v>44978</v>
          </cell>
          <cell r="AC5253">
            <v>44976</v>
          </cell>
        </row>
        <row r="5254">
          <cell r="I5254" t="str">
            <v>EDI</v>
          </cell>
          <cell r="L5254">
            <v>831</v>
          </cell>
          <cell r="N5254" t="str">
            <v>Production</v>
          </cell>
          <cell r="O5254" t="str">
            <v>eBenefits Network</v>
          </cell>
          <cell r="P5254" t="str">
            <v>Production</v>
          </cell>
          <cell r="Q5254" t="str">
            <v>Cancelled</v>
          </cell>
          <cell r="R5254">
            <v>44579.779328703713</v>
          </cell>
          <cell r="S5254" t="str">
            <v>Fady Maged Old Account</v>
          </cell>
          <cell r="T5254">
            <v>44627</v>
          </cell>
          <cell r="U5254" t="str">
            <v>Billy Smith</v>
          </cell>
          <cell r="V5254">
            <v>44677</v>
          </cell>
          <cell r="W5254">
            <v>44712</v>
          </cell>
          <cell r="AC5254">
            <v>44712</v>
          </cell>
        </row>
        <row r="5255">
          <cell r="I5255" t="str">
            <v>EDI</v>
          </cell>
          <cell r="L5255">
            <v>767</v>
          </cell>
          <cell r="N5255" t="str">
            <v>Production</v>
          </cell>
          <cell r="O5255" t="str">
            <v>eBenefits Network</v>
          </cell>
          <cell r="P5255" t="str">
            <v>Production</v>
          </cell>
          <cell r="Q5255" t="str">
            <v>Live</v>
          </cell>
          <cell r="R5255">
            <v>44579.779328703713</v>
          </cell>
          <cell r="S5255" t="str">
            <v>Amira Elshora Old Account</v>
          </cell>
          <cell r="T5255">
            <v>44660</v>
          </cell>
          <cell r="U5255" t="str">
            <v>Billy Smith</v>
          </cell>
          <cell r="V5255">
            <v>44662</v>
          </cell>
          <cell r="W5255">
            <v>25569</v>
          </cell>
          <cell r="AC5255">
            <v>44719</v>
          </cell>
        </row>
        <row r="5256">
          <cell r="I5256" t="str">
            <v>EDI</v>
          </cell>
          <cell r="L5256">
            <v>382</v>
          </cell>
          <cell r="N5256" t="str">
            <v>Production</v>
          </cell>
          <cell r="O5256" t="str">
            <v>No</v>
          </cell>
          <cell r="Q5256" t="str">
            <v>Live</v>
          </cell>
          <cell r="R5256">
            <v>44579.708541666667</v>
          </cell>
          <cell r="S5256" t="str">
            <v>Fady Bassel</v>
          </cell>
          <cell r="T5256">
            <v>44592</v>
          </cell>
          <cell r="U5256" t="str">
            <v>Miranda Naeem</v>
          </cell>
          <cell r="V5256">
            <v>44643</v>
          </cell>
          <cell r="W5256">
            <v>44649</v>
          </cell>
          <cell r="AC5256">
            <v>44647</v>
          </cell>
        </row>
        <row r="5257">
          <cell r="I5257" t="str">
            <v>EDI</v>
          </cell>
          <cell r="L5257">
            <v>424</v>
          </cell>
          <cell r="N5257" t="str">
            <v>Production</v>
          </cell>
          <cell r="O5257" t="str">
            <v>No</v>
          </cell>
          <cell r="Q5257" t="str">
            <v>Live</v>
          </cell>
          <cell r="R5257">
            <v>44579.567407407398</v>
          </cell>
          <cell r="S5257" t="str">
            <v>Mina Adel</v>
          </cell>
          <cell r="T5257">
            <v>45231</v>
          </cell>
          <cell r="U5257" t="str">
            <v>Jene Hamm</v>
          </cell>
          <cell r="V5257">
            <v>25569</v>
          </cell>
          <cell r="W5257">
            <v>45251</v>
          </cell>
          <cell r="AC5257">
            <v>45246</v>
          </cell>
        </row>
        <row r="5258">
          <cell r="I5258" t="str">
            <v>EDI</v>
          </cell>
          <cell r="L5258">
            <v>450</v>
          </cell>
          <cell r="N5258" t="str">
            <v>Production</v>
          </cell>
          <cell r="O5258" t="str">
            <v>No</v>
          </cell>
          <cell r="Q5258" t="str">
            <v>Cancelled</v>
          </cell>
          <cell r="R5258">
            <v>44579.563854166663</v>
          </cell>
          <cell r="S5258" t="str">
            <v>Ahmed Sami Old Account</v>
          </cell>
          <cell r="T5258">
            <v>44592</v>
          </cell>
          <cell r="U5258" t="str">
            <v>Vicky Wright</v>
          </cell>
          <cell r="V5258">
            <v>44627</v>
          </cell>
          <cell r="W5258">
            <v>44649</v>
          </cell>
          <cell r="AC5258">
            <v>44649</v>
          </cell>
        </row>
        <row r="5259">
          <cell r="I5259" t="str">
            <v>EDI</v>
          </cell>
          <cell r="N5259" t="str">
            <v>Requirements Gathering</v>
          </cell>
          <cell r="O5259" t="str">
            <v>No</v>
          </cell>
          <cell r="Q5259" t="str">
            <v>Cancelled</v>
          </cell>
          <cell r="R5259">
            <v>44579.563854166663</v>
          </cell>
          <cell r="S5259" t="str">
            <v>Sandra Adel</v>
          </cell>
          <cell r="T5259">
            <v>44579</v>
          </cell>
          <cell r="U5259" t="str">
            <v>Vicky Wright</v>
          </cell>
        </row>
        <row r="5260">
          <cell r="I5260" t="str">
            <v>EDI</v>
          </cell>
          <cell r="L5260">
            <v>568</v>
          </cell>
          <cell r="N5260" t="str">
            <v>Production</v>
          </cell>
          <cell r="O5260" t="str">
            <v>eBenefits Network</v>
          </cell>
          <cell r="P5260" t="str">
            <v>Production</v>
          </cell>
          <cell r="Q5260" t="str">
            <v>Cancelled</v>
          </cell>
          <cell r="R5260">
            <v>44578.86613425926</v>
          </cell>
          <cell r="S5260" t="str">
            <v>Fady Maged Old Account</v>
          </cell>
          <cell r="T5260">
            <v>44627</v>
          </cell>
          <cell r="U5260" t="str">
            <v>Billy Smith</v>
          </cell>
          <cell r="V5260">
            <v>44632</v>
          </cell>
          <cell r="W5260">
            <v>44649</v>
          </cell>
          <cell r="AC5260">
            <v>44648</v>
          </cell>
        </row>
        <row r="5261">
          <cell r="I5261" t="str">
            <v>EDI</v>
          </cell>
          <cell r="L5261">
            <v>418</v>
          </cell>
          <cell r="N5261" t="str">
            <v>Production</v>
          </cell>
          <cell r="O5261" t="str">
            <v>No</v>
          </cell>
          <cell r="Q5261" t="str">
            <v>Cancelled</v>
          </cell>
          <cell r="R5261">
            <v>44578.720543981479</v>
          </cell>
          <cell r="S5261" t="str">
            <v>Mina Adel Old Account</v>
          </cell>
          <cell r="T5261">
            <v>44602</v>
          </cell>
          <cell r="U5261" t="str">
            <v>Vicky Wright</v>
          </cell>
          <cell r="V5261">
            <v>44693</v>
          </cell>
          <cell r="W5261">
            <v>44698</v>
          </cell>
          <cell r="Y5261">
            <v>44601</v>
          </cell>
          <cell r="AC5261">
            <v>44696</v>
          </cell>
        </row>
        <row r="5262">
          <cell r="I5262" t="str">
            <v>EDI</v>
          </cell>
          <cell r="L5262">
            <v>425</v>
          </cell>
          <cell r="N5262" t="str">
            <v>Production</v>
          </cell>
          <cell r="O5262" t="str">
            <v>No</v>
          </cell>
          <cell r="Q5262" t="str">
            <v>Live</v>
          </cell>
          <cell r="R5262">
            <v>44578.683506944442</v>
          </cell>
          <cell r="S5262" t="str">
            <v>Ahmed Sami Old Account</v>
          </cell>
          <cell r="T5262">
            <v>44580</v>
          </cell>
          <cell r="U5262" t="str">
            <v>Billy Smith</v>
          </cell>
          <cell r="V5262">
            <v>44683</v>
          </cell>
          <cell r="W5262">
            <v>44783</v>
          </cell>
          <cell r="AC5262">
            <v>44778</v>
          </cell>
        </row>
        <row r="5263">
          <cell r="I5263" t="str">
            <v>EDI</v>
          </cell>
          <cell r="L5263">
            <v>306</v>
          </cell>
          <cell r="N5263" t="str">
            <v>Production</v>
          </cell>
          <cell r="O5263" t="str">
            <v>No</v>
          </cell>
          <cell r="Q5263" t="str">
            <v>Cancelled</v>
          </cell>
          <cell r="R5263">
            <v>44575.89675925926</v>
          </cell>
          <cell r="S5263" t="str">
            <v>Haytham Mohamed</v>
          </cell>
          <cell r="T5263">
            <v>44577</v>
          </cell>
          <cell r="U5263" t="str">
            <v>Denise Stubenvoll</v>
          </cell>
          <cell r="V5263">
            <v>44612</v>
          </cell>
          <cell r="W5263">
            <v>44635</v>
          </cell>
          <cell r="AC5263">
            <v>44634</v>
          </cell>
        </row>
        <row r="5264">
          <cell r="I5264" t="str">
            <v>EDI</v>
          </cell>
          <cell r="L5264">
            <v>459</v>
          </cell>
          <cell r="N5264" t="str">
            <v>Production</v>
          </cell>
          <cell r="O5264" t="str">
            <v>No</v>
          </cell>
          <cell r="Q5264" t="str">
            <v>Live</v>
          </cell>
          <cell r="R5264">
            <v>44574.553483796299</v>
          </cell>
          <cell r="S5264" t="str">
            <v>Mohamed Samy</v>
          </cell>
          <cell r="T5264">
            <v>44586</v>
          </cell>
          <cell r="U5264" t="str">
            <v>Vicky Wright</v>
          </cell>
          <cell r="V5264">
            <v>44630</v>
          </cell>
          <cell r="W5264">
            <v>44642</v>
          </cell>
          <cell r="AC5264">
            <v>44635</v>
          </cell>
        </row>
        <row r="5265">
          <cell r="I5265" t="str">
            <v>EDI</v>
          </cell>
          <cell r="L5265">
            <v>332</v>
          </cell>
          <cell r="N5265" t="str">
            <v>Production</v>
          </cell>
          <cell r="O5265" t="str">
            <v>No</v>
          </cell>
          <cell r="Q5265" t="str">
            <v>Live</v>
          </cell>
          <cell r="R5265">
            <v>44574.553483796299</v>
          </cell>
          <cell r="S5265" t="str">
            <v>Mina Adel Old Account</v>
          </cell>
          <cell r="T5265">
            <v>44580</v>
          </cell>
          <cell r="U5265" t="str">
            <v>Vicky Wright</v>
          </cell>
          <cell r="V5265">
            <v>44595</v>
          </cell>
          <cell r="W5265">
            <v>44670</v>
          </cell>
          <cell r="AC5265">
            <v>44663</v>
          </cell>
        </row>
        <row r="5266">
          <cell r="I5266" t="str">
            <v>EDI</v>
          </cell>
          <cell r="L5266">
            <v>358</v>
          </cell>
          <cell r="N5266" t="str">
            <v>Production</v>
          </cell>
          <cell r="O5266" t="str">
            <v>No</v>
          </cell>
          <cell r="Q5266" t="str">
            <v>Cancelled</v>
          </cell>
          <cell r="R5266">
            <v>44574.553472222222</v>
          </cell>
          <cell r="S5266" t="str">
            <v>Haytham Mohamed</v>
          </cell>
          <cell r="T5266">
            <v>44586</v>
          </cell>
          <cell r="U5266" t="str">
            <v>Vicky Wright</v>
          </cell>
          <cell r="V5266">
            <v>44594</v>
          </cell>
          <cell r="W5266">
            <v>44600</v>
          </cell>
          <cell r="AC5266">
            <v>44598</v>
          </cell>
        </row>
        <row r="5267">
          <cell r="I5267" t="str">
            <v>EDI</v>
          </cell>
          <cell r="L5267">
            <v>302</v>
          </cell>
          <cell r="N5267" t="str">
            <v>Production</v>
          </cell>
          <cell r="O5267" t="str">
            <v>No</v>
          </cell>
          <cell r="Q5267" t="str">
            <v>Cancelled</v>
          </cell>
          <cell r="R5267">
            <v>44574.549930555557</v>
          </cell>
          <cell r="S5267" t="str">
            <v>Mina George Old Account</v>
          </cell>
          <cell r="T5267">
            <v>44577</v>
          </cell>
          <cell r="U5267" t="str">
            <v>Miranda Naeem</v>
          </cell>
          <cell r="V5267">
            <v>44647</v>
          </cell>
          <cell r="W5267">
            <v>44711</v>
          </cell>
          <cell r="AC5267">
            <v>44694</v>
          </cell>
        </row>
        <row r="5268">
          <cell r="I5268" t="str">
            <v>EDI</v>
          </cell>
          <cell r="L5268">
            <v>220</v>
          </cell>
          <cell r="N5268" t="str">
            <v>Production</v>
          </cell>
          <cell r="O5268" t="str">
            <v>No</v>
          </cell>
          <cell r="Q5268" t="str">
            <v>Live</v>
          </cell>
          <cell r="R5268">
            <v>44574.52820601852</v>
          </cell>
          <cell r="S5268" t="str">
            <v>Dina Medhat</v>
          </cell>
          <cell r="T5268">
            <v>44574</v>
          </cell>
          <cell r="U5268" t="str">
            <v>Miranda Naeem</v>
          </cell>
          <cell r="V5268">
            <v>44663</v>
          </cell>
          <cell r="W5268">
            <v>25569</v>
          </cell>
          <cell r="AC5268">
            <v>44805</v>
          </cell>
        </row>
        <row r="5269">
          <cell r="I5269" t="str">
            <v>EDI</v>
          </cell>
          <cell r="L5269">
            <v>287</v>
          </cell>
          <cell r="N5269" t="str">
            <v>Production</v>
          </cell>
          <cell r="O5269" t="str">
            <v>No</v>
          </cell>
          <cell r="Q5269" t="str">
            <v>Live</v>
          </cell>
          <cell r="R5269">
            <v>44574.52820601852</v>
          </cell>
          <cell r="S5269" t="str">
            <v>Dina Medhat</v>
          </cell>
          <cell r="T5269">
            <v>44574</v>
          </cell>
          <cell r="U5269" t="str">
            <v>Miranda Naeem</v>
          </cell>
          <cell r="V5269">
            <v>44598</v>
          </cell>
          <cell r="W5269">
            <v>44628</v>
          </cell>
          <cell r="AC5269">
            <v>44626</v>
          </cell>
        </row>
        <row r="5270">
          <cell r="I5270" t="str">
            <v>EDI</v>
          </cell>
          <cell r="L5270">
            <v>287</v>
          </cell>
          <cell r="N5270" t="str">
            <v>Production</v>
          </cell>
          <cell r="O5270" t="str">
            <v>No</v>
          </cell>
          <cell r="Q5270" t="str">
            <v>Live</v>
          </cell>
          <cell r="R5270">
            <v>44574.516180555547</v>
          </cell>
          <cell r="S5270" t="str">
            <v>Dina Medhat</v>
          </cell>
          <cell r="T5270">
            <v>44574</v>
          </cell>
          <cell r="U5270" t="str">
            <v>Cheryl Cabana</v>
          </cell>
          <cell r="V5270">
            <v>44598</v>
          </cell>
          <cell r="W5270">
            <v>44628</v>
          </cell>
          <cell r="AC5270">
            <v>44626</v>
          </cell>
        </row>
        <row r="5271">
          <cell r="I5271" t="str">
            <v>EDI</v>
          </cell>
          <cell r="L5271">
            <v>220</v>
          </cell>
          <cell r="N5271" t="str">
            <v>Production</v>
          </cell>
          <cell r="O5271" t="str">
            <v>No</v>
          </cell>
          <cell r="Q5271" t="str">
            <v>Live</v>
          </cell>
          <cell r="R5271">
            <v>44574.516168981478</v>
          </cell>
          <cell r="S5271" t="str">
            <v>Dina Medhat</v>
          </cell>
          <cell r="T5271">
            <v>44574</v>
          </cell>
          <cell r="U5271" t="str">
            <v>Cheryl Cabana</v>
          </cell>
          <cell r="V5271">
            <v>44663</v>
          </cell>
          <cell r="W5271">
            <v>25569</v>
          </cell>
          <cell r="AC5271">
            <v>44805</v>
          </cell>
        </row>
        <row r="5272">
          <cell r="I5272" t="str">
            <v>EDI</v>
          </cell>
          <cell r="L5272">
            <v>287</v>
          </cell>
          <cell r="N5272" t="str">
            <v>Production</v>
          </cell>
          <cell r="O5272" t="str">
            <v>No</v>
          </cell>
          <cell r="Q5272" t="str">
            <v>Live</v>
          </cell>
          <cell r="R5272">
            <v>44574.51525462963</v>
          </cell>
          <cell r="S5272" t="str">
            <v>Dina Medhat</v>
          </cell>
          <cell r="T5272">
            <v>44574</v>
          </cell>
          <cell r="U5272" t="str">
            <v>Miranda Naeem</v>
          </cell>
          <cell r="V5272">
            <v>44598</v>
          </cell>
          <cell r="W5272">
            <v>44628</v>
          </cell>
          <cell r="AC5272">
            <v>44626</v>
          </cell>
        </row>
        <row r="5273">
          <cell r="I5273" t="str">
            <v>EDI</v>
          </cell>
          <cell r="L5273">
            <v>220</v>
          </cell>
          <cell r="N5273" t="str">
            <v>Production</v>
          </cell>
          <cell r="O5273" t="str">
            <v>No</v>
          </cell>
          <cell r="Q5273" t="str">
            <v>Live</v>
          </cell>
          <cell r="R5273">
            <v>44574.515243055554</v>
          </cell>
          <cell r="S5273" t="str">
            <v>Dina Medhat</v>
          </cell>
          <cell r="T5273">
            <v>44574</v>
          </cell>
          <cell r="U5273" t="str">
            <v>Miranda Naeem</v>
          </cell>
          <cell r="V5273">
            <v>44663</v>
          </cell>
          <cell r="W5273">
            <v>25569</v>
          </cell>
          <cell r="AC5273">
            <v>44805</v>
          </cell>
        </row>
        <row r="5274">
          <cell r="I5274" t="str">
            <v>EDI</v>
          </cell>
          <cell r="L5274">
            <v>287</v>
          </cell>
          <cell r="N5274" t="str">
            <v>Production</v>
          </cell>
          <cell r="O5274" t="str">
            <v>No</v>
          </cell>
          <cell r="Q5274" t="str">
            <v>Live</v>
          </cell>
          <cell r="R5274">
            <v>44574.514131944437</v>
          </cell>
          <cell r="S5274" t="str">
            <v>Dina Medhat</v>
          </cell>
          <cell r="T5274">
            <v>44574</v>
          </cell>
          <cell r="U5274" t="str">
            <v>Miranda Naeem</v>
          </cell>
          <cell r="V5274">
            <v>44598</v>
          </cell>
          <cell r="W5274">
            <v>44628</v>
          </cell>
          <cell r="AC5274">
            <v>44626</v>
          </cell>
        </row>
        <row r="5275">
          <cell r="I5275" t="str">
            <v>EDI</v>
          </cell>
          <cell r="L5275">
            <v>220</v>
          </cell>
          <cell r="N5275" t="str">
            <v>Production</v>
          </cell>
          <cell r="O5275" t="str">
            <v>No</v>
          </cell>
          <cell r="Q5275" t="str">
            <v>Live</v>
          </cell>
          <cell r="R5275">
            <v>44574.514120370368</v>
          </cell>
          <cell r="S5275" t="str">
            <v>Dina Medhat</v>
          </cell>
          <cell r="T5275">
            <v>44574</v>
          </cell>
          <cell r="U5275" t="str">
            <v>Miranda Naeem</v>
          </cell>
          <cell r="V5275">
            <v>44663</v>
          </cell>
          <cell r="W5275">
            <v>25569</v>
          </cell>
          <cell r="AC5275">
            <v>44805</v>
          </cell>
        </row>
        <row r="5276">
          <cell r="I5276" t="str">
            <v>EDI</v>
          </cell>
          <cell r="L5276">
            <v>287</v>
          </cell>
          <cell r="N5276" t="str">
            <v>Production</v>
          </cell>
          <cell r="O5276" t="str">
            <v>No</v>
          </cell>
          <cell r="Q5276" t="str">
            <v>Live</v>
          </cell>
          <cell r="R5276">
            <v>44574.512453703697</v>
          </cell>
          <cell r="S5276" t="str">
            <v>Dina Medhat</v>
          </cell>
          <cell r="T5276">
            <v>44574</v>
          </cell>
          <cell r="U5276" t="str">
            <v>Cheryl Cabana</v>
          </cell>
          <cell r="V5276">
            <v>44598</v>
          </cell>
          <cell r="W5276">
            <v>44628</v>
          </cell>
          <cell r="AC5276">
            <v>44626</v>
          </cell>
        </row>
        <row r="5277">
          <cell r="I5277" t="str">
            <v>EDI</v>
          </cell>
          <cell r="L5277">
            <v>220</v>
          </cell>
          <cell r="N5277" t="str">
            <v>Production</v>
          </cell>
          <cell r="O5277" t="str">
            <v>No</v>
          </cell>
          <cell r="Q5277" t="str">
            <v>Live</v>
          </cell>
          <cell r="R5277">
            <v>44574.512442129628</v>
          </cell>
          <cell r="S5277" t="str">
            <v>Dina Medhat</v>
          </cell>
          <cell r="T5277">
            <v>44574</v>
          </cell>
          <cell r="U5277" t="str">
            <v>Cheryl Cabana</v>
          </cell>
          <cell r="V5277">
            <v>44663</v>
          </cell>
          <cell r="W5277">
            <v>25569</v>
          </cell>
          <cell r="AC5277">
            <v>44805</v>
          </cell>
        </row>
        <row r="5278">
          <cell r="I5278" t="str">
            <v>EDI</v>
          </cell>
          <cell r="L5278">
            <v>350</v>
          </cell>
          <cell r="N5278" t="str">
            <v>Production</v>
          </cell>
          <cell r="O5278" t="str">
            <v>Everything Benefits</v>
          </cell>
          <cell r="P5278" t="str">
            <v>Production</v>
          </cell>
          <cell r="Q5278" t="str">
            <v>Live</v>
          </cell>
          <cell r="R5278">
            <v>44573.813333333332</v>
          </cell>
          <cell r="S5278" t="str">
            <v>Alaa Yehia</v>
          </cell>
          <cell r="T5278">
            <v>44591</v>
          </cell>
          <cell r="U5278" t="str">
            <v>Billy Smith</v>
          </cell>
          <cell r="V5278">
            <v>44601</v>
          </cell>
          <cell r="W5278">
            <v>25569</v>
          </cell>
          <cell r="AC5278">
            <v>44613</v>
          </cell>
        </row>
        <row r="5279">
          <cell r="I5279" t="str">
            <v>EDI</v>
          </cell>
          <cell r="L5279">
            <v>359</v>
          </cell>
          <cell r="N5279" t="str">
            <v>Production</v>
          </cell>
          <cell r="O5279" t="str">
            <v>Everything Benefits</v>
          </cell>
          <cell r="P5279" t="str">
            <v>Production</v>
          </cell>
          <cell r="Q5279" t="str">
            <v>Live</v>
          </cell>
          <cell r="R5279">
            <v>44573.813333333332</v>
          </cell>
          <cell r="S5279" t="str">
            <v>Mohamed Abdelhamed</v>
          </cell>
          <cell r="T5279">
            <v>44593</v>
          </cell>
          <cell r="U5279" t="str">
            <v>Billy Smith</v>
          </cell>
          <cell r="V5279">
            <v>44601</v>
          </cell>
          <cell r="W5279">
            <v>44634</v>
          </cell>
          <cell r="AC5279">
            <v>44634</v>
          </cell>
        </row>
        <row r="5280">
          <cell r="I5280" t="str">
            <v>EDI</v>
          </cell>
          <cell r="L5280">
            <v>346</v>
          </cell>
          <cell r="N5280" t="str">
            <v>Production</v>
          </cell>
          <cell r="O5280" t="str">
            <v>Everything Benefits</v>
          </cell>
          <cell r="P5280" t="str">
            <v>Production</v>
          </cell>
          <cell r="Q5280" t="str">
            <v>Live</v>
          </cell>
          <cell r="R5280">
            <v>44573.813333333332</v>
          </cell>
          <cell r="S5280" t="str">
            <v>Mina Kamil Old Account</v>
          </cell>
          <cell r="T5280">
            <v>44591</v>
          </cell>
          <cell r="U5280" t="str">
            <v>Billy Smith</v>
          </cell>
          <cell r="W5280">
            <v>44641</v>
          </cell>
          <cell r="AC5280">
            <v>44641</v>
          </cell>
        </row>
        <row r="5281">
          <cell r="I5281" t="str">
            <v>EDI</v>
          </cell>
          <cell r="L5281">
            <v>347</v>
          </cell>
          <cell r="N5281" t="str">
            <v>Production</v>
          </cell>
          <cell r="O5281" t="str">
            <v>Everything Benefits</v>
          </cell>
          <cell r="P5281" t="str">
            <v>Production</v>
          </cell>
          <cell r="Q5281" t="str">
            <v>Cancelled</v>
          </cell>
          <cell r="R5281">
            <v>44573.802453703713</v>
          </cell>
          <cell r="S5281" t="str">
            <v>Ahmed Gamal</v>
          </cell>
          <cell r="T5281">
            <v>44591</v>
          </cell>
          <cell r="U5281" t="str">
            <v>Billy Smith</v>
          </cell>
          <cell r="W5281">
            <v>44781</v>
          </cell>
          <cell r="AC5281">
            <v>44781</v>
          </cell>
        </row>
        <row r="5282">
          <cell r="I5282" t="str">
            <v>EDI</v>
          </cell>
          <cell r="L5282">
            <v>361</v>
          </cell>
          <cell r="N5282" t="str">
            <v>Production</v>
          </cell>
          <cell r="O5282" t="str">
            <v>Everything Benefits</v>
          </cell>
          <cell r="P5282" t="str">
            <v>Production</v>
          </cell>
          <cell r="Q5282" t="str">
            <v>Live</v>
          </cell>
          <cell r="R5282">
            <v>44572.823599537027</v>
          </cell>
          <cell r="S5282" t="str">
            <v>Mohamed Abdelhamed</v>
          </cell>
          <cell r="T5282">
            <v>44593</v>
          </cell>
          <cell r="U5282" t="str">
            <v>Billy Smith</v>
          </cell>
          <cell r="V5282">
            <v>44600</v>
          </cell>
          <cell r="W5282">
            <v>44651</v>
          </cell>
          <cell r="AC5282">
            <v>44616</v>
          </cell>
        </row>
        <row r="5283">
          <cell r="I5283" t="str">
            <v>EDI</v>
          </cell>
          <cell r="L5283">
            <v>1021</v>
          </cell>
          <cell r="N5283" t="str">
            <v>Production</v>
          </cell>
          <cell r="O5283" t="str">
            <v>Everything Benefits</v>
          </cell>
          <cell r="P5283" t="str">
            <v>Production</v>
          </cell>
          <cell r="Q5283" t="str">
            <v>Live</v>
          </cell>
          <cell r="R5283">
            <v>44572.823599537027</v>
          </cell>
          <cell r="S5283" t="str">
            <v>Mirna Azmy</v>
          </cell>
          <cell r="T5283">
            <v>44706</v>
          </cell>
          <cell r="U5283" t="str">
            <v>Billy Smith</v>
          </cell>
          <cell r="V5283">
            <v>44833</v>
          </cell>
          <cell r="W5283">
            <v>44839</v>
          </cell>
          <cell r="Y5283">
            <v>44700</v>
          </cell>
          <cell r="AC5283">
            <v>44843</v>
          </cell>
        </row>
        <row r="5284">
          <cell r="I5284" t="str">
            <v>EDI</v>
          </cell>
          <cell r="L5284">
            <v>362</v>
          </cell>
          <cell r="N5284" t="str">
            <v>Production</v>
          </cell>
          <cell r="O5284" t="str">
            <v>Everything Benefits</v>
          </cell>
          <cell r="P5284" t="str">
            <v>Production</v>
          </cell>
          <cell r="Q5284" t="str">
            <v>Live</v>
          </cell>
          <cell r="R5284">
            <v>44572.799317129633</v>
          </cell>
          <cell r="S5284" t="str">
            <v>Mohamed Abdelhamed</v>
          </cell>
          <cell r="T5284">
            <v>44593</v>
          </cell>
          <cell r="U5284" t="str">
            <v>Billy Smith</v>
          </cell>
          <cell r="V5284">
            <v>44600</v>
          </cell>
          <cell r="W5284">
            <v>44830</v>
          </cell>
          <cell r="AC5284">
            <v>44829</v>
          </cell>
        </row>
        <row r="5285">
          <cell r="I5285" t="str">
            <v>EDI</v>
          </cell>
          <cell r="L5285">
            <v>345</v>
          </cell>
          <cell r="N5285" t="str">
            <v>Production</v>
          </cell>
          <cell r="O5285" t="str">
            <v>Everything Benefits</v>
          </cell>
          <cell r="P5285" t="str">
            <v>Production</v>
          </cell>
          <cell r="Q5285" t="str">
            <v>Live</v>
          </cell>
          <cell r="R5285">
            <v>44572.799317129633</v>
          </cell>
          <cell r="S5285" t="str">
            <v>Mirna Azmy</v>
          </cell>
          <cell r="T5285">
            <v>44591</v>
          </cell>
          <cell r="U5285" t="str">
            <v>Billy Smith</v>
          </cell>
          <cell r="W5285">
            <v>44662</v>
          </cell>
          <cell r="AC5285">
            <v>44662</v>
          </cell>
        </row>
        <row r="5286">
          <cell r="I5286" t="str">
            <v>EDI</v>
          </cell>
          <cell r="L5286">
            <v>393</v>
          </cell>
          <cell r="N5286" t="str">
            <v>Production</v>
          </cell>
          <cell r="O5286" t="str">
            <v>No</v>
          </cell>
          <cell r="Q5286" t="str">
            <v>Live</v>
          </cell>
          <cell r="R5286">
            <v>44572.756122685183</v>
          </cell>
          <cell r="S5286" t="str">
            <v>Fady Bassel</v>
          </cell>
          <cell r="T5286">
            <v>44574</v>
          </cell>
          <cell r="U5286" t="str">
            <v>Vicky Wright</v>
          </cell>
          <cell r="V5286">
            <v>25569</v>
          </cell>
          <cell r="W5286">
            <v>44663</v>
          </cell>
          <cell r="AC5286">
            <v>44656</v>
          </cell>
        </row>
        <row r="5287">
          <cell r="I5287" t="str">
            <v>EDI</v>
          </cell>
          <cell r="L5287">
            <v>23</v>
          </cell>
          <cell r="N5287" t="str">
            <v>Production</v>
          </cell>
          <cell r="O5287" t="str">
            <v>No</v>
          </cell>
          <cell r="Q5287" t="str">
            <v>Cancelled</v>
          </cell>
          <cell r="R5287">
            <v>44572.692071759258</v>
          </cell>
          <cell r="S5287" t="str">
            <v>Dina Medhat</v>
          </cell>
          <cell r="T5287">
            <v>44572</v>
          </cell>
          <cell r="U5287" t="str">
            <v>Miranda Naeem</v>
          </cell>
          <cell r="V5287">
            <v>25569</v>
          </cell>
          <cell r="W5287">
            <v>44929</v>
          </cell>
          <cell r="AC5287">
            <v>44929</v>
          </cell>
        </row>
        <row r="5288">
          <cell r="I5288" t="str">
            <v>EDI</v>
          </cell>
          <cell r="L5288">
            <v>23</v>
          </cell>
          <cell r="N5288" t="str">
            <v>Production</v>
          </cell>
          <cell r="O5288" t="str">
            <v>No</v>
          </cell>
          <cell r="Q5288" t="str">
            <v>Cancelled</v>
          </cell>
          <cell r="R5288">
            <v>44572.691122685188</v>
          </cell>
          <cell r="S5288" t="str">
            <v>Dina Medhat</v>
          </cell>
          <cell r="T5288">
            <v>44572</v>
          </cell>
          <cell r="U5288" t="str">
            <v>Miranda Naeem</v>
          </cell>
          <cell r="V5288">
            <v>25569</v>
          </cell>
          <cell r="W5288">
            <v>44929</v>
          </cell>
          <cell r="AC5288">
            <v>44929</v>
          </cell>
        </row>
        <row r="5289">
          <cell r="I5289" t="str">
            <v>EDI</v>
          </cell>
          <cell r="L5289">
            <v>597</v>
          </cell>
          <cell r="N5289" t="str">
            <v>Production</v>
          </cell>
          <cell r="O5289" t="str">
            <v>No</v>
          </cell>
          <cell r="Q5289" t="str">
            <v>Live</v>
          </cell>
          <cell r="R5289">
            <v>44572.656666666669</v>
          </cell>
          <cell r="S5289" t="str">
            <v>Joseph Atef</v>
          </cell>
          <cell r="T5289">
            <v>44888</v>
          </cell>
          <cell r="U5289" t="str">
            <v>Denise Stubenvoll</v>
          </cell>
          <cell r="V5289">
            <v>25569</v>
          </cell>
          <cell r="W5289">
            <v>45545</v>
          </cell>
          <cell r="Y5289">
            <v>44631</v>
          </cell>
          <cell r="AC5289">
            <v>45545</v>
          </cell>
        </row>
        <row r="5290">
          <cell r="I5290" t="str">
            <v>EDI</v>
          </cell>
          <cell r="L5290">
            <v>449</v>
          </cell>
          <cell r="N5290" t="str">
            <v>Production</v>
          </cell>
          <cell r="O5290" t="str">
            <v>No</v>
          </cell>
          <cell r="Q5290" t="str">
            <v>Cancelled</v>
          </cell>
          <cell r="R5290">
            <v>44572.638680555552</v>
          </cell>
          <cell r="S5290" t="str">
            <v>Jack Salah</v>
          </cell>
          <cell r="T5290">
            <v>44581</v>
          </cell>
          <cell r="U5290" t="str">
            <v>Miranda Naeem</v>
          </cell>
          <cell r="V5290">
            <v>44636</v>
          </cell>
          <cell r="W5290">
            <v>44691</v>
          </cell>
          <cell r="AC5290">
            <v>44689</v>
          </cell>
        </row>
        <row r="5291">
          <cell r="I5291" t="str">
            <v>EDI</v>
          </cell>
          <cell r="L5291">
            <v>330</v>
          </cell>
          <cell r="N5291" t="str">
            <v>Production</v>
          </cell>
          <cell r="O5291" t="str">
            <v>No</v>
          </cell>
          <cell r="Q5291" t="str">
            <v>Cancelled</v>
          </cell>
          <cell r="R5291">
            <v>44567.728344907409</v>
          </cell>
          <cell r="S5291" t="str">
            <v>Ahmed Sami Old Account</v>
          </cell>
          <cell r="T5291">
            <v>44573</v>
          </cell>
          <cell r="U5291" t="str">
            <v>Denise Stubenvoll</v>
          </cell>
          <cell r="V5291">
            <v>44617</v>
          </cell>
          <cell r="W5291">
            <v>44817</v>
          </cell>
          <cell r="AC5291">
            <v>44805</v>
          </cell>
        </row>
        <row r="5292">
          <cell r="I5292" t="str">
            <v>EDI</v>
          </cell>
          <cell r="L5292">
            <v>396</v>
          </cell>
          <cell r="N5292" t="str">
            <v>Production</v>
          </cell>
          <cell r="O5292" t="str">
            <v>eBenefits Network</v>
          </cell>
          <cell r="P5292" t="str">
            <v>Production</v>
          </cell>
          <cell r="Q5292" t="str">
            <v>Cancelled</v>
          </cell>
          <cell r="R5292">
            <v>44566.892812500002</v>
          </cell>
          <cell r="S5292" t="str">
            <v>Fady Maged Old Account</v>
          </cell>
          <cell r="T5292">
            <v>44599</v>
          </cell>
          <cell r="U5292" t="str">
            <v>Billy Smith</v>
          </cell>
          <cell r="W5292">
            <v>44620</v>
          </cell>
          <cell r="AC5292">
            <v>44616</v>
          </cell>
        </row>
        <row r="5293">
          <cell r="I5293" t="str">
            <v>EDI</v>
          </cell>
          <cell r="L5293">
            <v>401</v>
          </cell>
          <cell r="N5293" t="str">
            <v>Production</v>
          </cell>
          <cell r="O5293" t="str">
            <v>eBenefits Network</v>
          </cell>
          <cell r="P5293" t="str">
            <v>Production</v>
          </cell>
          <cell r="Q5293" t="str">
            <v>Cancelled</v>
          </cell>
          <cell r="R5293">
            <v>44566.892812500002</v>
          </cell>
          <cell r="S5293" t="str">
            <v>Fady Maged Old Account</v>
          </cell>
          <cell r="T5293">
            <v>44600</v>
          </cell>
          <cell r="U5293" t="str">
            <v>Billy Smith</v>
          </cell>
          <cell r="V5293">
            <v>44614</v>
          </cell>
          <cell r="W5293">
            <v>44627</v>
          </cell>
          <cell r="AC5293">
            <v>44623</v>
          </cell>
        </row>
        <row r="5294">
          <cell r="I5294" t="str">
            <v>EDI</v>
          </cell>
          <cell r="L5294">
            <v>373</v>
          </cell>
          <cell r="N5294" t="str">
            <v>Production</v>
          </cell>
          <cell r="O5294" t="str">
            <v>eBenefits Network</v>
          </cell>
          <cell r="P5294" t="str">
            <v>Production</v>
          </cell>
          <cell r="Q5294" t="str">
            <v>Cancelled</v>
          </cell>
          <cell r="R5294">
            <v>44566.892800925933</v>
          </cell>
          <cell r="T5294">
            <v>44629</v>
          </cell>
          <cell r="U5294" t="str">
            <v>Billy Smith</v>
          </cell>
          <cell r="V5294">
            <v>44599</v>
          </cell>
          <cell r="W5294">
            <v>44671</v>
          </cell>
          <cell r="AC5294">
            <v>44650</v>
          </cell>
        </row>
        <row r="5295">
          <cell r="I5295" t="str">
            <v>EDI</v>
          </cell>
          <cell r="L5295">
            <v>394</v>
          </cell>
          <cell r="N5295" t="str">
            <v>Production</v>
          </cell>
          <cell r="O5295" t="str">
            <v>eBenefits Network</v>
          </cell>
          <cell r="P5295" t="str">
            <v>Production</v>
          </cell>
          <cell r="Q5295" t="str">
            <v>Live</v>
          </cell>
          <cell r="R5295">
            <v>44566.892800925933</v>
          </cell>
          <cell r="S5295" t="str">
            <v>Fady Maged Old Account</v>
          </cell>
          <cell r="T5295">
            <v>44600</v>
          </cell>
          <cell r="U5295" t="str">
            <v>Billy Smith</v>
          </cell>
          <cell r="V5295">
            <v>25569</v>
          </cell>
          <cell r="W5295">
            <v>44641</v>
          </cell>
          <cell r="AC5295">
            <v>44623</v>
          </cell>
        </row>
        <row r="5296">
          <cell r="I5296" t="str">
            <v>EDI</v>
          </cell>
          <cell r="L5296">
            <v>315</v>
          </cell>
          <cell r="N5296" t="str">
            <v>Production</v>
          </cell>
          <cell r="O5296" t="str">
            <v>eBenefits Network</v>
          </cell>
          <cell r="P5296" t="str">
            <v>Production</v>
          </cell>
          <cell r="Q5296" t="str">
            <v>Cancelled</v>
          </cell>
          <cell r="R5296">
            <v>44566.887164351851</v>
          </cell>
          <cell r="S5296" t="str">
            <v>Fady Maged Old Account</v>
          </cell>
          <cell r="T5296">
            <v>44577</v>
          </cell>
          <cell r="U5296" t="str">
            <v>Billy Smith</v>
          </cell>
          <cell r="V5296">
            <v>44578</v>
          </cell>
          <cell r="W5296">
            <v>44608</v>
          </cell>
          <cell r="AC5296">
            <v>44608</v>
          </cell>
        </row>
        <row r="5297">
          <cell r="I5297" t="str">
            <v>EDI</v>
          </cell>
          <cell r="L5297">
            <v>410</v>
          </cell>
          <cell r="N5297" t="str">
            <v>Production</v>
          </cell>
          <cell r="O5297" t="str">
            <v>eBenefits Network</v>
          </cell>
          <cell r="P5297" t="str">
            <v>Production</v>
          </cell>
          <cell r="Q5297" t="str">
            <v>Cancelled</v>
          </cell>
          <cell r="R5297">
            <v>44566.882002314807</v>
          </cell>
          <cell r="S5297" t="str">
            <v>Amira Elshora Old Account</v>
          </cell>
          <cell r="T5297">
            <v>44606</v>
          </cell>
          <cell r="U5297" t="str">
            <v>Billy Smith</v>
          </cell>
          <cell r="V5297">
            <v>44606</v>
          </cell>
          <cell r="W5297">
            <v>44620</v>
          </cell>
          <cell r="AC5297">
            <v>44616</v>
          </cell>
        </row>
        <row r="5298">
          <cell r="I5298" t="str">
            <v>EDI</v>
          </cell>
          <cell r="L5298">
            <v>381</v>
          </cell>
          <cell r="N5298" t="str">
            <v>Production</v>
          </cell>
          <cell r="O5298" t="str">
            <v>eBenefits Network</v>
          </cell>
          <cell r="P5298" t="str">
            <v>Production</v>
          </cell>
          <cell r="Q5298" t="str">
            <v>Cancelled</v>
          </cell>
          <cell r="R5298">
            <v>44566.882002314807</v>
          </cell>
          <cell r="S5298" t="str">
            <v>Amira Elshora Old Account</v>
          </cell>
          <cell r="T5298">
            <v>44600</v>
          </cell>
          <cell r="U5298" t="str">
            <v>Billy Smith</v>
          </cell>
          <cell r="V5298">
            <v>44602</v>
          </cell>
          <cell r="W5298">
            <v>44627</v>
          </cell>
          <cell r="AC5298">
            <v>44627</v>
          </cell>
        </row>
        <row r="5299">
          <cell r="I5299" t="str">
            <v>EDI</v>
          </cell>
          <cell r="L5299">
            <v>452</v>
          </cell>
          <cell r="N5299" t="str">
            <v>Production</v>
          </cell>
          <cell r="O5299" t="str">
            <v>eBenefits Network</v>
          </cell>
          <cell r="P5299" t="str">
            <v>Production</v>
          </cell>
          <cell r="Q5299" t="str">
            <v>Cancelled</v>
          </cell>
          <cell r="R5299">
            <v>44566.877627314818</v>
          </cell>
          <cell r="S5299" t="str">
            <v>Fady Maged Old Account</v>
          </cell>
          <cell r="T5299">
            <v>44614</v>
          </cell>
          <cell r="U5299" t="str">
            <v>Billy Smith</v>
          </cell>
          <cell r="V5299">
            <v>44614</v>
          </cell>
          <cell r="W5299">
            <v>44725</v>
          </cell>
          <cell r="AC5299">
            <v>44718</v>
          </cell>
        </row>
        <row r="5300">
          <cell r="I5300" t="str">
            <v>EDI</v>
          </cell>
          <cell r="L5300">
            <v>298</v>
          </cell>
          <cell r="N5300" t="str">
            <v>Production</v>
          </cell>
          <cell r="O5300" t="str">
            <v>eBenefits Network</v>
          </cell>
          <cell r="P5300" t="str">
            <v>Production</v>
          </cell>
          <cell r="Q5300" t="str">
            <v>Cancelled</v>
          </cell>
          <cell r="R5300">
            <v>44566.877615740741</v>
          </cell>
          <cell r="S5300" t="str">
            <v>Amira Elshora Old Account</v>
          </cell>
          <cell r="T5300">
            <v>44577</v>
          </cell>
          <cell r="U5300" t="str">
            <v>Billy Smith</v>
          </cell>
          <cell r="V5300">
            <v>44577</v>
          </cell>
          <cell r="W5300">
            <v>44593</v>
          </cell>
        </row>
        <row r="5301">
          <cell r="I5301" t="str">
            <v>EDI</v>
          </cell>
          <cell r="L5301">
            <v>342</v>
          </cell>
          <cell r="N5301" t="str">
            <v>Production</v>
          </cell>
          <cell r="O5301" t="str">
            <v>eBenefits Network</v>
          </cell>
          <cell r="P5301" t="str">
            <v>Production</v>
          </cell>
          <cell r="Q5301" t="str">
            <v>Cancelled</v>
          </cell>
          <cell r="R5301">
            <v>44566.877615740741</v>
          </cell>
          <cell r="S5301" t="str">
            <v>Fady Maged Old Account</v>
          </cell>
          <cell r="T5301">
            <v>44587</v>
          </cell>
          <cell r="U5301" t="str">
            <v>Billy Smith</v>
          </cell>
          <cell r="V5301">
            <v>44590</v>
          </cell>
          <cell r="W5301">
            <v>44608</v>
          </cell>
          <cell r="AC5301">
            <v>44608</v>
          </cell>
        </row>
        <row r="5302">
          <cell r="I5302" t="str">
            <v>EDI</v>
          </cell>
          <cell r="L5302">
            <v>321</v>
          </cell>
          <cell r="N5302" t="str">
            <v>Production</v>
          </cell>
          <cell r="O5302" t="str">
            <v>eBenefits Network</v>
          </cell>
          <cell r="P5302" t="str">
            <v>Production</v>
          </cell>
          <cell r="Q5302" t="str">
            <v>Cancelled</v>
          </cell>
          <cell r="R5302">
            <v>44566.877615740741</v>
          </cell>
          <cell r="S5302" t="str">
            <v>Amira Elshora Old Account</v>
          </cell>
          <cell r="T5302">
            <v>44581</v>
          </cell>
          <cell r="U5302" t="str">
            <v>Billy Smith</v>
          </cell>
          <cell r="V5302">
            <v>44581</v>
          </cell>
          <cell r="W5302">
            <v>44599</v>
          </cell>
        </row>
        <row r="5303">
          <cell r="I5303" t="str">
            <v>EDI</v>
          </cell>
          <cell r="L5303">
            <v>514</v>
          </cell>
          <cell r="N5303" t="str">
            <v>Production</v>
          </cell>
          <cell r="O5303" t="str">
            <v>eBenefits Network</v>
          </cell>
          <cell r="P5303" t="str">
            <v>Production</v>
          </cell>
          <cell r="Q5303" t="str">
            <v>Cancelled</v>
          </cell>
          <cell r="R5303">
            <v>44566.873738425929</v>
          </cell>
          <cell r="S5303" t="str">
            <v>Amira Elshora Old Account</v>
          </cell>
          <cell r="T5303">
            <v>44621</v>
          </cell>
          <cell r="U5303" t="str">
            <v>Billy Smith</v>
          </cell>
          <cell r="V5303">
            <v>44623</v>
          </cell>
          <cell r="W5303">
            <v>44753</v>
          </cell>
          <cell r="AC5303">
            <v>44750</v>
          </cell>
        </row>
        <row r="5304">
          <cell r="I5304" t="str">
            <v>EDI</v>
          </cell>
          <cell r="L5304">
            <v>344</v>
          </cell>
          <cell r="N5304" t="str">
            <v>Production</v>
          </cell>
          <cell r="O5304" t="str">
            <v>eBenefits Network</v>
          </cell>
          <cell r="P5304" t="str">
            <v>Production</v>
          </cell>
          <cell r="Q5304" t="str">
            <v>Cancelled</v>
          </cell>
          <cell r="R5304">
            <v>44566.873738425929</v>
          </cell>
          <cell r="S5304" t="str">
            <v>Amira Elshora Old Account</v>
          </cell>
          <cell r="T5304">
            <v>44587</v>
          </cell>
          <cell r="U5304" t="str">
            <v>Billy Smith</v>
          </cell>
          <cell r="V5304">
            <v>44591</v>
          </cell>
          <cell r="W5304">
            <v>44631</v>
          </cell>
          <cell r="AC5304">
            <v>44630</v>
          </cell>
        </row>
        <row r="5305">
          <cell r="I5305" t="str">
            <v>EDI</v>
          </cell>
          <cell r="L5305">
            <v>377</v>
          </cell>
          <cell r="N5305" t="str">
            <v>Production</v>
          </cell>
          <cell r="O5305" t="str">
            <v>eBenefits Network</v>
          </cell>
          <cell r="P5305" t="str">
            <v>Production</v>
          </cell>
          <cell r="Q5305" t="str">
            <v>Live</v>
          </cell>
          <cell r="R5305">
            <v>44566.871238425927</v>
          </cell>
          <cell r="S5305" t="str">
            <v>Amira Elshora Old Account</v>
          </cell>
          <cell r="T5305">
            <v>44600</v>
          </cell>
          <cell r="U5305" t="str">
            <v>Billy Smith</v>
          </cell>
          <cell r="V5305">
            <v>44601</v>
          </cell>
          <cell r="W5305">
            <v>25569</v>
          </cell>
          <cell r="AC5305">
            <v>44627</v>
          </cell>
        </row>
        <row r="5306">
          <cell r="I5306" t="str">
            <v>EDI</v>
          </cell>
          <cell r="L5306">
            <v>310</v>
          </cell>
          <cell r="N5306" t="str">
            <v>Production</v>
          </cell>
          <cell r="O5306" t="str">
            <v>eBenefits Network</v>
          </cell>
          <cell r="P5306" t="str">
            <v>Production</v>
          </cell>
          <cell r="Q5306" t="str">
            <v>Cancelled</v>
          </cell>
          <cell r="R5306">
            <v>44566.868159722217</v>
          </cell>
          <cell r="S5306" t="str">
            <v>Fady Maged Old Account</v>
          </cell>
          <cell r="T5306">
            <v>44577</v>
          </cell>
          <cell r="U5306" t="str">
            <v>Billy Smith</v>
          </cell>
          <cell r="V5306">
            <v>44620</v>
          </cell>
          <cell r="W5306">
            <v>44648</v>
          </cell>
          <cell r="AC5306">
            <v>44648</v>
          </cell>
        </row>
        <row r="5307">
          <cell r="I5307" t="str">
            <v>EDI</v>
          </cell>
          <cell r="L5307">
            <v>322</v>
          </cell>
          <cell r="N5307" t="str">
            <v>Production</v>
          </cell>
          <cell r="O5307" t="str">
            <v>eBenefits Network</v>
          </cell>
          <cell r="P5307" t="str">
            <v>Production</v>
          </cell>
          <cell r="Q5307" t="str">
            <v>Live</v>
          </cell>
          <cell r="R5307">
            <v>44566.866122685176</v>
          </cell>
          <cell r="S5307" t="str">
            <v>Amira Elshora Old Account</v>
          </cell>
          <cell r="T5307">
            <v>44581</v>
          </cell>
          <cell r="U5307" t="str">
            <v>Billy Smith</v>
          </cell>
          <cell r="V5307">
            <v>44581</v>
          </cell>
          <cell r="W5307">
            <v>44606</v>
          </cell>
          <cell r="AC5307">
            <v>44601</v>
          </cell>
        </row>
        <row r="5308">
          <cell r="I5308" t="str">
            <v>EDI</v>
          </cell>
          <cell r="L5308">
            <v>397</v>
          </cell>
          <cell r="N5308" t="str">
            <v>Production</v>
          </cell>
          <cell r="O5308" t="str">
            <v>eBenefits Network</v>
          </cell>
          <cell r="P5308" t="str">
            <v>Production</v>
          </cell>
          <cell r="Q5308" t="str">
            <v>Live</v>
          </cell>
          <cell r="R5308">
            <v>44566.866122685176</v>
          </cell>
          <cell r="S5308" t="str">
            <v>Fady Maged Old Account</v>
          </cell>
          <cell r="T5308">
            <v>44600</v>
          </cell>
          <cell r="U5308" t="str">
            <v>Billy Smith</v>
          </cell>
          <cell r="V5308">
            <v>44605</v>
          </cell>
          <cell r="W5308">
            <v>44753</v>
          </cell>
          <cell r="AC5308">
            <v>44750</v>
          </cell>
        </row>
        <row r="5309">
          <cell r="I5309" t="str">
            <v>EDI</v>
          </cell>
          <cell r="L5309">
            <v>408</v>
          </cell>
          <cell r="N5309" t="str">
            <v>Production</v>
          </cell>
          <cell r="O5309" t="str">
            <v>eBenefits Network</v>
          </cell>
          <cell r="P5309" t="str">
            <v>Production</v>
          </cell>
          <cell r="Q5309" t="str">
            <v>Cancelled</v>
          </cell>
          <cell r="R5309">
            <v>44566.857025462959</v>
          </cell>
          <cell r="S5309" t="str">
            <v>Amira Elshora Old Account</v>
          </cell>
          <cell r="T5309">
            <v>44606</v>
          </cell>
          <cell r="U5309" t="str">
            <v>Billy Smith</v>
          </cell>
          <cell r="V5309">
            <v>44606</v>
          </cell>
          <cell r="W5309">
            <v>44706</v>
          </cell>
          <cell r="AC5309">
            <v>44703</v>
          </cell>
        </row>
        <row r="5310">
          <cell r="I5310" t="str">
            <v>EDI</v>
          </cell>
          <cell r="L5310">
            <v>404</v>
          </cell>
          <cell r="N5310" t="str">
            <v>Production</v>
          </cell>
          <cell r="O5310" t="str">
            <v>eBenefits Network</v>
          </cell>
          <cell r="P5310" t="str">
            <v>Production</v>
          </cell>
          <cell r="Q5310" t="str">
            <v>Cancelled</v>
          </cell>
          <cell r="R5310">
            <v>44566.857025462959</v>
          </cell>
          <cell r="S5310" t="str">
            <v>Amira Elshora Old Account</v>
          </cell>
          <cell r="T5310">
            <v>44606</v>
          </cell>
          <cell r="U5310" t="str">
            <v>Billy Smith</v>
          </cell>
          <cell r="V5310">
            <v>44606</v>
          </cell>
          <cell r="W5310">
            <v>44620</v>
          </cell>
          <cell r="AC5310">
            <v>44616</v>
          </cell>
        </row>
        <row r="5311">
          <cell r="I5311" t="str">
            <v>EDI</v>
          </cell>
          <cell r="L5311">
            <v>309</v>
          </cell>
          <cell r="N5311" t="str">
            <v>Production</v>
          </cell>
          <cell r="O5311" t="str">
            <v>eBenefits Network</v>
          </cell>
          <cell r="P5311" t="str">
            <v>Production</v>
          </cell>
          <cell r="Q5311" t="str">
            <v>Cancelled</v>
          </cell>
          <cell r="R5311">
            <v>44566.857025462959</v>
          </cell>
          <cell r="S5311" t="str">
            <v>Fady Maged Old Account</v>
          </cell>
          <cell r="T5311">
            <v>44577</v>
          </cell>
          <cell r="U5311" t="str">
            <v>Billy Smith</v>
          </cell>
          <cell r="W5311">
            <v>44599</v>
          </cell>
        </row>
        <row r="5312">
          <cell r="I5312" t="str">
            <v>EDI</v>
          </cell>
          <cell r="L5312">
            <v>403</v>
          </cell>
          <cell r="N5312" t="str">
            <v>Production</v>
          </cell>
          <cell r="O5312" t="str">
            <v>eBenefits Network</v>
          </cell>
          <cell r="P5312" t="str">
            <v>Production</v>
          </cell>
          <cell r="Q5312" t="str">
            <v>Live</v>
          </cell>
          <cell r="R5312">
            <v>44566.854178240741</v>
          </cell>
          <cell r="S5312" t="str">
            <v>Fady Maged Old Account</v>
          </cell>
          <cell r="T5312">
            <v>44606</v>
          </cell>
          <cell r="U5312" t="str">
            <v>Billy Smith</v>
          </cell>
          <cell r="V5312">
            <v>44606</v>
          </cell>
          <cell r="W5312">
            <v>44825</v>
          </cell>
          <cell r="AC5312">
            <v>44822</v>
          </cell>
        </row>
        <row r="5313">
          <cell r="I5313" t="str">
            <v>EDI</v>
          </cell>
          <cell r="L5313">
            <v>341</v>
          </cell>
          <cell r="N5313" t="str">
            <v>Production</v>
          </cell>
          <cell r="O5313" t="str">
            <v>eBenefits Network</v>
          </cell>
          <cell r="P5313" t="str">
            <v>Production</v>
          </cell>
          <cell r="Q5313" t="str">
            <v>Live</v>
          </cell>
          <cell r="R5313">
            <v>44566.854166666657</v>
          </cell>
          <cell r="S5313" t="str">
            <v>Fady Maged Old Account</v>
          </cell>
          <cell r="T5313">
            <v>44588</v>
          </cell>
          <cell r="U5313" t="str">
            <v>Billy Smith</v>
          </cell>
          <cell r="V5313">
            <v>44589</v>
          </cell>
          <cell r="W5313">
            <v>44613</v>
          </cell>
          <cell r="AC5313">
            <v>44608</v>
          </cell>
        </row>
        <row r="5314">
          <cell r="I5314" t="str">
            <v>EDI</v>
          </cell>
          <cell r="L5314">
            <v>476</v>
          </cell>
          <cell r="N5314" t="str">
            <v>Production</v>
          </cell>
          <cell r="O5314" t="str">
            <v>eBenefits Network</v>
          </cell>
          <cell r="P5314" t="str">
            <v>Production</v>
          </cell>
          <cell r="Q5314" t="str">
            <v>Live</v>
          </cell>
          <cell r="R5314">
            <v>44566.846307870372</v>
          </cell>
          <cell r="S5314" t="str">
            <v>Fady Maged Old Account</v>
          </cell>
          <cell r="T5314">
            <v>44614</v>
          </cell>
          <cell r="U5314" t="str">
            <v>Billy Smith</v>
          </cell>
          <cell r="V5314">
            <v>44616</v>
          </cell>
          <cell r="W5314">
            <v>25569</v>
          </cell>
          <cell r="AC5314">
            <v>44808</v>
          </cell>
        </row>
        <row r="5315">
          <cell r="I5315" t="str">
            <v>EDI</v>
          </cell>
          <cell r="L5315">
            <v>343</v>
          </cell>
          <cell r="N5315" t="str">
            <v>Production</v>
          </cell>
          <cell r="O5315" t="str">
            <v>eBenefits Network</v>
          </cell>
          <cell r="P5315" t="str">
            <v>Production</v>
          </cell>
          <cell r="Q5315" t="str">
            <v>Cancelled</v>
          </cell>
          <cell r="R5315">
            <v>44566.846307870372</v>
          </cell>
          <cell r="S5315" t="str">
            <v>Amira Elshora Old Account</v>
          </cell>
          <cell r="T5315">
            <v>44599</v>
          </cell>
          <cell r="U5315" t="str">
            <v>Billy Smith</v>
          </cell>
          <cell r="V5315">
            <v>44600</v>
          </cell>
          <cell r="W5315">
            <v>44627</v>
          </cell>
          <cell r="AC5315">
            <v>44623</v>
          </cell>
        </row>
        <row r="5316">
          <cell r="I5316" t="str">
            <v>EDI</v>
          </cell>
          <cell r="L5316">
            <v>407</v>
          </cell>
          <cell r="N5316" t="str">
            <v>Production</v>
          </cell>
          <cell r="O5316" t="str">
            <v>eBenefits Network</v>
          </cell>
          <cell r="P5316" t="str">
            <v>Production</v>
          </cell>
          <cell r="Q5316" t="str">
            <v>Cancelled</v>
          </cell>
          <cell r="R5316">
            <v>44566.846296296288</v>
          </cell>
          <cell r="S5316" t="str">
            <v>Fady Maged Old Account</v>
          </cell>
          <cell r="T5316">
            <v>44606</v>
          </cell>
          <cell r="U5316" t="str">
            <v>Billy Smith</v>
          </cell>
          <cell r="V5316">
            <v>44606</v>
          </cell>
          <cell r="W5316">
            <v>44655</v>
          </cell>
          <cell r="AC5316">
            <v>44654</v>
          </cell>
        </row>
        <row r="5317">
          <cell r="I5317" t="str">
            <v>EDI</v>
          </cell>
          <cell r="L5317">
            <v>409</v>
          </cell>
          <cell r="N5317" t="str">
            <v>Production</v>
          </cell>
          <cell r="O5317" t="str">
            <v>eBenefits Network</v>
          </cell>
          <cell r="P5317" t="str">
            <v>Production</v>
          </cell>
          <cell r="Q5317" t="str">
            <v>Cancelled</v>
          </cell>
          <cell r="R5317">
            <v>44566.846296296288</v>
          </cell>
          <cell r="S5317" t="str">
            <v>Fady Maged Old Account</v>
          </cell>
          <cell r="T5317">
            <v>44606</v>
          </cell>
          <cell r="U5317" t="str">
            <v>Billy Smith</v>
          </cell>
          <cell r="V5317">
            <v>44606</v>
          </cell>
          <cell r="W5317">
            <v>44620</v>
          </cell>
          <cell r="AC5317">
            <v>44620</v>
          </cell>
        </row>
        <row r="5318">
          <cell r="I5318" t="str">
            <v>EDI</v>
          </cell>
          <cell r="L5318">
            <v>324</v>
          </cell>
          <cell r="N5318" t="str">
            <v>Production</v>
          </cell>
          <cell r="O5318" t="str">
            <v>eBenefits Network</v>
          </cell>
          <cell r="P5318" t="str">
            <v>Production</v>
          </cell>
          <cell r="Q5318" t="str">
            <v>Live</v>
          </cell>
          <cell r="R5318">
            <v>44566.846296296288</v>
          </cell>
          <cell r="S5318" t="str">
            <v>Amira Elshora Old Account</v>
          </cell>
          <cell r="T5318">
            <v>44581</v>
          </cell>
          <cell r="U5318" t="str">
            <v>Billy Smith</v>
          </cell>
          <cell r="V5318">
            <v>44584</v>
          </cell>
          <cell r="W5318">
            <v>25569</v>
          </cell>
        </row>
        <row r="5319">
          <cell r="I5319" t="str">
            <v>EDI</v>
          </cell>
          <cell r="L5319">
            <v>371</v>
          </cell>
          <cell r="N5319" t="str">
            <v>Production</v>
          </cell>
          <cell r="O5319" t="str">
            <v>eBenefits Network</v>
          </cell>
          <cell r="P5319" t="str">
            <v>Production</v>
          </cell>
          <cell r="Q5319" t="str">
            <v>Cancelled</v>
          </cell>
          <cell r="R5319">
            <v>44566.846284722233</v>
          </cell>
          <cell r="S5319" t="str">
            <v>Amira Elshora Old Account</v>
          </cell>
          <cell r="T5319">
            <v>44599</v>
          </cell>
          <cell r="U5319" t="str">
            <v>Billy Smith</v>
          </cell>
          <cell r="V5319">
            <v>44599</v>
          </cell>
          <cell r="W5319">
            <v>44761</v>
          </cell>
          <cell r="AC5319">
            <v>44761</v>
          </cell>
        </row>
        <row r="5320">
          <cell r="I5320" t="str">
            <v>EDI</v>
          </cell>
          <cell r="L5320">
            <v>577</v>
          </cell>
          <cell r="N5320" t="str">
            <v>Production</v>
          </cell>
          <cell r="O5320" t="str">
            <v>No</v>
          </cell>
          <cell r="Q5320" t="str">
            <v>Cancelled</v>
          </cell>
          <cell r="R5320">
            <v>44566.835775462961</v>
          </cell>
          <cell r="S5320" t="str">
            <v>Haytham Mohamed</v>
          </cell>
          <cell r="T5320">
            <v>44634</v>
          </cell>
          <cell r="U5320" t="str">
            <v>Vicky Wright</v>
          </cell>
          <cell r="V5320">
            <v>44637</v>
          </cell>
          <cell r="W5320">
            <v>44734</v>
          </cell>
          <cell r="Y5320">
            <v>44633</v>
          </cell>
          <cell r="AC5320">
            <v>44727</v>
          </cell>
        </row>
        <row r="5321">
          <cell r="I5321" t="str">
            <v>EDI</v>
          </cell>
          <cell r="L5321">
            <v>388</v>
          </cell>
          <cell r="N5321" t="str">
            <v>Production</v>
          </cell>
          <cell r="O5321" t="str">
            <v>No</v>
          </cell>
          <cell r="Q5321" t="str">
            <v>Cancelled</v>
          </cell>
          <cell r="R5321">
            <v>44566.835775462961</v>
          </cell>
          <cell r="S5321" t="str">
            <v>Joseph Atef Old Account</v>
          </cell>
          <cell r="T5321">
            <v>44587</v>
          </cell>
          <cell r="U5321" t="str">
            <v>Vicky Wright</v>
          </cell>
          <cell r="V5321">
            <v>44655</v>
          </cell>
          <cell r="W5321">
            <v>44710</v>
          </cell>
          <cell r="AC5321">
            <v>44706</v>
          </cell>
        </row>
        <row r="5322">
          <cell r="I5322" t="str">
            <v>EDI</v>
          </cell>
          <cell r="L5322">
            <v>274</v>
          </cell>
          <cell r="N5322" t="str">
            <v>Production</v>
          </cell>
          <cell r="O5322" t="str">
            <v>No</v>
          </cell>
          <cell r="Q5322" t="str">
            <v>Cancelled</v>
          </cell>
          <cell r="R5322">
            <v>44566.690636574072</v>
          </cell>
          <cell r="S5322" t="str">
            <v>Mina George Old Account</v>
          </cell>
          <cell r="T5322">
            <v>44566</v>
          </cell>
          <cell r="U5322" t="str">
            <v>Vicky Wright</v>
          </cell>
          <cell r="V5322">
            <v>25569</v>
          </cell>
          <cell r="W5322">
            <v>44708</v>
          </cell>
          <cell r="AC5322">
            <v>44701</v>
          </cell>
        </row>
        <row r="5323">
          <cell r="I5323" t="str">
            <v>EDI</v>
          </cell>
          <cell r="L5323">
            <v>273</v>
          </cell>
          <cell r="N5323" t="str">
            <v>Production</v>
          </cell>
          <cell r="O5323" t="str">
            <v>No</v>
          </cell>
          <cell r="Q5323" t="str">
            <v>Cancelled</v>
          </cell>
          <cell r="R5323">
            <v>44566.689710648148</v>
          </cell>
          <cell r="S5323" t="str">
            <v>Mina George Old Account</v>
          </cell>
          <cell r="T5323">
            <v>44566</v>
          </cell>
          <cell r="U5323" t="str">
            <v>Vicky Wright</v>
          </cell>
          <cell r="V5323">
            <v>44571</v>
          </cell>
          <cell r="W5323">
            <v>44649</v>
          </cell>
          <cell r="AC5323">
            <v>44643</v>
          </cell>
        </row>
        <row r="5324">
          <cell r="I5324" t="str">
            <v>EDI</v>
          </cell>
          <cell r="L5324">
            <v>308</v>
          </cell>
          <cell r="N5324" t="str">
            <v>Production</v>
          </cell>
          <cell r="O5324" t="str">
            <v>No</v>
          </cell>
          <cell r="Q5324" t="str">
            <v>Cancelled</v>
          </cell>
          <cell r="R5324">
            <v>44566.618472222217</v>
          </cell>
          <cell r="S5324" t="str">
            <v>Omnia Abdelaziz Old Account</v>
          </cell>
          <cell r="T5324">
            <v>44573</v>
          </cell>
          <cell r="U5324" t="str">
            <v>Vicky Wright</v>
          </cell>
          <cell r="V5324">
            <v>44616</v>
          </cell>
          <cell r="W5324">
            <v>44671</v>
          </cell>
          <cell r="AC5324">
            <v>44657</v>
          </cell>
        </row>
        <row r="5325">
          <cell r="I5325" t="str">
            <v>EDI</v>
          </cell>
          <cell r="L5325">
            <v>375</v>
          </cell>
          <cell r="N5325" t="str">
            <v>Production</v>
          </cell>
          <cell r="O5325" t="str">
            <v>No</v>
          </cell>
          <cell r="Q5325" t="str">
            <v>Live</v>
          </cell>
          <cell r="R5325">
            <v>44565.780868055554</v>
          </cell>
          <cell r="S5325" t="str">
            <v>Fady Bassel</v>
          </cell>
          <cell r="T5325">
            <v>44584</v>
          </cell>
          <cell r="U5325" t="str">
            <v>Vicky Wright</v>
          </cell>
          <cell r="V5325">
            <v>44614</v>
          </cell>
          <cell r="W5325">
            <v>44621</v>
          </cell>
          <cell r="AC5325">
            <v>44622</v>
          </cell>
        </row>
        <row r="5326">
          <cell r="I5326" t="str">
            <v>EDI</v>
          </cell>
          <cell r="L5326">
            <v>284</v>
          </cell>
          <cell r="N5326" t="str">
            <v>Production</v>
          </cell>
          <cell r="O5326" t="str">
            <v>No</v>
          </cell>
          <cell r="Q5326" t="str">
            <v>Cancelled</v>
          </cell>
          <cell r="R5326">
            <v>44565.661828703713</v>
          </cell>
          <cell r="S5326" t="str">
            <v>Fady Bassel</v>
          </cell>
          <cell r="T5326">
            <v>44572</v>
          </cell>
          <cell r="U5326" t="str">
            <v>Vicky Wright</v>
          </cell>
          <cell r="V5326">
            <v>44607</v>
          </cell>
          <cell r="W5326">
            <v>44621</v>
          </cell>
          <cell r="AC5326">
            <v>44619</v>
          </cell>
        </row>
        <row r="5327">
          <cell r="I5327" t="str">
            <v>EDI</v>
          </cell>
          <cell r="L5327">
            <v>317</v>
          </cell>
          <cell r="N5327" t="str">
            <v>Production</v>
          </cell>
          <cell r="O5327" t="str">
            <v>eBenefits Network</v>
          </cell>
          <cell r="P5327" t="str">
            <v>Production</v>
          </cell>
          <cell r="Q5327" t="str">
            <v>Live</v>
          </cell>
          <cell r="R5327">
            <v>44564.870659722219</v>
          </cell>
          <cell r="S5327" t="str">
            <v>Fady Maged Old Account</v>
          </cell>
          <cell r="T5327">
            <v>44577</v>
          </cell>
          <cell r="U5327" t="str">
            <v>Billy Smith</v>
          </cell>
          <cell r="V5327">
            <v>44579</v>
          </cell>
          <cell r="W5327">
            <v>44652</v>
          </cell>
          <cell r="AC5327">
            <v>44651</v>
          </cell>
        </row>
        <row r="5328">
          <cell r="I5328" t="str">
            <v>EDI</v>
          </cell>
          <cell r="L5328">
            <v>299</v>
          </cell>
          <cell r="N5328" t="str">
            <v>Production</v>
          </cell>
          <cell r="O5328" t="str">
            <v>eBenefits Network</v>
          </cell>
          <cell r="P5328" t="str">
            <v>Production</v>
          </cell>
          <cell r="Q5328" t="str">
            <v>Live</v>
          </cell>
          <cell r="R5328">
            <v>44564.870659722219</v>
          </cell>
          <cell r="S5328" t="str">
            <v>Amira Elshora Old Account</v>
          </cell>
          <cell r="T5328">
            <v>44577</v>
          </cell>
          <cell r="U5328" t="str">
            <v>Billy Smith</v>
          </cell>
          <cell r="V5328">
            <v>44579</v>
          </cell>
          <cell r="W5328">
            <v>44630</v>
          </cell>
          <cell r="AC5328">
            <v>44629</v>
          </cell>
        </row>
        <row r="5329">
          <cell r="I5329" t="str">
            <v>EDI</v>
          </cell>
          <cell r="L5329">
            <v>474</v>
          </cell>
          <cell r="N5329" t="str">
            <v>Production</v>
          </cell>
          <cell r="O5329" t="str">
            <v>eBenefits Network</v>
          </cell>
          <cell r="P5329" t="str">
            <v>Production</v>
          </cell>
          <cell r="Q5329" t="str">
            <v>Cancelled</v>
          </cell>
          <cell r="R5329">
            <v>44564.859270833331</v>
          </cell>
          <cell r="S5329" t="str">
            <v>Amira Elshora Old Account</v>
          </cell>
          <cell r="T5329">
            <v>44614</v>
          </cell>
          <cell r="U5329" t="str">
            <v>Billy Smith</v>
          </cell>
          <cell r="V5329">
            <v>44616</v>
          </cell>
          <cell r="W5329">
            <v>44652</v>
          </cell>
          <cell r="AC5329">
            <v>44649</v>
          </cell>
        </row>
        <row r="5330">
          <cell r="I5330" t="str">
            <v>EDI</v>
          </cell>
          <cell r="L5330">
            <v>372</v>
          </cell>
          <cell r="N5330" t="str">
            <v>Production</v>
          </cell>
          <cell r="O5330" t="str">
            <v>eBenefits Network</v>
          </cell>
          <cell r="P5330" t="str">
            <v>Production</v>
          </cell>
          <cell r="Q5330" t="str">
            <v>Live</v>
          </cell>
          <cell r="R5330">
            <v>44564.859270833331</v>
          </cell>
          <cell r="S5330" t="str">
            <v>Fady Maged Old Account</v>
          </cell>
          <cell r="T5330">
            <v>44599</v>
          </cell>
          <cell r="U5330" t="str">
            <v>Billy Smith</v>
          </cell>
          <cell r="V5330">
            <v>44599</v>
          </cell>
          <cell r="W5330">
            <v>44656</v>
          </cell>
          <cell r="AC5330">
            <v>44648</v>
          </cell>
        </row>
        <row r="5331">
          <cell r="I5331" t="str">
            <v>EDI</v>
          </cell>
          <cell r="L5331">
            <v>303</v>
          </cell>
          <cell r="N5331" t="str">
            <v>Production</v>
          </cell>
          <cell r="O5331" t="str">
            <v>eBenefits Network</v>
          </cell>
          <cell r="P5331" t="str">
            <v>Production</v>
          </cell>
          <cell r="Q5331" t="str">
            <v>Cancelled</v>
          </cell>
          <cell r="R5331">
            <v>44564.845324074071</v>
          </cell>
          <cell r="S5331" t="str">
            <v>Amira Elshora Old Account</v>
          </cell>
          <cell r="T5331">
            <v>44577</v>
          </cell>
          <cell r="U5331" t="str">
            <v>Billy Smith</v>
          </cell>
          <cell r="V5331">
            <v>44577</v>
          </cell>
          <cell r="W5331">
            <v>44593</v>
          </cell>
        </row>
        <row r="5332">
          <cell r="I5332" t="str">
            <v>EDI</v>
          </cell>
          <cell r="L5332">
            <v>367</v>
          </cell>
          <cell r="N5332" t="str">
            <v>Testing</v>
          </cell>
          <cell r="O5332" t="str">
            <v>No</v>
          </cell>
          <cell r="Q5332" t="str">
            <v>Cancelled</v>
          </cell>
          <cell r="R5332">
            <v>44564.811921296299</v>
          </cell>
          <cell r="S5332" t="str">
            <v>Jack Salah</v>
          </cell>
          <cell r="T5332">
            <v>44588</v>
          </cell>
          <cell r="U5332" t="str">
            <v>Vicky Wright</v>
          </cell>
          <cell r="V5332">
            <v>25569</v>
          </cell>
        </row>
        <row r="5333">
          <cell r="I5333" t="str">
            <v>EDI</v>
          </cell>
          <cell r="N5333" t="str">
            <v>Production</v>
          </cell>
          <cell r="O5333" t="str">
            <v>No</v>
          </cell>
          <cell r="Q5333" t="str">
            <v>Cancelled</v>
          </cell>
          <cell r="R5333">
            <v>44564.805358796293</v>
          </cell>
          <cell r="S5333" t="str">
            <v>Dina Medhat</v>
          </cell>
          <cell r="T5333">
            <v>44565</v>
          </cell>
          <cell r="U5333" t="str">
            <v>Elizabeth Kahle</v>
          </cell>
        </row>
        <row r="5334">
          <cell r="I5334" t="str">
            <v>EDI</v>
          </cell>
          <cell r="N5334" t="str">
            <v>Production</v>
          </cell>
          <cell r="O5334" t="str">
            <v>No</v>
          </cell>
          <cell r="Q5334" t="str">
            <v>Cancelled</v>
          </cell>
          <cell r="R5334">
            <v>44564.804456018523</v>
          </cell>
          <cell r="S5334" t="str">
            <v>Dina Medhat</v>
          </cell>
          <cell r="T5334">
            <v>44565</v>
          </cell>
          <cell r="U5334" t="str">
            <v>Elizabeth Kahle</v>
          </cell>
        </row>
        <row r="5335">
          <cell r="I5335" t="str">
            <v>EDI</v>
          </cell>
          <cell r="L5335">
            <v>352</v>
          </cell>
          <cell r="N5335" t="str">
            <v>Production</v>
          </cell>
          <cell r="O5335" t="str">
            <v>No</v>
          </cell>
          <cell r="Q5335" t="str">
            <v>Cancelled</v>
          </cell>
          <cell r="R5335">
            <v>44564.724849537037</v>
          </cell>
          <cell r="S5335" t="str">
            <v>Ahmed Sami Old Account</v>
          </cell>
          <cell r="T5335">
            <v>44586</v>
          </cell>
          <cell r="U5335" t="str">
            <v>Vicky Wright</v>
          </cell>
          <cell r="V5335">
            <v>44606</v>
          </cell>
          <cell r="W5335">
            <v>44649</v>
          </cell>
          <cell r="AC5335">
            <v>44644</v>
          </cell>
        </row>
        <row r="5336">
          <cell r="I5336" t="str">
            <v>EDI</v>
          </cell>
          <cell r="L5336">
            <v>351</v>
          </cell>
          <cell r="N5336" t="str">
            <v>Production</v>
          </cell>
          <cell r="O5336" t="str">
            <v>No</v>
          </cell>
          <cell r="Q5336" t="str">
            <v>Live</v>
          </cell>
          <cell r="R5336">
            <v>44564.724849537037</v>
          </cell>
          <cell r="S5336" t="str">
            <v>Omar Elmahalwy Old Account</v>
          </cell>
          <cell r="T5336">
            <v>44588</v>
          </cell>
          <cell r="U5336" t="str">
            <v>Vicky Wright</v>
          </cell>
          <cell r="V5336">
            <v>44617</v>
          </cell>
          <cell r="W5336">
            <v>44677</v>
          </cell>
          <cell r="AC5336">
            <v>44665</v>
          </cell>
        </row>
        <row r="5337">
          <cell r="I5337" t="str">
            <v>EDI</v>
          </cell>
          <cell r="L5337">
            <v>323</v>
          </cell>
          <cell r="N5337" t="str">
            <v>Production</v>
          </cell>
          <cell r="O5337" t="str">
            <v>No</v>
          </cell>
          <cell r="Q5337" t="str">
            <v>Live</v>
          </cell>
          <cell r="R5337">
            <v>44564.724849537037</v>
          </cell>
          <cell r="S5337" t="str">
            <v>Mina Adel Old Account</v>
          </cell>
          <cell r="T5337">
            <v>44577</v>
          </cell>
          <cell r="U5337" t="str">
            <v>Vicky Wright</v>
          </cell>
          <cell r="W5337">
            <v>44626</v>
          </cell>
          <cell r="AC5337">
            <v>44626</v>
          </cell>
        </row>
        <row r="5338">
          <cell r="I5338" t="str">
            <v>EDI</v>
          </cell>
          <cell r="L5338">
            <v>331</v>
          </cell>
          <cell r="N5338" t="str">
            <v>Production</v>
          </cell>
          <cell r="O5338" t="str">
            <v>No</v>
          </cell>
          <cell r="Q5338" t="str">
            <v>Cancelled</v>
          </cell>
          <cell r="R5338">
            <v>44564.601782407408</v>
          </cell>
          <cell r="S5338" t="str">
            <v>Haytham Mohamed</v>
          </cell>
          <cell r="T5338">
            <v>44584</v>
          </cell>
          <cell r="U5338" t="str">
            <v>Denise Stubenvoll</v>
          </cell>
          <cell r="V5338">
            <v>44600</v>
          </cell>
          <cell r="W5338">
            <v>44895</v>
          </cell>
          <cell r="AC5338">
            <v>44888</v>
          </cell>
        </row>
        <row r="5339">
          <cell r="I5339" t="str">
            <v>EDI</v>
          </cell>
          <cell r="N5339" t="str">
            <v>Requirements Gathering</v>
          </cell>
          <cell r="O5339" t="str">
            <v>No</v>
          </cell>
          <cell r="Q5339" t="str">
            <v>Cancelled</v>
          </cell>
          <cell r="R5339">
            <v>44564.601782407408</v>
          </cell>
          <cell r="S5339" t="str">
            <v>Sandra Adel</v>
          </cell>
          <cell r="T5339">
            <v>44564</v>
          </cell>
          <cell r="U5339" t="str">
            <v>Denise Stubenvoll</v>
          </cell>
        </row>
        <row r="5340">
          <cell r="I5340" t="str">
            <v>EDI</v>
          </cell>
          <cell r="L5340">
            <v>318</v>
          </cell>
          <cell r="N5340" t="str">
            <v>Production</v>
          </cell>
          <cell r="O5340" t="str">
            <v>No</v>
          </cell>
          <cell r="Q5340" t="str">
            <v>Cancelled</v>
          </cell>
          <cell r="R5340">
            <v>44564.601770833331</v>
          </cell>
          <cell r="S5340" t="str">
            <v>Haytham Mohamed</v>
          </cell>
          <cell r="T5340">
            <v>44580</v>
          </cell>
          <cell r="U5340" t="str">
            <v>Denise Stubenvoll</v>
          </cell>
          <cell r="V5340">
            <v>44585</v>
          </cell>
          <cell r="W5340">
            <v>25569</v>
          </cell>
          <cell r="AC5340">
            <v>44600</v>
          </cell>
        </row>
        <row r="5341">
          <cell r="I5341" t="str">
            <v>EDI</v>
          </cell>
          <cell r="N5341" t="str">
            <v>Production</v>
          </cell>
          <cell r="O5341" t="str">
            <v>No</v>
          </cell>
          <cell r="Q5341" t="str">
            <v>Cancelled</v>
          </cell>
          <cell r="R5341">
            <v>44559.897719907407</v>
          </cell>
          <cell r="S5341" t="str">
            <v>Dina Medhat</v>
          </cell>
          <cell r="T5341">
            <v>44560</v>
          </cell>
          <cell r="U5341" t="str">
            <v>Elizabeth Kahle</v>
          </cell>
        </row>
        <row r="5342">
          <cell r="I5342" t="str">
            <v>EDI</v>
          </cell>
          <cell r="N5342" t="str">
            <v>Production</v>
          </cell>
          <cell r="O5342" t="str">
            <v>No</v>
          </cell>
          <cell r="Q5342" t="str">
            <v>Cancelled</v>
          </cell>
          <cell r="R5342">
            <v>44559.897002314807</v>
          </cell>
          <cell r="S5342" t="str">
            <v>Dina Medhat</v>
          </cell>
          <cell r="T5342">
            <v>44560</v>
          </cell>
          <cell r="U5342" t="str">
            <v>Elizabeth Kahle</v>
          </cell>
        </row>
        <row r="5343">
          <cell r="I5343" t="str">
            <v>EDI</v>
          </cell>
          <cell r="L5343">
            <v>356</v>
          </cell>
          <cell r="N5343" t="str">
            <v>Mapping</v>
          </cell>
          <cell r="O5343" t="str">
            <v>No</v>
          </cell>
          <cell r="Q5343" t="str">
            <v>Cancelled</v>
          </cell>
          <cell r="R5343">
            <v>44559.7031712963</v>
          </cell>
          <cell r="S5343" t="str">
            <v>Joseph Atef Old Account</v>
          </cell>
          <cell r="T5343">
            <v>44578</v>
          </cell>
          <cell r="U5343" t="str">
            <v>Denise Stubenvoll</v>
          </cell>
        </row>
        <row r="5344">
          <cell r="I5344" t="str">
            <v>EDI</v>
          </cell>
          <cell r="L5344">
            <v>400</v>
          </cell>
          <cell r="N5344" t="str">
            <v>Production</v>
          </cell>
          <cell r="O5344" t="str">
            <v>No</v>
          </cell>
          <cell r="Q5344" t="str">
            <v>Live</v>
          </cell>
          <cell r="R5344">
            <v>44559.7031712963</v>
          </cell>
          <cell r="S5344" t="str">
            <v>Omar Elmahalwy Old Account</v>
          </cell>
          <cell r="T5344">
            <v>44606</v>
          </cell>
          <cell r="U5344" t="str">
            <v>Denise Stubenvoll</v>
          </cell>
          <cell r="V5344">
            <v>44609</v>
          </cell>
          <cell r="W5344">
            <v>44628</v>
          </cell>
          <cell r="Y5344">
            <v>44602</v>
          </cell>
          <cell r="AC5344">
            <v>44622</v>
          </cell>
        </row>
        <row r="5345">
          <cell r="I5345" t="str">
            <v>EDI</v>
          </cell>
          <cell r="L5345">
            <v>286</v>
          </cell>
          <cell r="N5345" t="str">
            <v>Testing</v>
          </cell>
          <cell r="O5345" t="str">
            <v>No</v>
          </cell>
          <cell r="Q5345" t="str">
            <v>Cancelled</v>
          </cell>
          <cell r="R5345">
            <v>44559.7031712963</v>
          </cell>
          <cell r="S5345" t="str">
            <v>Haytham Mohamed</v>
          </cell>
          <cell r="T5345">
            <v>44570</v>
          </cell>
          <cell r="U5345" t="str">
            <v>Denise Stubenvoll</v>
          </cell>
          <cell r="V5345">
            <v>44599</v>
          </cell>
        </row>
        <row r="5346">
          <cell r="I5346" t="str">
            <v>EDI</v>
          </cell>
          <cell r="N5346" t="str">
            <v>Requirements Gathering</v>
          </cell>
          <cell r="O5346" t="str">
            <v>No</v>
          </cell>
          <cell r="Q5346" t="str">
            <v>Cancelled</v>
          </cell>
          <cell r="R5346">
            <v>44559.7031712963</v>
          </cell>
          <cell r="S5346" t="str">
            <v>Sandra Adel</v>
          </cell>
          <cell r="T5346">
            <v>44560</v>
          </cell>
          <cell r="U5346" t="str">
            <v>Denise Stubenvoll</v>
          </cell>
        </row>
        <row r="5347">
          <cell r="I5347" t="str">
            <v>EDI</v>
          </cell>
          <cell r="L5347">
            <v>368</v>
          </cell>
          <cell r="N5347" t="str">
            <v>Production</v>
          </cell>
          <cell r="O5347" t="str">
            <v>No</v>
          </cell>
          <cell r="Q5347" t="str">
            <v>Cancelled</v>
          </cell>
          <cell r="R5347">
            <v>44559.665000000001</v>
          </cell>
          <cell r="S5347" t="str">
            <v>Jack Salah</v>
          </cell>
          <cell r="T5347">
            <v>44584</v>
          </cell>
          <cell r="U5347" t="str">
            <v>Vicky Wright</v>
          </cell>
          <cell r="V5347">
            <v>44634</v>
          </cell>
          <cell r="W5347">
            <v>44670</v>
          </cell>
          <cell r="AC5347">
            <v>44669</v>
          </cell>
        </row>
        <row r="5348">
          <cell r="I5348" t="str">
            <v>EDI</v>
          </cell>
          <cell r="L5348">
            <v>355</v>
          </cell>
          <cell r="N5348" t="str">
            <v>Production</v>
          </cell>
          <cell r="O5348" t="str">
            <v>No</v>
          </cell>
          <cell r="Q5348" t="str">
            <v>Cancelled</v>
          </cell>
          <cell r="R5348">
            <v>44558.909502314818</v>
          </cell>
          <cell r="S5348" t="str">
            <v>Joseph Atef Old Account</v>
          </cell>
          <cell r="T5348">
            <v>44571</v>
          </cell>
          <cell r="U5348" t="str">
            <v>Miranda Naeem</v>
          </cell>
          <cell r="W5348">
            <v>44621</v>
          </cell>
          <cell r="AC5348">
            <v>44616</v>
          </cell>
        </row>
        <row r="5349">
          <cell r="I5349" t="str">
            <v>EDI</v>
          </cell>
          <cell r="L5349">
            <v>575</v>
          </cell>
          <cell r="N5349" t="str">
            <v>Production</v>
          </cell>
          <cell r="O5349" t="str">
            <v>No</v>
          </cell>
          <cell r="Q5349" t="str">
            <v>Cancelled</v>
          </cell>
          <cell r="R5349">
            <v>44558.909502314818</v>
          </cell>
          <cell r="S5349" t="str">
            <v>Jack Salah</v>
          </cell>
          <cell r="T5349">
            <v>44631</v>
          </cell>
          <cell r="U5349" t="str">
            <v>Miranda Naeem</v>
          </cell>
          <cell r="V5349">
            <v>44636</v>
          </cell>
          <cell r="W5349">
            <v>44678</v>
          </cell>
          <cell r="Y5349">
            <v>44630</v>
          </cell>
          <cell r="AC5349">
            <v>44678</v>
          </cell>
        </row>
        <row r="5350">
          <cell r="I5350" t="str">
            <v>EDI</v>
          </cell>
          <cell r="L5350">
            <v>600</v>
          </cell>
          <cell r="N5350" t="str">
            <v>Production</v>
          </cell>
          <cell r="O5350" t="str">
            <v>No</v>
          </cell>
          <cell r="Q5350" t="str">
            <v>Cancelled</v>
          </cell>
          <cell r="R5350">
            <v>44558.909502314818</v>
          </cell>
          <cell r="S5350" t="str">
            <v>Omar Elmahalwy Old Account</v>
          </cell>
          <cell r="T5350">
            <v>44637</v>
          </cell>
          <cell r="U5350" t="str">
            <v>Miranda Naeem</v>
          </cell>
          <cell r="V5350">
            <v>44648</v>
          </cell>
          <cell r="W5350">
            <v>44670</v>
          </cell>
          <cell r="Y5350">
            <v>44636</v>
          </cell>
          <cell r="AC5350">
            <v>44665</v>
          </cell>
        </row>
        <row r="5351">
          <cell r="I5351" t="str">
            <v>EDI</v>
          </cell>
          <cell r="L5351">
            <v>277</v>
          </cell>
          <cell r="N5351" t="str">
            <v>Production</v>
          </cell>
          <cell r="O5351" t="str">
            <v>No</v>
          </cell>
          <cell r="Q5351" t="str">
            <v>Cancelled</v>
          </cell>
          <cell r="R5351">
            <v>44558.909502314818</v>
          </cell>
          <cell r="S5351" t="str">
            <v>Omar Elmahalwy Old Account</v>
          </cell>
          <cell r="T5351">
            <v>44570</v>
          </cell>
          <cell r="U5351" t="str">
            <v>Miranda Naeem</v>
          </cell>
          <cell r="V5351">
            <v>44601</v>
          </cell>
          <cell r="W5351">
            <v>44747</v>
          </cell>
          <cell r="AC5351">
            <v>44745</v>
          </cell>
        </row>
        <row r="5352">
          <cell r="I5352" t="str">
            <v>EDI</v>
          </cell>
          <cell r="L5352">
            <v>357</v>
          </cell>
          <cell r="N5352" t="str">
            <v>Production</v>
          </cell>
          <cell r="O5352" t="str">
            <v>No</v>
          </cell>
          <cell r="Q5352" t="str">
            <v>Live</v>
          </cell>
          <cell r="R5352">
            <v>44558.690740740742</v>
          </cell>
          <cell r="S5352" t="str">
            <v>Haytham Mohamed</v>
          </cell>
          <cell r="T5352">
            <v>44588</v>
          </cell>
          <cell r="U5352" t="str">
            <v>Billy Smith</v>
          </cell>
          <cell r="V5352">
            <v>44593</v>
          </cell>
          <cell r="W5352">
            <v>44628</v>
          </cell>
          <cell r="AC5352">
            <v>44626</v>
          </cell>
        </row>
        <row r="5353">
          <cell r="I5353" t="str">
            <v>EDI</v>
          </cell>
          <cell r="L5353">
            <v>263</v>
          </cell>
          <cell r="N5353" t="str">
            <v>Production</v>
          </cell>
          <cell r="O5353" t="str">
            <v>No</v>
          </cell>
          <cell r="Q5353" t="str">
            <v>Cancelled</v>
          </cell>
          <cell r="R5353">
            <v>44558.690740740742</v>
          </cell>
          <cell r="S5353" t="str">
            <v>Omar Elmahalwy Old Account</v>
          </cell>
          <cell r="T5353">
            <v>44565</v>
          </cell>
          <cell r="U5353" t="str">
            <v>Billy Smith</v>
          </cell>
          <cell r="V5353">
            <v>44573</v>
          </cell>
          <cell r="W5353">
            <v>44635</v>
          </cell>
          <cell r="AC5353">
            <v>44621</v>
          </cell>
        </row>
        <row r="5354">
          <cell r="I5354" t="str">
            <v>EDI</v>
          </cell>
          <cell r="L5354">
            <v>282</v>
          </cell>
          <cell r="N5354" t="str">
            <v>Production</v>
          </cell>
          <cell r="O5354" t="str">
            <v>No</v>
          </cell>
          <cell r="Q5354" t="str">
            <v>Live</v>
          </cell>
          <cell r="R5354">
            <v>44558.690740740742</v>
          </cell>
          <cell r="S5354" t="str">
            <v>Mina Adel Old Account</v>
          </cell>
          <cell r="T5354">
            <v>44572</v>
          </cell>
          <cell r="U5354" t="str">
            <v>Billy Smith</v>
          </cell>
          <cell r="V5354">
            <v>44607</v>
          </cell>
          <cell r="W5354">
            <v>44762</v>
          </cell>
          <cell r="AC5354">
            <v>44759</v>
          </cell>
        </row>
        <row r="5355">
          <cell r="I5355" t="str">
            <v>EDI</v>
          </cell>
          <cell r="L5355">
            <v>390</v>
          </cell>
          <cell r="N5355" t="str">
            <v>Production</v>
          </cell>
          <cell r="O5355" t="str">
            <v>No</v>
          </cell>
          <cell r="Q5355" t="str">
            <v>Cancelled</v>
          </cell>
          <cell r="R5355">
            <v>44558.671574074076</v>
          </cell>
          <cell r="S5355" t="str">
            <v>Mohamed Samy</v>
          </cell>
          <cell r="T5355">
            <v>44581</v>
          </cell>
          <cell r="U5355" t="str">
            <v>Vicky Wright</v>
          </cell>
          <cell r="V5355">
            <v>44622</v>
          </cell>
          <cell r="W5355">
            <v>25569</v>
          </cell>
          <cell r="AC5355">
            <v>44649</v>
          </cell>
        </row>
        <row r="5356">
          <cell r="I5356" t="str">
            <v>EDI</v>
          </cell>
          <cell r="L5356">
            <v>270</v>
          </cell>
          <cell r="N5356" t="str">
            <v>Production</v>
          </cell>
          <cell r="O5356" t="str">
            <v>No</v>
          </cell>
          <cell r="Q5356" t="str">
            <v>Cancelled</v>
          </cell>
          <cell r="R5356">
            <v>44557.770752314813</v>
          </cell>
          <cell r="S5356" t="str">
            <v>Fady Bassel</v>
          </cell>
          <cell r="T5356">
            <v>44560</v>
          </cell>
          <cell r="U5356" t="str">
            <v>Miranda Naeem</v>
          </cell>
          <cell r="V5356">
            <v>44587</v>
          </cell>
          <cell r="W5356">
            <v>44663</v>
          </cell>
          <cell r="AC5356">
            <v>44658</v>
          </cell>
        </row>
        <row r="5357">
          <cell r="I5357" t="str">
            <v>EDI</v>
          </cell>
          <cell r="L5357">
            <v>243</v>
          </cell>
          <cell r="N5357" t="str">
            <v>Production</v>
          </cell>
          <cell r="O5357" t="str">
            <v>No</v>
          </cell>
          <cell r="Q5357" t="str">
            <v>Cancelled</v>
          </cell>
          <cell r="R5357">
            <v>44557.770740740743</v>
          </cell>
          <cell r="S5357" t="str">
            <v>Mina Adel Old Account</v>
          </cell>
          <cell r="T5357">
            <v>44559</v>
          </cell>
          <cell r="U5357" t="str">
            <v>Miranda Naeem</v>
          </cell>
          <cell r="V5357">
            <v>44581</v>
          </cell>
          <cell r="W5357">
            <v>44593</v>
          </cell>
        </row>
        <row r="5358">
          <cell r="I5358" t="str">
            <v>EDI</v>
          </cell>
          <cell r="L5358">
            <v>349</v>
          </cell>
          <cell r="N5358" t="str">
            <v>Production</v>
          </cell>
          <cell r="O5358" t="str">
            <v>No</v>
          </cell>
          <cell r="Q5358" t="str">
            <v>Cancelled</v>
          </cell>
          <cell r="R5358">
            <v>44554.591539351852</v>
          </cell>
          <cell r="S5358" t="str">
            <v>Joseph Atef Old Account</v>
          </cell>
          <cell r="T5358">
            <v>44574</v>
          </cell>
          <cell r="U5358" t="str">
            <v>Miranda Naeem</v>
          </cell>
          <cell r="V5358">
            <v>44775</v>
          </cell>
          <cell r="W5358">
            <v>44789</v>
          </cell>
          <cell r="AC5358">
            <v>44782</v>
          </cell>
        </row>
        <row r="5359">
          <cell r="I5359" t="str">
            <v>EDI</v>
          </cell>
          <cell r="L5359">
            <v>413</v>
          </cell>
          <cell r="N5359" t="str">
            <v>Production</v>
          </cell>
          <cell r="O5359" t="str">
            <v>No</v>
          </cell>
          <cell r="Q5359" t="str">
            <v>Cancelled</v>
          </cell>
          <cell r="R5359">
            <v>44553.902557870373</v>
          </cell>
          <cell r="S5359" t="str">
            <v>Mina George Old Account</v>
          </cell>
          <cell r="T5359">
            <v>44607</v>
          </cell>
          <cell r="U5359" t="str">
            <v>Vicky Wright</v>
          </cell>
          <cell r="V5359">
            <v>44628</v>
          </cell>
          <cell r="W5359">
            <v>44698</v>
          </cell>
          <cell r="Y5359">
            <v>44607</v>
          </cell>
          <cell r="AC5359">
            <v>44692</v>
          </cell>
        </row>
        <row r="5360">
          <cell r="I5360" t="str">
            <v>EDI</v>
          </cell>
          <cell r="L5360">
            <v>560</v>
          </cell>
          <cell r="N5360" t="str">
            <v>Production</v>
          </cell>
          <cell r="O5360" t="str">
            <v>No</v>
          </cell>
          <cell r="Q5360" t="str">
            <v>Cancelled</v>
          </cell>
          <cell r="R5360">
            <v>44553.902557870373</v>
          </cell>
          <cell r="S5360" t="str">
            <v>Ahmed Sami Old Account</v>
          </cell>
          <cell r="T5360">
            <v>44622</v>
          </cell>
          <cell r="U5360" t="str">
            <v>Vicky Wright</v>
          </cell>
          <cell r="V5360">
            <v>44676</v>
          </cell>
          <cell r="W5360">
            <v>44727</v>
          </cell>
          <cell r="Y5360">
            <v>44621</v>
          </cell>
          <cell r="AC5360">
            <v>44721</v>
          </cell>
        </row>
        <row r="5361">
          <cell r="I5361" t="str">
            <v>EDI</v>
          </cell>
          <cell r="L5361">
            <v>268</v>
          </cell>
          <cell r="N5361" t="str">
            <v>Production</v>
          </cell>
          <cell r="O5361" t="str">
            <v>No</v>
          </cell>
          <cell r="Q5361" t="str">
            <v>Cancelled</v>
          </cell>
          <cell r="R5361">
            <v>44553.902546296304</v>
          </cell>
          <cell r="S5361" t="str">
            <v>Mina Adel Old Account</v>
          </cell>
          <cell r="T5361">
            <v>44564</v>
          </cell>
          <cell r="U5361" t="str">
            <v>Vicky Wright</v>
          </cell>
          <cell r="V5361">
            <v>44643</v>
          </cell>
          <cell r="W5361">
            <v>44684</v>
          </cell>
          <cell r="AC5361">
            <v>44680</v>
          </cell>
        </row>
        <row r="5362">
          <cell r="I5362" t="str">
            <v>EDI</v>
          </cell>
          <cell r="L5362">
            <v>325</v>
          </cell>
          <cell r="N5362" t="str">
            <v>Production</v>
          </cell>
          <cell r="O5362" t="str">
            <v>No</v>
          </cell>
          <cell r="Q5362" t="str">
            <v>Cancelled</v>
          </cell>
          <cell r="R5362">
            <v>44553.894085648149</v>
          </cell>
          <cell r="S5362" t="str">
            <v>Omar Elmahalwy Old Account</v>
          </cell>
          <cell r="T5362">
            <v>44580</v>
          </cell>
          <cell r="U5362" t="str">
            <v>Billy Smith</v>
          </cell>
          <cell r="V5362">
            <v>44617</v>
          </cell>
          <cell r="W5362">
            <v>44635</v>
          </cell>
          <cell r="AC5362">
            <v>44634</v>
          </cell>
        </row>
        <row r="5363">
          <cell r="I5363" t="str">
            <v>EDI</v>
          </cell>
          <cell r="L5363">
            <v>290</v>
          </cell>
          <cell r="N5363" t="str">
            <v>Production</v>
          </cell>
          <cell r="O5363" t="str">
            <v>No</v>
          </cell>
          <cell r="Q5363" t="str">
            <v>Cancelled</v>
          </cell>
          <cell r="R5363">
            <v>44553.883796296293</v>
          </cell>
          <cell r="S5363" t="str">
            <v>Joseph Atef Old Account</v>
          </cell>
          <cell r="T5363">
            <v>44558</v>
          </cell>
          <cell r="U5363" t="str">
            <v>Miranda Naeem</v>
          </cell>
          <cell r="V5363">
            <v>44619</v>
          </cell>
          <cell r="W5363">
            <v>44628</v>
          </cell>
          <cell r="AC5363">
            <v>44628</v>
          </cell>
        </row>
        <row r="5364">
          <cell r="I5364" t="str">
            <v>EDI</v>
          </cell>
          <cell r="L5364">
            <v>288</v>
          </cell>
          <cell r="N5364" t="str">
            <v>Production</v>
          </cell>
          <cell r="O5364" t="str">
            <v>No</v>
          </cell>
          <cell r="Q5364" t="str">
            <v>Live</v>
          </cell>
          <cell r="R5364">
            <v>44553.880370370367</v>
          </cell>
          <cell r="S5364" t="str">
            <v>Ahmed Sami Old Account</v>
          </cell>
          <cell r="T5364">
            <v>44558</v>
          </cell>
          <cell r="U5364" t="str">
            <v>Billy Smith</v>
          </cell>
          <cell r="V5364">
            <v>25569</v>
          </cell>
          <cell r="W5364">
            <v>44649</v>
          </cell>
          <cell r="AC5364">
            <v>44643</v>
          </cell>
        </row>
        <row r="5365">
          <cell r="I5365" t="str">
            <v>EDI</v>
          </cell>
          <cell r="L5365">
            <v>242</v>
          </cell>
          <cell r="N5365" t="str">
            <v>Production</v>
          </cell>
          <cell r="O5365" t="str">
            <v>No</v>
          </cell>
          <cell r="Q5365" t="str">
            <v>Cancelled</v>
          </cell>
          <cell r="R5365">
            <v>44553.825474537043</v>
          </cell>
          <cell r="S5365" t="str">
            <v>Mina Adel Old Account</v>
          </cell>
          <cell r="T5365">
            <v>44558</v>
          </cell>
          <cell r="U5365" t="str">
            <v>Vicky Wright</v>
          </cell>
          <cell r="V5365">
            <v>44581</v>
          </cell>
          <cell r="W5365">
            <v>44600</v>
          </cell>
          <cell r="AC5365">
            <v>44599</v>
          </cell>
        </row>
        <row r="5366">
          <cell r="I5366" t="str">
            <v>EDI</v>
          </cell>
          <cell r="L5366">
            <v>226</v>
          </cell>
          <cell r="N5366" t="str">
            <v>Production</v>
          </cell>
          <cell r="O5366" t="str">
            <v>No</v>
          </cell>
          <cell r="Q5366" t="str">
            <v>Cancelled</v>
          </cell>
          <cell r="R5366">
            <v>44553.819884259261</v>
          </cell>
          <cell r="S5366" t="str">
            <v>Omar Elmahalwy Old Account</v>
          </cell>
          <cell r="T5366">
            <v>44558</v>
          </cell>
          <cell r="U5366" t="str">
            <v>Billy Smith</v>
          </cell>
          <cell r="V5366">
            <v>44605</v>
          </cell>
          <cell r="W5366">
            <v>25569</v>
          </cell>
          <cell r="AC5366">
            <v>44629</v>
          </cell>
        </row>
        <row r="5367">
          <cell r="I5367" t="str">
            <v>EDI</v>
          </cell>
          <cell r="L5367">
            <v>269</v>
          </cell>
          <cell r="N5367" t="str">
            <v>Production</v>
          </cell>
          <cell r="O5367" t="str">
            <v>No</v>
          </cell>
          <cell r="Q5367" t="str">
            <v>Cancelled</v>
          </cell>
          <cell r="R5367">
            <v>44553.819884259261</v>
          </cell>
          <cell r="S5367" t="str">
            <v>Omnia Abdelaziz Old Account</v>
          </cell>
          <cell r="T5367">
            <v>44559</v>
          </cell>
          <cell r="U5367" t="str">
            <v>Billy Smith</v>
          </cell>
          <cell r="V5367">
            <v>44592</v>
          </cell>
          <cell r="W5367">
            <v>44593</v>
          </cell>
        </row>
        <row r="5368">
          <cell r="I5368" t="str">
            <v>EDI</v>
          </cell>
          <cell r="L5368">
            <v>250</v>
          </cell>
          <cell r="N5368" t="str">
            <v>Production</v>
          </cell>
          <cell r="O5368" t="str">
            <v>No</v>
          </cell>
          <cell r="Q5368" t="str">
            <v>Cancelled</v>
          </cell>
          <cell r="R5368">
            <v>44553.819884259261</v>
          </cell>
          <cell r="S5368" t="str">
            <v>Jack Salah</v>
          </cell>
          <cell r="T5368">
            <v>44560</v>
          </cell>
          <cell r="U5368" t="str">
            <v>Billy Smith</v>
          </cell>
          <cell r="V5368">
            <v>25569</v>
          </cell>
          <cell r="W5368">
            <v>44691</v>
          </cell>
          <cell r="AC5368">
            <v>44689</v>
          </cell>
        </row>
        <row r="5369">
          <cell r="I5369" t="str">
            <v>EDI</v>
          </cell>
          <cell r="L5369">
            <v>244</v>
          </cell>
          <cell r="N5369" t="str">
            <v>Testing</v>
          </cell>
          <cell r="O5369" t="str">
            <v>No</v>
          </cell>
          <cell r="Q5369" t="str">
            <v>Cancelled</v>
          </cell>
          <cell r="R5369">
            <v>44553.819872685177</v>
          </cell>
          <cell r="S5369" t="str">
            <v>Jack Salah</v>
          </cell>
          <cell r="T5369">
            <v>44560</v>
          </cell>
          <cell r="U5369" t="str">
            <v>Billy Smith</v>
          </cell>
          <cell r="V5369">
            <v>25569</v>
          </cell>
        </row>
        <row r="5370">
          <cell r="I5370" t="str">
            <v>EDI</v>
          </cell>
          <cell r="L5370">
            <v>398</v>
          </cell>
          <cell r="N5370" t="str">
            <v>Production</v>
          </cell>
          <cell r="O5370" t="str">
            <v>No</v>
          </cell>
          <cell r="Q5370" t="str">
            <v>Cancelled</v>
          </cell>
          <cell r="R5370">
            <v>44553.819872685177</v>
          </cell>
          <cell r="S5370" t="str">
            <v>Joseph Atef Old Account</v>
          </cell>
          <cell r="T5370">
            <v>44586</v>
          </cell>
          <cell r="U5370" t="str">
            <v>Billy Smith</v>
          </cell>
          <cell r="V5370">
            <v>44700</v>
          </cell>
          <cell r="W5370">
            <v>44735</v>
          </cell>
          <cell r="AC5370">
            <v>44735</v>
          </cell>
        </row>
        <row r="5371">
          <cell r="I5371" t="str">
            <v>EDI</v>
          </cell>
          <cell r="L5371">
            <v>508</v>
          </cell>
          <cell r="N5371" t="str">
            <v>Testing</v>
          </cell>
          <cell r="O5371" t="str">
            <v>Everything Benefits</v>
          </cell>
          <cell r="P5371" t="str">
            <v>Phase 2</v>
          </cell>
          <cell r="Q5371" t="str">
            <v>Cancelled</v>
          </cell>
          <cell r="R5371">
            <v>44553.812407407408</v>
          </cell>
          <cell r="S5371" t="str">
            <v>Mirna Azmy</v>
          </cell>
          <cell r="T5371">
            <v>44622</v>
          </cell>
          <cell r="U5371" t="str">
            <v>Billy Smith</v>
          </cell>
          <cell r="Y5371">
            <v>44621</v>
          </cell>
        </row>
        <row r="5372">
          <cell r="I5372" t="str">
            <v>EDI</v>
          </cell>
          <cell r="L5372">
            <v>237</v>
          </cell>
          <cell r="N5372" t="str">
            <v>Production</v>
          </cell>
          <cell r="O5372" t="str">
            <v>Everything Benefits</v>
          </cell>
          <cell r="P5372" t="str">
            <v>Production</v>
          </cell>
          <cell r="Q5372" t="str">
            <v>Live</v>
          </cell>
          <cell r="R5372">
            <v>44553.804328703707</v>
          </cell>
          <cell r="S5372" t="str">
            <v>Alaa Yehia</v>
          </cell>
          <cell r="T5372">
            <v>44559</v>
          </cell>
          <cell r="U5372" t="str">
            <v>Billy Smith</v>
          </cell>
          <cell r="W5372">
            <v>44620</v>
          </cell>
          <cell r="AC5372">
            <v>44616</v>
          </cell>
        </row>
        <row r="5373">
          <cell r="I5373" t="str">
            <v>EDI</v>
          </cell>
          <cell r="L5373">
            <v>511</v>
          </cell>
          <cell r="N5373" t="str">
            <v>Production</v>
          </cell>
          <cell r="O5373" t="str">
            <v>Everything Benefits</v>
          </cell>
          <cell r="P5373" t="str">
            <v>Production</v>
          </cell>
          <cell r="Q5373" t="str">
            <v>Live</v>
          </cell>
          <cell r="R5373">
            <v>44553.804328703707</v>
          </cell>
          <cell r="S5373" t="str">
            <v>Alaa Yehia</v>
          </cell>
          <cell r="T5373">
            <v>44671</v>
          </cell>
          <cell r="U5373" t="str">
            <v>Billy Smith</v>
          </cell>
          <cell r="V5373">
            <v>45867</v>
          </cell>
          <cell r="W5373">
            <v>44847</v>
          </cell>
          <cell r="Y5373">
            <v>44621</v>
          </cell>
          <cell r="AC5373">
            <v>44828</v>
          </cell>
        </row>
        <row r="5374">
          <cell r="I5374" t="str">
            <v>EDI</v>
          </cell>
          <cell r="L5374">
            <v>291</v>
          </cell>
          <cell r="N5374" t="str">
            <v>Production</v>
          </cell>
          <cell r="O5374" t="str">
            <v>Everything Benefits</v>
          </cell>
          <cell r="P5374" t="str">
            <v>Production</v>
          </cell>
          <cell r="Q5374" t="str">
            <v>Live</v>
          </cell>
          <cell r="R5374">
            <v>44553.80431712963</v>
          </cell>
          <cell r="S5374" t="str">
            <v>Ahmed Gamal</v>
          </cell>
          <cell r="T5374">
            <v>44573</v>
          </cell>
          <cell r="U5374" t="str">
            <v>Billy Smith</v>
          </cell>
          <cell r="W5374">
            <v>44631</v>
          </cell>
          <cell r="AC5374">
            <v>44631</v>
          </cell>
        </row>
        <row r="5375">
          <cell r="I5375" t="str">
            <v>EDI</v>
          </cell>
          <cell r="L5375">
            <v>645</v>
          </cell>
          <cell r="N5375" t="str">
            <v>Testing</v>
          </cell>
          <cell r="O5375" t="str">
            <v>Everything Benefits</v>
          </cell>
          <cell r="P5375" t="str">
            <v>Migration Testing</v>
          </cell>
          <cell r="Q5375" t="str">
            <v>Cancelled</v>
          </cell>
          <cell r="R5375">
            <v>44553.80431712963</v>
          </cell>
          <cell r="S5375" t="str">
            <v>Mirna Azmy</v>
          </cell>
          <cell r="T5375">
            <v>44642</v>
          </cell>
          <cell r="U5375" t="str">
            <v>Billy Smith</v>
          </cell>
          <cell r="Y5375">
            <v>44637</v>
          </cell>
        </row>
        <row r="5376">
          <cell r="I5376" t="str">
            <v>EDI</v>
          </cell>
          <cell r="L5376">
            <v>255</v>
          </cell>
          <cell r="N5376" t="str">
            <v>Production</v>
          </cell>
          <cell r="O5376" t="str">
            <v>Everything Benefits</v>
          </cell>
          <cell r="P5376" t="str">
            <v>Production</v>
          </cell>
          <cell r="Q5376" t="str">
            <v>Cancelled</v>
          </cell>
          <cell r="R5376">
            <v>44553.778275462973</v>
          </cell>
          <cell r="S5376" t="str">
            <v>Mirna Azmy</v>
          </cell>
          <cell r="T5376">
            <v>44585</v>
          </cell>
          <cell r="U5376" t="str">
            <v>Billy Smith</v>
          </cell>
          <cell r="W5376">
            <v>44620</v>
          </cell>
          <cell r="AC5376">
            <v>44616</v>
          </cell>
        </row>
        <row r="5377">
          <cell r="I5377" t="str">
            <v>EDI</v>
          </cell>
          <cell r="L5377">
            <v>305</v>
          </cell>
          <cell r="N5377" t="str">
            <v>Production</v>
          </cell>
          <cell r="O5377" t="str">
            <v>Everything Benefits</v>
          </cell>
          <cell r="P5377" t="str">
            <v>Production</v>
          </cell>
          <cell r="Q5377" t="str">
            <v>Cancelled</v>
          </cell>
          <cell r="R5377">
            <v>44553.778275462973</v>
          </cell>
          <cell r="S5377" t="str">
            <v>Alaa Yehia</v>
          </cell>
          <cell r="T5377">
            <v>44573</v>
          </cell>
          <cell r="U5377" t="str">
            <v>Billy Smith</v>
          </cell>
          <cell r="W5377">
            <v>44746</v>
          </cell>
          <cell r="AC5377">
            <v>44746</v>
          </cell>
        </row>
        <row r="5378">
          <cell r="I5378" t="str">
            <v>EDI</v>
          </cell>
          <cell r="L5378">
            <v>435</v>
          </cell>
          <cell r="N5378" t="str">
            <v>Mapping</v>
          </cell>
          <cell r="O5378" t="str">
            <v>Everything Benefits</v>
          </cell>
          <cell r="P5378" t="str">
            <v>Phase 1 - Map Built</v>
          </cell>
          <cell r="Q5378" t="str">
            <v>Cancelled</v>
          </cell>
          <cell r="R5378">
            <v>44553.770844907413</v>
          </cell>
          <cell r="S5378" t="str">
            <v>Ahmed Gamal</v>
          </cell>
          <cell r="T5378">
            <v>44607</v>
          </cell>
          <cell r="U5378" t="str">
            <v>Billy Smith</v>
          </cell>
        </row>
        <row r="5379">
          <cell r="I5379" t="str">
            <v>EDI</v>
          </cell>
          <cell r="L5379">
            <v>389</v>
          </cell>
          <cell r="N5379" t="str">
            <v>Production</v>
          </cell>
          <cell r="O5379" t="str">
            <v>eBenefits Network</v>
          </cell>
          <cell r="P5379" t="str">
            <v>Production</v>
          </cell>
          <cell r="Q5379" t="str">
            <v>Cancelled</v>
          </cell>
          <cell r="R5379">
            <v>44553.760937500003</v>
          </cell>
          <cell r="S5379" t="str">
            <v>Fady Maged Old Account</v>
          </cell>
          <cell r="T5379">
            <v>44599</v>
          </cell>
          <cell r="U5379" t="str">
            <v>Billy Smith</v>
          </cell>
          <cell r="V5379">
            <v>44602</v>
          </cell>
          <cell r="W5379">
            <v>44627</v>
          </cell>
          <cell r="AC5379">
            <v>44622</v>
          </cell>
        </row>
        <row r="5380">
          <cell r="I5380" t="str">
            <v>EDI</v>
          </cell>
          <cell r="N5380" t="str">
            <v>Mapping</v>
          </cell>
          <cell r="O5380" t="str">
            <v>eBenefits Network</v>
          </cell>
          <cell r="Q5380" t="str">
            <v>Cancelled</v>
          </cell>
          <cell r="R5380">
            <v>44553.760937500003</v>
          </cell>
          <cell r="T5380">
            <v>44566</v>
          </cell>
          <cell r="U5380" t="str">
            <v>Billy Smith</v>
          </cell>
        </row>
        <row r="5381">
          <cell r="I5381" t="str">
            <v>EDI</v>
          </cell>
          <cell r="L5381">
            <v>256</v>
          </cell>
          <cell r="N5381" t="str">
            <v>Testing</v>
          </cell>
          <cell r="O5381" t="str">
            <v>No</v>
          </cell>
          <cell r="Q5381" t="str">
            <v>Cancelled</v>
          </cell>
          <cell r="R5381">
            <v>44553.689803240741</v>
          </cell>
          <cell r="S5381" t="str">
            <v>Ahmed Sami</v>
          </cell>
          <cell r="T5381">
            <v>44895</v>
          </cell>
          <cell r="U5381" t="str">
            <v>Denise Stubenvoll</v>
          </cell>
          <cell r="V5381">
            <v>44657</v>
          </cell>
        </row>
        <row r="5382">
          <cell r="I5382" t="str">
            <v>EDI</v>
          </cell>
          <cell r="L5382">
            <v>573</v>
          </cell>
          <cell r="N5382" t="str">
            <v>Production</v>
          </cell>
          <cell r="O5382" t="str">
            <v>No</v>
          </cell>
          <cell r="Q5382" t="str">
            <v>Live</v>
          </cell>
          <cell r="R5382">
            <v>44553.689803240741</v>
          </cell>
          <cell r="S5382" t="str">
            <v>Joseph Atef Old Account</v>
          </cell>
          <cell r="T5382">
            <v>44631</v>
          </cell>
          <cell r="U5382" t="str">
            <v>Denise Stubenvoll</v>
          </cell>
          <cell r="V5382">
            <v>25569</v>
          </cell>
          <cell r="W5382">
            <v>44684</v>
          </cell>
          <cell r="Y5382">
            <v>44629</v>
          </cell>
          <cell r="AC5382">
            <v>44679</v>
          </cell>
        </row>
        <row r="5383">
          <cell r="I5383" t="str">
            <v>EDI</v>
          </cell>
          <cell r="L5383">
            <v>259</v>
          </cell>
          <cell r="N5383" t="str">
            <v>Production</v>
          </cell>
          <cell r="O5383" t="str">
            <v>No</v>
          </cell>
          <cell r="Q5383" t="str">
            <v>Live</v>
          </cell>
          <cell r="R5383">
            <v>44553.601215277777</v>
          </cell>
          <cell r="S5383" t="str">
            <v>Joseph Atef Old Account</v>
          </cell>
          <cell r="T5383">
            <v>44560</v>
          </cell>
          <cell r="U5383" t="str">
            <v>Vicky Wright</v>
          </cell>
          <cell r="V5383">
            <v>44654</v>
          </cell>
          <cell r="W5383">
            <v>44670</v>
          </cell>
          <cell r="AC5383">
            <v>44669</v>
          </cell>
        </row>
        <row r="5384">
          <cell r="I5384" t="str">
            <v>EDI</v>
          </cell>
          <cell r="L5384">
            <v>783</v>
          </cell>
          <cell r="N5384" t="str">
            <v>Production</v>
          </cell>
          <cell r="O5384" t="str">
            <v>No</v>
          </cell>
          <cell r="Q5384" t="str">
            <v>Cancelled</v>
          </cell>
          <cell r="R5384">
            <v>44553.595405092587</v>
          </cell>
          <cell r="S5384" t="str">
            <v>Haytham Mohamed</v>
          </cell>
          <cell r="T5384">
            <v>44665</v>
          </cell>
          <cell r="U5384" t="str">
            <v>Vicky Wright</v>
          </cell>
          <cell r="V5384">
            <v>44677</v>
          </cell>
          <cell r="W5384">
            <v>25569</v>
          </cell>
          <cell r="Y5384">
            <v>44637</v>
          </cell>
          <cell r="AC5384">
            <v>44691</v>
          </cell>
        </row>
        <row r="5385">
          <cell r="I5385" t="str">
            <v>EDI</v>
          </cell>
          <cell r="L5385">
            <v>336</v>
          </cell>
          <cell r="N5385" t="str">
            <v>Production</v>
          </cell>
          <cell r="O5385" t="str">
            <v>No</v>
          </cell>
          <cell r="Q5385" t="str">
            <v>Live</v>
          </cell>
          <cell r="R5385">
            <v>44553.595405092587</v>
          </cell>
          <cell r="S5385" t="str">
            <v>Mina Adel Old Account</v>
          </cell>
          <cell r="T5385">
            <v>44584</v>
          </cell>
          <cell r="U5385" t="str">
            <v>Vicky Wright</v>
          </cell>
          <cell r="V5385">
            <v>25569</v>
          </cell>
          <cell r="W5385">
            <v>44621</v>
          </cell>
          <cell r="AC5385">
            <v>44619</v>
          </cell>
        </row>
        <row r="5386">
          <cell r="I5386" t="str">
            <v>EDI</v>
          </cell>
          <cell r="L5386">
            <v>612</v>
          </cell>
          <cell r="N5386" t="str">
            <v>Production</v>
          </cell>
          <cell r="O5386" t="str">
            <v>No</v>
          </cell>
          <cell r="Q5386" t="str">
            <v>Cancelled</v>
          </cell>
          <cell r="R5386">
            <v>44553.595405092587</v>
          </cell>
          <cell r="S5386" t="str">
            <v>Mina George Old Account</v>
          </cell>
          <cell r="T5386">
            <v>44637</v>
          </cell>
          <cell r="U5386" t="str">
            <v>Vicky Wright</v>
          </cell>
          <cell r="V5386">
            <v>44670</v>
          </cell>
          <cell r="W5386">
            <v>44713</v>
          </cell>
          <cell r="Y5386">
            <v>44636</v>
          </cell>
          <cell r="AC5386">
            <v>44707</v>
          </cell>
        </row>
        <row r="5387">
          <cell r="I5387" t="str">
            <v>EDI</v>
          </cell>
          <cell r="L5387">
            <v>276</v>
          </cell>
          <cell r="N5387" t="str">
            <v>Production</v>
          </cell>
          <cell r="O5387" t="str">
            <v>No</v>
          </cell>
          <cell r="Q5387" t="str">
            <v>Cancelled</v>
          </cell>
          <cell r="R5387">
            <v>44553.588159722232</v>
          </cell>
          <cell r="S5387" t="str">
            <v>Haytham Mohamed</v>
          </cell>
          <cell r="T5387">
            <v>44560</v>
          </cell>
          <cell r="U5387" t="str">
            <v>Billy Smith</v>
          </cell>
          <cell r="V5387">
            <v>44607</v>
          </cell>
          <cell r="W5387">
            <v>44670</v>
          </cell>
          <cell r="AC5387">
            <v>44667</v>
          </cell>
        </row>
        <row r="5388">
          <cell r="I5388" t="str">
            <v>EDI</v>
          </cell>
          <cell r="L5388">
            <v>329</v>
          </cell>
          <cell r="N5388" t="str">
            <v>Production</v>
          </cell>
          <cell r="O5388" t="str">
            <v>No</v>
          </cell>
          <cell r="Q5388" t="str">
            <v>Cancelled</v>
          </cell>
          <cell r="R5388">
            <v>44553.588159722232</v>
          </cell>
          <cell r="S5388" t="str">
            <v>Omar Elmahalwy Old Account</v>
          </cell>
          <cell r="T5388">
            <v>44584</v>
          </cell>
          <cell r="U5388" t="str">
            <v>Billy Smith</v>
          </cell>
          <cell r="V5388">
            <v>44619</v>
          </cell>
          <cell r="W5388">
            <v>44642</v>
          </cell>
          <cell r="AC5388">
            <v>44634</v>
          </cell>
        </row>
        <row r="5389">
          <cell r="I5389" t="str">
            <v>EDI</v>
          </cell>
          <cell r="L5389">
            <v>1200</v>
          </cell>
          <cell r="N5389" t="str">
            <v>Production</v>
          </cell>
          <cell r="O5389" t="str">
            <v>No</v>
          </cell>
          <cell r="Q5389" t="str">
            <v>Cancelled</v>
          </cell>
          <cell r="R5389">
            <v>44553.588159722232</v>
          </cell>
          <cell r="S5389" t="str">
            <v>Aya Fathy</v>
          </cell>
          <cell r="T5389">
            <v>44746</v>
          </cell>
          <cell r="U5389" t="str">
            <v>Billy Smith</v>
          </cell>
          <cell r="V5389">
            <v>44747</v>
          </cell>
          <cell r="W5389">
            <v>44776</v>
          </cell>
          <cell r="Y5389">
            <v>44745</v>
          </cell>
          <cell r="AC5389">
            <v>44769</v>
          </cell>
        </row>
        <row r="5390">
          <cell r="I5390" t="str">
            <v>EDI</v>
          </cell>
          <cell r="L5390">
            <v>369</v>
          </cell>
          <cell r="N5390" t="str">
            <v>Production</v>
          </cell>
          <cell r="O5390" t="str">
            <v>No</v>
          </cell>
          <cell r="Q5390" t="str">
            <v>Cancelled</v>
          </cell>
          <cell r="R5390">
            <v>44553.588148148148</v>
          </cell>
          <cell r="S5390" t="str">
            <v>Omnia Abdelaziz</v>
          </cell>
          <cell r="T5390">
            <v>44892</v>
          </cell>
          <cell r="U5390" t="str">
            <v>Billy Smith</v>
          </cell>
          <cell r="V5390">
            <v>44643</v>
          </cell>
          <cell r="W5390">
            <v>25569</v>
          </cell>
          <cell r="AC5390">
            <v>44659</v>
          </cell>
        </row>
        <row r="5391">
          <cell r="I5391" t="str">
            <v>EDI</v>
          </cell>
          <cell r="L5391">
            <v>283</v>
          </cell>
          <cell r="N5391" t="str">
            <v>Production</v>
          </cell>
          <cell r="O5391" t="str">
            <v>No</v>
          </cell>
          <cell r="Q5391" t="str">
            <v>Cancelled</v>
          </cell>
          <cell r="R5391">
            <v>44553.588148148148</v>
          </cell>
          <cell r="S5391" t="str">
            <v>Fady Bassel</v>
          </cell>
          <cell r="T5391">
            <v>44570</v>
          </cell>
          <cell r="U5391" t="str">
            <v>Billy Smith</v>
          </cell>
          <cell r="V5391">
            <v>25569</v>
          </cell>
          <cell r="W5391">
            <v>44593</v>
          </cell>
        </row>
        <row r="5392">
          <cell r="I5392" t="str">
            <v>EDI</v>
          </cell>
          <cell r="L5392">
            <v>427</v>
          </cell>
          <cell r="N5392" t="str">
            <v>Production</v>
          </cell>
          <cell r="O5392" t="str">
            <v>No</v>
          </cell>
          <cell r="Q5392" t="str">
            <v>Live</v>
          </cell>
          <cell r="R5392">
            <v>44553.57571759259</v>
          </cell>
          <cell r="S5392" t="str">
            <v>Jack Salah</v>
          </cell>
          <cell r="T5392">
            <v>44592</v>
          </cell>
          <cell r="U5392" t="str">
            <v>Billy Smith</v>
          </cell>
          <cell r="V5392">
            <v>44622</v>
          </cell>
          <cell r="W5392">
            <v>44628</v>
          </cell>
          <cell r="AC5392">
            <v>44623</v>
          </cell>
        </row>
        <row r="5393">
          <cell r="I5393" t="str">
            <v>EDI</v>
          </cell>
          <cell r="L5393">
            <v>335</v>
          </cell>
          <cell r="N5393" t="str">
            <v>Production</v>
          </cell>
          <cell r="O5393" t="str">
            <v>No</v>
          </cell>
          <cell r="Q5393" t="str">
            <v>Live</v>
          </cell>
          <cell r="R5393">
            <v>44553.575706018521</v>
          </cell>
          <cell r="S5393" t="str">
            <v>Omnia Abdelaziz</v>
          </cell>
          <cell r="T5393">
            <v>44892</v>
          </cell>
          <cell r="U5393" t="str">
            <v>Billy Smith</v>
          </cell>
          <cell r="V5393">
            <v>44637</v>
          </cell>
          <cell r="W5393">
            <v>44663</v>
          </cell>
          <cell r="AC5393">
            <v>44659</v>
          </cell>
        </row>
        <row r="5394">
          <cell r="I5394" t="str">
            <v>EDI</v>
          </cell>
          <cell r="L5394">
            <v>23</v>
          </cell>
          <cell r="N5394" t="str">
            <v>Production</v>
          </cell>
          <cell r="O5394" t="str">
            <v>No</v>
          </cell>
          <cell r="Q5394" t="str">
            <v>Cancelled</v>
          </cell>
          <cell r="R5394">
            <v>44553.385162037041</v>
          </cell>
          <cell r="S5394" t="str">
            <v>Dina Medhat</v>
          </cell>
          <cell r="T5394">
            <v>44553</v>
          </cell>
          <cell r="U5394" t="str">
            <v>Billy Smith</v>
          </cell>
          <cell r="V5394">
            <v>25569</v>
          </cell>
          <cell r="W5394">
            <v>44929</v>
          </cell>
          <cell r="AC5394">
            <v>44929</v>
          </cell>
        </row>
        <row r="5395">
          <cell r="I5395" t="str">
            <v>EDI</v>
          </cell>
          <cell r="L5395">
            <v>296</v>
          </cell>
          <cell r="N5395" t="str">
            <v>Production</v>
          </cell>
          <cell r="O5395" t="str">
            <v>Everything Benefits</v>
          </cell>
          <cell r="P5395" t="str">
            <v>Production</v>
          </cell>
          <cell r="Q5395" t="str">
            <v>Live</v>
          </cell>
          <cell r="R5395">
            <v>44553.187372685177</v>
          </cell>
          <cell r="S5395" t="str">
            <v>Mirna Azmy</v>
          </cell>
          <cell r="T5395">
            <v>44573</v>
          </cell>
          <cell r="U5395" t="str">
            <v>Billy Smith</v>
          </cell>
          <cell r="W5395">
            <v>44711</v>
          </cell>
          <cell r="AC5395">
            <v>44711</v>
          </cell>
        </row>
        <row r="5396">
          <cell r="I5396" t="str">
            <v>EDI</v>
          </cell>
          <cell r="L5396">
            <v>278</v>
          </cell>
          <cell r="N5396" t="str">
            <v>Production</v>
          </cell>
          <cell r="O5396" t="str">
            <v>Everything Benefits</v>
          </cell>
          <cell r="P5396" t="str">
            <v>Production</v>
          </cell>
          <cell r="Q5396" t="str">
            <v>Cancelled</v>
          </cell>
          <cell r="R5396">
            <v>44553.170358796298</v>
          </cell>
          <cell r="S5396" t="str">
            <v>Mina Kamil Old Account</v>
          </cell>
          <cell r="T5396">
            <v>44564</v>
          </cell>
          <cell r="U5396" t="str">
            <v>Billy Smith</v>
          </cell>
          <cell r="V5396">
            <v>44770</v>
          </cell>
          <cell r="W5396">
            <v>44788</v>
          </cell>
          <cell r="AC5396">
            <v>44787</v>
          </cell>
        </row>
        <row r="5397">
          <cell r="I5397" t="str">
            <v>EDI</v>
          </cell>
          <cell r="L5397">
            <v>553</v>
          </cell>
          <cell r="N5397" t="str">
            <v>Testing</v>
          </cell>
          <cell r="O5397" t="str">
            <v>Everything Benefits</v>
          </cell>
          <cell r="P5397" t="str">
            <v>Migration Testing</v>
          </cell>
          <cell r="Q5397" t="str">
            <v>Cancelled</v>
          </cell>
          <cell r="R5397">
            <v>44553.170358796298</v>
          </cell>
          <cell r="S5397" t="str">
            <v>Mahmoud Heidar</v>
          </cell>
          <cell r="T5397">
            <v>44618</v>
          </cell>
          <cell r="U5397" t="str">
            <v>Billy Smith</v>
          </cell>
          <cell r="V5397">
            <v>44637</v>
          </cell>
          <cell r="Y5397">
            <v>44616</v>
          </cell>
        </row>
        <row r="5398">
          <cell r="I5398" t="str">
            <v>EDI</v>
          </cell>
          <cell r="L5398">
            <v>239</v>
          </cell>
          <cell r="N5398" t="str">
            <v>Production</v>
          </cell>
          <cell r="O5398" t="str">
            <v>Everything Benefits</v>
          </cell>
          <cell r="P5398" t="str">
            <v>Production</v>
          </cell>
          <cell r="Q5398" t="str">
            <v>Cancelled</v>
          </cell>
          <cell r="R5398">
            <v>44553.161608796298</v>
          </cell>
          <cell r="S5398" t="str">
            <v>Ahmed Gamal</v>
          </cell>
          <cell r="T5398">
            <v>44585</v>
          </cell>
          <cell r="U5398" t="str">
            <v>Miranda Naeem</v>
          </cell>
          <cell r="W5398">
            <v>44620</v>
          </cell>
          <cell r="AC5398">
            <v>44616</v>
          </cell>
        </row>
        <row r="5399">
          <cell r="I5399" t="str">
            <v>EDI</v>
          </cell>
          <cell r="L5399">
            <v>333</v>
          </cell>
          <cell r="N5399" t="str">
            <v>Production</v>
          </cell>
          <cell r="O5399" t="str">
            <v>Everything Benefits</v>
          </cell>
          <cell r="P5399" t="str">
            <v>Production</v>
          </cell>
          <cell r="Q5399" t="str">
            <v>Cancelled</v>
          </cell>
          <cell r="R5399">
            <v>44553.152187500003</v>
          </cell>
          <cell r="S5399" t="str">
            <v>Alaa Yehia</v>
          </cell>
          <cell r="T5399">
            <v>44585</v>
          </cell>
          <cell r="U5399" t="str">
            <v>Melodie Coles</v>
          </cell>
          <cell r="V5399">
            <v>44780</v>
          </cell>
          <cell r="W5399">
            <v>44991</v>
          </cell>
          <cell r="AC5399">
            <v>44990</v>
          </cell>
        </row>
        <row r="5400">
          <cell r="I5400" t="str">
            <v>EDI</v>
          </cell>
          <cell r="L5400">
            <v>257</v>
          </cell>
          <cell r="N5400" t="str">
            <v>Production</v>
          </cell>
          <cell r="O5400" t="str">
            <v>Everything Benefits</v>
          </cell>
          <cell r="P5400" t="str">
            <v>Production</v>
          </cell>
          <cell r="Q5400" t="str">
            <v>Cancelled</v>
          </cell>
          <cell r="R5400">
            <v>44553.152175925927</v>
          </cell>
          <cell r="S5400" t="str">
            <v>Alaa Yehia</v>
          </cell>
          <cell r="T5400">
            <v>44559</v>
          </cell>
          <cell r="W5400">
            <v>44620</v>
          </cell>
          <cell r="AC5400">
            <v>44616</v>
          </cell>
        </row>
        <row r="5401">
          <cell r="I5401" t="str">
            <v>EDI</v>
          </cell>
          <cell r="L5401">
            <v>316</v>
          </cell>
          <cell r="N5401" t="str">
            <v>Production</v>
          </cell>
          <cell r="O5401" t="str">
            <v>Everything Benefits</v>
          </cell>
          <cell r="P5401" t="str">
            <v>Production</v>
          </cell>
          <cell r="Q5401" t="str">
            <v>Cancelled</v>
          </cell>
          <cell r="R5401">
            <v>44553.152175925927</v>
          </cell>
          <cell r="S5401" t="str">
            <v>Ahmed Gamal</v>
          </cell>
          <cell r="T5401">
            <v>44578</v>
          </cell>
          <cell r="W5401">
            <v>44631</v>
          </cell>
          <cell r="AC5401">
            <v>44631</v>
          </cell>
        </row>
        <row r="5402">
          <cell r="I5402" t="str">
            <v>EDI</v>
          </cell>
          <cell r="L5402">
            <v>527</v>
          </cell>
          <cell r="N5402" t="str">
            <v>Production</v>
          </cell>
          <cell r="O5402" t="str">
            <v>Everything Benefits</v>
          </cell>
          <cell r="P5402" t="str">
            <v>Production</v>
          </cell>
          <cell r="Q5402" t="str">
            <v>Live</v>
          </cell>
          <cell r="R5402">
            <v>44553.144513888888</v>
          </cell>
          <cell r="S5402" t="str">
            <v>Alaa Yehia</v>
          </cell>
          <cell r="T5402">
            <v>44621</v>
          </cell>
          <cell r="U5402" t="str">
            <v>Billy Smith</v>
          </cell>
          <cell r="W5402">
            <v>44711</v>
          </cell>
          <cell r="Y5402">
            <v>44621</v>
          </cell>
          <cell r="AC5402">
            <v>44711</v>
          </cell>
        </row>
        <row r="5403">
          <cell r="I5403" t="str">
            <v>EDI</v>
          </cell>
          <cell r="L5403">
            <v>232</v>
          </cell>
          <cell r="N5403" t="str">
            <v>Production</v>
          </cell>
          <cell r="O5403" t="str">
            <v>Everything Benefits</v>
          </cell>
          <cell r="P5403" t="str">
            <v>Production</v>
          </cell>
          <cell r="Q5403" t="str">
            <v>Cancelled</v>
          </cell>
          <cell r="R5403">
            <v>44553.138067129628</v>
          </cell>
          <cell r="S5403" t="str">
            <v>Ahmed Gamal</v>
          </cell>
          <cell r="T5403">
            <v>44559</v>
          </cell>
          <cell r="U5403" t="str">
            <v>Billy Smith</v>
          </cell>
          <cell r="W5403">
            <v>25569</v>
          </cell>
          <cell r="AC5403">
            <v>44608</v>
          </cell>
        </row>
        <row r="5404">
          <cell r="I5404" t="str">
            <v>EDI</v>
          </cell>
          <cell r="L5404">
            <v>230</v>
          </cell>
          <cell r="N5404" t="str">
            <v>Production</v>
          </cell>
          <cell r="O5404" t="str">
            <v>Everything Benefits</v>
          </cell>
          <cell r="P5404" t="str">
            <v>Production</v>
          </cell>
          <cell r="Q5404" t="str">
            <v>Cancelled</v>
          </cell>
          <cell r="R5404">
            <v>44553.138055555559</v>
          </cell>
          <cell r="S5404" t="str">
            <v>Mina Kamil Old Account</v>
          </cell>
          <cell r="T5404">
            <v>44564</v>
          </cell>
          <cell r="U5404" t="str">
            <v>Billy Smith</v>
          </cell>
          <cell r="W5404">
            <v>25569</v>
          </cell>
          <cell r="AC5404">
            <v>44641</v>
          </cell>
        </row>
        <row r="5405">
          <cell r="I5405" t="str">
            <v>EDI</v>
          </cell>
          <cell r="L5405">
            <v>314</v>
          </cell>
          <cell r="N5405" t="str">
            <v>Production</v>
          </cell>
          <cell r="O5405" t="str">
            <v>Everything Benefits</v>
          </cell>
          <cell r="P5405" t="str">
            <v>Production</v>
          </cell>
          <cell r="Q5405" t="str">
            <v>Cancelled</v>
          </cell>
          <cell r="R5405">
            <v>44553.126944444448</v>
          </cell>
          <cell r="S5405" t="str">
            <v>Alaa Yehia</v>
          </cell>
          <cell r="T5405">
            <v>44573</v>
          </cell>
          <cell r="U5405" t="str">
            <v>Billy Smith</v>
          </cell>
          <cell r="W5405">
            <v>44725</v>
          </cell>
          <cell r="AC5405">
            <v>44718</v>
          </cell>
        </row>
        <row r="5406">
          <cell r="I5406" t="str">
            <v>EDI</v>
          </cell>
          <cell r="L5406">
            <v>227</v>
          </cell>
          <cell r="N5406" t="str">
            <v>Production</v>
          </cell>
          <cell r="O5406" t="str">
            <v>Everything Benefits</v>
          </cell>
          <cell r="P5406" t="str">
            <v>Production</v>
          </cell>
          <cell r="Q5406" t="str">
            <v>Cancelled</v>
          </cell>
          <cell r="R5406">
            <v>44553.121157407397</v>
          </cell>
          <cell r="S5406" t="str">
            <v>Mirna Azmy</v>
          </cell>
          <cell r="T5406">
            <v>44558</v>
          </cell>
          <cell r="U5406" t="str">
            <v>Billy Smith</v>
          </cell>
          <cell r="V5406">
            <v>44871</v>
          </cell>
          <cell r="W5406">
            <v>44970</v>
          </cell>
          <cell r="AC5406">
            <v>44969</v>
          </cell>
        </row>
        <row r="5407">
          <cell r="I5407" t="str">
            <v>EDI</v>
          </cell>
          <cell r="L5407">
            <v>231</v>
          </cell>
          <cell r="N5407" t="str">
            <v>Production</v>
          </cell>
          <cell r="O5407" t="str">
            <v>Everything Benefits</v>
          </cell>
          <cell r="P5407" t="str">
            <v>Production</v>
          </cell>
          <cell r="Q5407" t="str">
            <v>Cancelled</v>
          </cell>
          <cell r="R5407">
            <v>44553.121157407397</v>
          </cell>
          <cell r="S5407" t="str">
            <v>Ahmed Gamal</v>
          </cell>
          <cell r="T5407">
            <v>44558</v>
          </cell>
          <cell r="U5407" t="str">
            <v>Billy Smith</v>
          </cell>
          <cell r="W5407">
            <v>44644</v>
          </cell>
          <cell r="AC5407">
            <v>44640</v>
          </cell>
        </row>
        <row r="5408">
          <cell r="I5408" t="str">
            <v>EDI</v>
          </cell>
          <cell r="L5408">
            <v>241</v>
          </cell>
          <cell r="N5408" t="str">
            <v>Production</v>
          </cell>
          <cell r="O5408" t="str">
            <v>Everything Benefits</v>
          </cell>
          <cell r="P5408" t="str">
            <v>Production</v>
          </cell>
          <cell r="Q5408" t="str">
            <v>Live</v>
          </cell>
          <cell r="R5408">
            <v>44553.101689814823</v>
          </cell>
          <cell r="S5408" t="str">
            <v>Mirna Azmy</v>
          </cell>
          <cell r="T5408">
            <v>44559</v>
          </cell>
          <cell r="U5408" t="str">
            <v>Billy Smith</v>
          </cell>
          <cell r="W5408">
            <v>44627</v>
          </cell>
          <cell r="AC5408">
            <v>44627</v>
          </cell>
        </row>
        <row r="5409">
          <cell r="I5409" t="str">
            <v>EDI</v>
          </cell>
          <cell r="L5409">
            <v>294</v>
          </cell>
          <cell r="N5409" t="str">
            <v>Production</v>
          </cell>
          <cell r="O5409" t="str">
            <v>Everything Benefits</v>
          </cell>
          <cell r="P5409" t="str">
            <v>Production</v>
          </cell>
          <cell r="Q5409" t="str">
            <v>Live</v>
          </cell>
          <cell r="R5409">
            <v>44553.101689814823</v>
          </cell>
          <cell r="S5409" t="str">
            <v>Mahmoud Heidar</v>
          </cell>
          <cell r="T5409">
            <v>44671</v>
          </cell>
          <cell r="U5409" t="str">
            <v>Billy Smith</v>
          </cell>
          <cell r="V5409">
            <v>44739</v>
          </cell>
          <cell r="W5409">
            <v>25569</v>
          </cell>
          <cell r="AC5409">
            <v>44969</v>
          </cell>
        </row>
        <row r="5410">
          <cell r="I5410" t="str">
            <v>EDI</v>
          </cell>
          <cell r="L5410">
            <v>234</v>
          </cell>
          <cell r="N5410" t="str">
            <v>Production</v>
          </cell>
          <cell r="O5410" t="str">
            <v>Everything Benefits</v>
          </cell>
          <cell r="P5410" t="str">
            <v>Production</v>
          </cell>
          <cell r="Q5410" t="str">
            <v>Cancelled</v>
          </cell>
          <cell r="R5410">
            <v>44553.101678240739</v>
          </cell>
          <cell r="S5410" t="str">
            <v>Mina Kamil Old Account</v>
          </cell>
          <cell r="T5410">
            <v>44559</v>
          </cell>
          <cell r="U5410" t="str">
            <v>Billy Smith</v>
          </cell>
          <cell r="W5410">
            <v>44606</v>
          </cell>
          <cell r="AC5410">
            <v>44603</v>
          </cell>
        </row>
        <row r="5411">
          <cell r="I5411" t="str">
            <v>EDI</v>
          </cell>
          <cell r="L5411">
            <v>228</v>
          </cell>
          <cell r="N5411" t="str">
            <v>Production</v>
          </cell>
          <cell r="O5411" t="str">
            <v>Everything Benefits</v>
          </cell>
          <cell r="P5411" t="str">
            <v>Production</v>
          </cell>
          <cell r="Q5411" t="str">
            <v>Live</v>
          </cell>
          <cell r="R5411">
            <v>44553.084560185183</v>
          </cell>
          <cell r="S5411" t="str">
            <v>Alaa Yehia</v>
          </cell>
          <cell r="T5411">
            <v>44558</v>
          </cell>
          <cell r="U5411" t="str">
            <v>Billy Smith</v>
          </cell>
          <cell r="V5411">
            <v>44605</v>
          </cell>
          <cell r="W5411">
            <v>44721</v>
          </cell>
          <cell r="AC5411">
            <v>44718</v>
          </cell>
        </row>
        <row r="5412">
          <cell r="I5412" t="str">
            <v>EDI</v>
          </cell>
          <cell r="L5412">
            <v>295</v>
          </cell>
          <cell r="N5412" t="str">
            <v>Production</v>
          </cell>
          <cell r="O5412" t="str">
            <v>Everything Benefits</v>
          </cell>
          <cell r="P5412" t="str">
            <v>Production</v>
          </cell>
          <cell r="Q5412" t="str">
            <v>Live</v>
          </cell>
          <cell r="R5412">
            <v>44553.084560185183</v>
          </cell>
          <cell r="S5412" t="str">
            <v>Mirna Azmy</v>
          </cell>
          <cell r="T5412">
            <v>44573</v>
          </cell>
          <cell r="U5412" t="str">
            <v>Billy Smith</v>
          </cell>
          <cell r="W5412">
            <v>44649</v>
          </cell>
          <cell r="AC5412">
            <v>44649</v>
          </cell>
        </row>
        <row r="5413">
          <cell r="I5413" t="str">
            <v>EDI</v>
          </cell>
          <cell r="L5413">
            <v>238</v>
          </cell>
          <cell r="N5413" t="str">
            <v>Production</v>
          </cell>
          <cell r="O5413" t="str">
            <v>Everything Benefits</v>
          </cell>
          <cell r="P5413" t="str">
            <v>Production</v>
          </cell>
          <cell r="Q5413" t="str">
            <v>Live</v>
          </cell>
          <cell r="R5413">
            <v>44553.084548611107</v>
          </cell>
          <cell r="S5413" t="str">
            <v>Ahmed Gamal</v>
          </cell>
          <cell r="T5413">
            <v>44585</v>
          </cell>
          <cell r="U5413" t="str">
            <v>Billy Smith</v>
          </cell>
          <cell r="W5413">
            <v>44620</v>
          </cell>
          <cell r="AC5413">
            <v>44616</v>
          </cell>
        </row>
        <row r="5414">
          <cell r="I5414" t="str">
            <v>EDI</v>
          </cell>
          <cell r="L5414">
            <v>338</v>
          </cell>
          <cell r="N5414" t="str">
            <v>Production</v>
          </cell>
          <cell r="O5414" t="str">
            <v>No</v>
          </cell>
          <cell r="Q5414" t="str">
            <v>Live</v>
          </cell>
          <cell r="R5414">
            <v>44553.072442129633</v>
          </cell>
          <cell r="S5414" t="str">
            <v>Mohamed Samy</v>
          </cell>
          <cell r="T5414">
            <v>44570</v>
          </cell>
          <cell r="U5414" t="str">
            <v>Denise Stubenvoll</v>
          </cell>
          <cell r="V5414">
            <v>44634</v>
          </cell>
          <cell r="W5414">
            <v>44663</v>
          </cell>
          <cell r="AC5414">
            <v>44649</v>
          </cell>
        </row>
        <row r="5415">
          <cell r="I5415" t="str">
            <v>EDI</v>
          </cell>
          <cell r="L5415">
            <v>339</v>
          </cell>
          <cell r="N5415" t="str">
            <v>Production</v>
          </cell>
          <cell r="O5415" t="str">
            <v>No</v>
          </cell>
          <cell r="Q5415" t="str">
            <v>Live</v>
          </cell>
          <cell r="R5415">
            <v>44553.072442129633</v>
          </cell>
          <cell r="S5415" t="str">
            <v>Mina George Old Account</v>
          </cell>
          <cell r="T5415">
            <v>44586</v>
          </cell>
          <cell r="U5415" t="str">
            <v>Denise Stubenvoll</v>
          </cell>
          <cell r="V5415">
            <v>44601</v>
          </cell>
          <cell r="W5415">
            <v>44614</v>
          </cell>
          <cell r="AC5415">
            <v>44607</v>
          </cell>
        </row>
        <row r="5416">
          <cell r="I5416" t="str">
            <v>EDI</v>
          </cell>
          <cell r="N5416" t="str">
            <v>Requirements Gathering</v>
          </cell>
          <cell r="O5416" t="str">
            <v>No</v>
          </cell>
          <cell r="Q5416" t="str">
            <v>Cancelled</v>
          </cell>
          <cell r="R5416">
            <v>44553.072430555563</v>
          </cell>
          <cell r="S5416" t="str">
            <v>Lourina Edmon Old Account</v>
          </cell>
          <cell r="T5416">
            <v>44888</v>
          </cell>
          <cell r="U5416" t="str">
            <v>Denise Stubenvoll</v>
          </cell>
        </row>
        <row r="5417">
          <cell r="I5417" t="str">
            <v>EDI</v>
          </cell>
          <cell r="L5417">
            <v>1649</v>
          </cell>
          <cell r="N5417" t="str">
            <v>Testing</v>
          </cell>
          <cell r="O5417" t="str">
            <v>Everything Benefits</v>
          </cell>
          <cell r="P5417" t="str">
            <v>Migration Testing</v>
          </cell>
          <cell r="Q5417" t="str">
            <v>Cancelled</v>
          </cell>
          <cell r="R5417">
            <v>44552.877418981479</v>
          </cell>
          <cell r="S5417" t="str">
            <v>Salma Yamani</v>
          </cell>
          <cell r="T5417">
            <v>44851</v>
          </cell>
          <cell r="U5417" t="str">
            <v>Billy Smith</v>
          </cell>
          <cell r="V5417">
            <v>25569</v>
          </cell>
        </row>
        <row r="5418">
          <cell r="I5418" t="str">
            <v>EDI</v>
          </cell>
          <cell r="L5418">
            <v>386</v>
          </cell>
          <cell r="N5418" t="str">
            <v>Production</v>
          </cell>
          <cell r="O5418" t="str">
            <v>No</v>
          </cell>
          <cell r="Q5418" t="str">
            <v>Cancelled</v>
          </cell>
          <cell r="R5418">
            <v>44552.872499999998</v>
          </cell>
          <cell r="S5418" t="str">
            <v>Mohamed Samy</v>
          </cell>
          <cell r="T5418">
            <v>44577</v>
          </cell>
          <cell r="U5418" t="str">
            <v>Denise Stubenvoll</v>
          </cell>
          <cell r="V5418">
            <v>44630</v>
          </cell>
          <cell r="W5418">
            <v>44755</v>
          </cell>
          <cell r="AC5418">
            <v>44708</v>
          </cell>
        </row>
        <row r="5419">
          <cell r="I5419" t="str">
            <v>EDI</v>
          </cell>
          <cell r="L5419">
            <v>337</v>
          </cell>
          <cell r="N5419" t="str">
            <v>Production</v>
          </cell>
          <cell r="O5419" t="str">
            <v>No</v>
          </cell>
          <cell r="Q5419" t="str">
            <v>Live</v>
          </cell>
          <cell r="R5419">
            <v>44552.871851851851</v>
          </cell>
          <cell r="S5419" t="str">
            <v>Omnia Abdelaziz</v>
          </cell>
          <cell r="T5419">
            <v>44892</v>
          </cell>
          <cell r="U5419" t="str">
            <v>Denise Stubenvoll</v>
          </cell>
          <cell r="V5419">
            <v>44615</v>
          </cell>
          <cell r="W5419">
            <v>44714</v>
          </cell>
          <cell r="AC5419">
            <v>44707</v>
          </cell>
        </row>
        <row r="5420">
          <cell r="I5420" t="str">
            <v>EDI</v>
          </cell>
          <cell r="L5420">
            <v>320</v>
          </cell>
          <cell r="N5420" t="str">
            <v>Testing</v>
          </cell>
          <cell r="O5420" t="str">
            <v>No</v>
          </cell>
          <cell r="Q5420" t="str">
            <v>Cancelled</v>
          </cell>
          <cell r="R5420">
            <v>44552.871851851851</v>
          </cell>
          <cell r="S5420" t="str">
            <v>Jack Salah</v>
          </cell>
          <cell r="T5420">
            <v>44577</v>
          </cell>
          <cell r="U5420" t="str">
            <v>Denise Stubenvoll</v>
          </cell>
          <cell r="V5420">
            <v>25569</v>
          </cell>
        </row>
        <row r="5421">
          <cell r="I5421" t="str">
            <v>EDI</v>
          </cell>
          <cell r="L5421">
            <v>240</v>
          </cell>
          <cell r="N5421" t="str">
            <v>Production</v>
          </cell>
          <cell r="O5421" t="str">
            <v>No</v>
          </cell>
          <cell r="Q5421" t="str">
            <v>Live</v>
          </cell>
          <cell r="R5421">
            <v>44552.864178240743</v>
          </cell>
          <cell r="S5421" t="str">
            <v>Omar Elmahalwy Old Account</v>
          </cell>
          <cell r="T5421">
            <v>44560</v>
          </cell>
          <cell r="U5421" t="str">
            <v>Miranda Naeem</v>
          </cell>
          <cell r="V5421">
            <v>44598</v>
          </cell>
          <cell r="W5421">
            <v>44726</v>
          </cell>
          <cell r="AC5421">
            <v>44721</v>
          </cell>
        </row>
        <row r="5422">
          <cell r="I5422" t="str">
            <v>EDI</v>
          </cell>
          <cell r="L5422">
            <v>280</v>
          </cell>
          <cell r="N5422" t="str">
            <v>Production</v>
          </cell>
          <cell r="O5422" t="str">
            <v>No</v>
          </cell>
          <cell r="Q5422" t="str">
            <v>Cancelled</v>
          </cell>
          <cell r="R5422">
            <v>44552.864178240743</v>
          </cell>
          <cell r="S5422" t="str">
            <v>Mohamed Samy</v>
          </cell>
          <cell r="T5422">
            <v>44558</v>
          </cell>
          <cell r="U5422" t="str">
            <v>Miranda Naeem</v>
          </cell>
          <cell r="V5422">
            <v>44621</v>
          </cell>
          <cell r="W5422">
            <v>44642</v>
          </cell>
          <cell r="AC5422">
            <v>44634</v>
          </cell>
        </row>
        <row r="5423">
          <cell r="I5423" t="str">
            <v>EDI</v>
          </cell>
          <cell r="L5423">
            <v>251</v>
          </cell>
          <cell r="N5423" t="str">
            <v>Production</v>
          </cell>
          <cell r="O5423" t="str">
            <v>Everything Benefits</v>
          </cell>
          <cell r="P5423" t="str">
            <v>Production</v>
          </cell>
          <cell r="Q5423" t="str">
            <v>Cancelled</v>
          </cell>
          <cell r="R5423">
            <v>44552.806666666656</v>
          </cell>
          <cell r="S5423" t="str">
            <v>Mirna Azmy</v>
          </cell>
          <cell r="T5423">
            <v>44558</v>
          </cell>
          <cell r="U5423" t="str">
            <v>Billy Smith</v>
          </cell>
          <cell r="V5423">
            <v>44655</v>
          </cell>
          <cell r="W5423">
            <v>44634</v>
          </cell>
          <cell r="AC5423">
            <v>44634</v>
          </cell>
        </row>
        <row r="5424">
          <cell r="I5424" t="str">
            <v>EDI</v>
          </cell>
          <cell r="L5424">
            <v>225</v>
          </cell>
          <cell r="N5424" t="str">
            <v>Production</v>
          </cell>
          <cell r="O5424" t="str">
            <v>Everything Benefits</v>
          </cell>
          <cell r="P5424" t="str">
            <v>Production</v>
          </cell>
          <cell r="Q5424" t="str">
            <v>Cancelled</v>
          </cell>
          <cell r="R5424">
            <v>44552.806666666656</v>
          </cell>
          <cell r="S5424" t="str">
            <v>Nada Ashraf</v>
          </cell>
          <cell r="T5424">
            <v>44870</v>
          </cell>
          <cell r="U5424" t="str">
            <v>Billy Smith</v>
          </cell>
          <cell r="V5424">
            <v>44879</v>
          </cell>
          <cell r="W5424">
            <v>44991</v>
          </cell>
          <cell r="AC5424">
            <v>44990</v>
          </cell>
        </row>
        <row r="5425">
          <cell r="I5425" t="str">
            <v>EDI</v>
          </cell>
          <cell r="L5425">
            <v>246</v>
          </cell>
          <cell r="N5425" t="str">
            <v>Production</v>
          </cell>
          <cell r="O5425" t="str">
            <v>Everything Benefits</v>
          </cell>
          <cell r="P5425" t="str">
            <v>Production</v>
          </cell>
          <cell r="Q5425" t="str">
            <v>Cancelled</v>
          </cell>
          <cell r="R5425">
            <v>44552.791932870372</v>
          </cell>
          <cell r="S5425" t="str">
            <v>Mirna Azmy</v>
          </cell>
          <cell r="T5425">
            <v>44559</v>
          </cell>
          <cell r="U5425" t="str">
            <v>Billy Smith</v>
          </cell>
          <cell r="W5425">
            <v>44606</v>
          </cell>
          <cell r="AC5425">
            <v>44603</v>
          </cell>
        </row>
        <row r="5426">
          <cell r="I5426" t="str">
            <v>EDI</v>
          </cell>
          <cell r="L5426">
            <v>247</v>
          </cell>
          <cell r="N5426" t="str">
            <v>Production</v>
          </cell>
          <cell r="O5426" t="str">
            <v>Everything Benefits</v>
          </cell>
          <cell r="P5426" t="str">
            <v>Production</v>
          </cell>
          <cell r="Q5426" t="str">
            <v>Live</v>
          </cell>
          <cell r="R5426">
            <v>44552.779826388891</v>
          </cell>
          <cell r="S5426" t="str">
            <v>Mirna Azmy</v>
          </cell>
          <cell r="T5426">
            <v>44558</v>
          </cell>
          <cell r="U5426" t="str">
            <v>Billy Smith</v>
          </cell>
          <cell r="W5426">
            <v>44776</v>
          </cell>
          <cell r="AC5426">
            <v>44765</v>
          </cell>
        </row>
        <row r="5427">
          <cell r="I5427" t="str">
            <v>EDI</v>
          </cell>
          <cell r="L5427">
            <v>252</v>
          </cell>
          <cell r="N5427" t="str">
            <v>Production</v>
          </cell>
          <cell r="O5427" t="str">
            <v>Everything Benefits</v>
          </cell>
          <cell r="P5427" t="str">
            <v>Production</v>
          </cell>
          <cell r="Q5427" t="str">
            <v>Live</v>
          </cell>
          <cell r="R5427">
            <v>44552.779814814807</v>
          </cell>
          <cell r="S5427" t="str">
            <v>Ahmed Gamal</v>
          </cell>
          <cell r="T5427">
            <v>44558</v>
          </cell>
          <cell r="U5427" t="str">
            <v>Billy Smith</v>
          </cell>
          <cell r="W5427">
            <v>44636</v>
          </cell>
          <cell r="AC5427">
            <v>44636</v>
          </cell>
        </row>
        <row r="5428">
          <cell r="I5428" t="str">
            <v>EDI</v>
          </cell>
          <cell r="L5428">
            <v>236</v>
          </cell>
          <cell r="N5428" t="str">
            <v>Production</v>
          </cell>
          <cell r="O5428" t="str">
            <v>Everything Benefits</v>
          </cell>
          <cell r="P5428" t="str">
            <v>Production</v>
          </cell>
          <cell r="Q5428" t="str">
            <v>Live</v>
          </cell>
          <cell r="R5428">
            <v>44552.779814814807</v>
          </cell>
          <cell r="S5428" t="str">
            <v>Mirna Azmy</v>
          </cell>
          <cell r="T5428">
            <v>44585</v>
          </cell>
          <cell r="U5428" t="str">
            <v>Billy Smith</v>
          </cell>
          <cell r="V5428">
            <v>44875</v>
          </cell>
          <cell r="W5428">
            <v>45005</v>
          </cell>
          <cell r="AC5428">
            <v>45004</v>
          </cell>
        </row>
        <row r="5429">
          <cell r="I5429" t="str">
            <v>EDI</v>
          </cell>
          <cell r="L5429">
            <v>266</v>
          </cell>
          <cell r="N5429" t="str">
            <v>Production</v>
          </cell>
          <cell r="O5429" t="str">
            <v>Everything Benefits</v>
          </cell>
          <cell r="P5429" t="str">
            <v>Production</v>
          </cell>
          <cell r="Q5429" t="str">
            <v>Live</v>
          </cell>
          <cell r="R5429">
            <v>44552.779814814807</v>
          </cell>
          <cell r="S5429" t="str">
            <v>Alaa Yehia</v>
          </cell>
          <cell r="T5429">
            <v>44558</v>
          </cell>
          <cell r="U5429" t="str">
            <v>Billy Smith</v>
          </cell>
          <cell r="W5429">
            <v>44634</v>
          </cell>
          <cell r="AC5429">
            <v>44634</v>
          </cell>
        </row>
        <row r="5430">
          <cell r="I5430" t="str">
            <v>EDI</v>
          </cell>
          <cell r="N5430" t="str">
            <v>Production</v>
          </cell>
          <cell r="O5430" t="str">
            <v>No</v>
          </cell>
          <cell r="Q5430" t="str">
            <v>Cancelled</v>
          </cell>
          <cell r="R5430">
            <v>44551.862997685188</v>
          </cell>
          <cell r="S5430" t="str">
            <v>Dina Medhat</v>
          </cell>
          <cell r="T5430">
            <v>44552</v>
          </cell>
          <cell r="U5430" t="str">
            <v>Elizabeth Kahle</v>
          </cell>
        </row>
        <row r="5431">
          <cell r="I5431" t="str">
            <v>EDI</v>
          </cell>
          <cell r="N5431" t="str">
            <v>Production</v>
          </cell>
          <cell r="O5431" t="str">
            <v>No</v>
          </cell>
          <cell r="Q5431" t="str">
            <v>Cancelled</v>
          </cell>
          <cell r="R5431">
            <v>44551.86178240741</v>
          </cell>
          <cell r="S5431" t="str">
            <v>Dina Medhat</v>
          </cell>
          <cell r="T5431">
            <v>44552</v>
          </cell>
          <cell r="U5431" t="str">
            <v>Elizabeth Kahle</v>
          </cell>
        </row>
        <row r="5432">
          <cell r="I5432" t="str">
            <v>EDI</v>
          </cell>
          <cell r="L5432">
            <v>233</v>
          </cell>
          <cell r="N5432" t="str">
            <v>Testing</v>
          </cell>
          <cell r="O5432" t="str">
            <v>Everything Benefits</v>
          </cell>
          <cell r="P5432" t="str">
            <v>Migration Testing</v>
          </cell>
          <cell r="Q5432" t="str">
            <v>Cancelled</v>
          </cell>
          <cell r="R5432">
            <v>44551.861527777779</v>
          </cell>
          <cell r="S5432" t="str">
            <v>Mina Kamil Old Account</v>
          </cell>
          <cell r="T5432">
            <v>44559</v>
          </cell>
          <cell r="U5432" t="str">
            <v>Billy Smith</v>
          </cell>
        </row>
        <row r="5433">
          <cell r="I5433" t="str">
            <v>EDI</v>
          </cell>
          <cell r="L5433">
            <v>360</v>
          </cell>
          <cell r="N5433" t="str">
            <v>Production</v>
          </cell>
          <cell r="O5433" t="str">
            <v>Everything Benefits</v>
          </cell>
          <cell r="P5433" t="str">
            <v>Production</v>
          </cell>
          <cell r="Q5433" t="str">
            <v>Cancelled</v>
          </cell>
          <cell r="R5433">
            <v>44551.861527777779</v>
          </cell>
          <cell r="S5433" t="str">
            <v>Mohamed Abdelhamed</v>
          </cell>
          <cell r="T5433">
            <v>44593</v>
          </cell>
          <cell r="U5433" t="str">
            <v>Billy Smith</v>
          </cell>
          <cell r="V5433">
            <v>44601</v>
          </cell>
          <cell r="W5433">
            <v>44662</v>
          </cell>
          <cell r="AC5433">
            <v>44662</v>
          </cell>
        </row>
        <row r="5434">
          <cell r="I5434" t="str">
            <v>EDI</v>
          </cell>
          <cell r="L5434">
            <v>293</v>
          </cell>
          <cell r="N5434" t="str">
            <v>Production</v>
          </cell>
          <cell r="O5434" t="str">
            <v>Everything Benefits</v>
          </cell>
          <cell r="P5434" t="str">
            <v>Production</v>
          </cell>
          <cell r="Q5434" t="str">
            <v>Cancelled</v>
          </cell>
          <cell r="R5434">
            <v>44551.861527777779</v>
          </cell>
          <cell r="S5434" t="str">
            <v>Mina Kamil Old Account</v>
          </cell>
          <cell r="T5434">
            <v>44573</v>
          </cell>
          <cell r="U5434" t="str">
            <v>Billy Smith</v>
          </cell>
          <cell r="V5434">
            <v>25569</v>
          </cell>
          <cell r="W5434">
            <v>25569</v>
          </cell>
          <cell r="AC5434">
            <v>44815</v>
          </cell>
        </row>
        <row r="5435">
          <cell r="I5435" t="str">
            <v>EDI</v>
          </cell>
          <cell r="N5435" t="str">
            <v>Production</v>
          </cell>
          <cell r="O5435" t="str">
            <v>No</v>
          </cell>
          <cell r="Q5435" t="str">
            <v>Cancelled</v>
          </cell>
          <cell r="R5435">
            <v>44551.861076388886</v>
          </cell>
          <cell r="S5435" t="str">
            <v>Dina Medhat</v>
          </cell>
          <cell r="T5435">
            <v>44552</v>
          </cell>
          <cell r="U5435" t="str">
            <v>Elizabeth Kahle</v>
          </cell>
        </row>
        <row r="5436">
          <cell r="I5436" t="str">
            <v>EDI</v>
          </cell>
          <cell r="N5436" t="str">
            <v>Production</v>
          </cell>
          <cell r="O5436" t="str">
            <v>No</v>
          </cell>
          <cell r="Q5436" t="str">
            <v>Cancelled</v>
          </cell>
          <cell r="R5436">
            <v>44551.860243055547</v>
          </cell>
          <cell r="S5436" t="str">
            <v>Dina Medhat</v>
          </cell>
          <cell r="T5436">
            <v>44552</v>
          </cell>
          <cell r="U5436" t="str">
            <v>Elizabeth Kahle</v>
          </cell>
        </row>
        <row r="5437">
          <cell r="I5437" t="str">
            <v>EDI</v>
          </cell>
          <cell r="N5437" t="str">
            <v>Production</v>
          </cell>
          <cell r="O5437" t="str">
            <v>No</v>
          </cell>
          <cell r="Q5437" t="str">
            <v>Cancelled</v>
          </cell>
          <cell r="R5437">
            <v>44551.858206018522</v>
          </cell>
          <cell r="S5437" t="str">
            <v>Dina Medhat</v>
          </cell>
          <cell r="T5437">
            <v>44552</v>
          </cell>
          <cell r="U5437" t="str">
            <v>Elizabeth Kahle</v>
          </cell>
        </row>
        <row r="5438">
          <cell r="I5438" t="str">
            <v>EDI</v>
          </cell>
          <cell r="N5438" t="str">
            <v>Production</v>
          </cell>
          <cell r="O5438" t="str">
            <v>No</v>
          </cell>
          <cell r="Q5438" t="str">
            <v>Cancelled</v>
          </cell>
          <cell r="R5438">
            <v>44551.85597222222</v>
          </cell>
          <cell r="S5438" t="str">
            <v>Dina Medhat</v>
          </cell>
          <cell r="T5438">
            <v>44552</v>
          </cell>
          <cell r="U5438" t="str">
            <v>Elizabeth Kahle</v>
          </cell>
        </row>
        <row r="5439">
          <cell r="I5439" t="str">
            <v>EDI</v>
          </cell>
          <cell r="N5439" t="str">
            <v>Production</v>
          </cell>
          <cell r="O5439" t="str">
            <v>No</v>
          </cell>
          <cell r="Q5439" t="str">
            <v>Cancelled</v>
          </cell>
          <cell r="R5439">
            <v>44551.855104166672</v>
          </cell>
          <cell r="S5439" t="str">
            <v>Dina Medhat</v>
          </cell>
          <cell r="T5439">
            <v>44552</v>
          </cell>
          <cell r="U5439" t="str">
            <v>Elizabeth Kahle</v>
          </cell>
        </row>
        <row r="5440">
          <cell r="I5440" t="str">
            <v>EDI</v>
          </cell>
          <cell r="L5440">
            <v>502</v>
          </cell>
          <cell r="N5440" t="str">
            <v>Testing</v>
          </cell>
          <cell r="O5440" t="str">
            <v>Everything Benefits</v>
          </cell>
          <cell r="P5440" t="str">
            <v>Migration Testing</v>
          </cell>
          <cell r="Q5440" t="str">
            <v>Cancelled</v>
          </cell>
          <cell r="R5440">
            <v>44551.822766203702</v>
          </cell>
          <cell r="S5440" t="str">
            <v>Mohamed Abdelhamed</v>
          </cell>
          <cell r="T5440">
            <v>44621</v>
          </cell>
          <cell r="U5440" t="str">
            <v>Billy Smith</v>
          </cell>
          <cell r="V5440">
            <v>44669</v>
          </cell>
          <cell r="Y5440">
            <v>44621</v>
          </cell>
        </row>
        <row r="5441">
          <cell r="I5441" t="str">
            <v>EDI</v>
          </cell>
          <cell r="L5441">
            <v>235</v>
          </cell>
          <cell r="N5441" t="str">
            <v>Testing</v>
          </cell>
          <cell r="O5441" t="str">
            <v>Everything Benefits</v>
          </cell>
          <cell r="P5441" t="str">
            <v>Migration Testing</v>
          </cell>
          <cell r="Q5441" t="str">
            <v>Cancelled</v>
          </cell>
          <cell r="R5441">
            <v>44551.822754629633</v>
          </cell>
          <cell r="S5441" t="str">
            <v>Mohamed Abdelhamed</v>
          </cell>
          <cell r="T5441">
            <v>44622</v>
          </cell>
          <cell r="U5441" t="str">
            <v>Billy Smith</v>
          </cell>
          <cell r="V5441">
            <v>44626</v>
          </cell>
          <cell r="Y5441">
            <v>44622</v>
          </cell>
        </row>
        <row r="5442">
          <cell r="I5442" t="str">
            <v>EDI</v>
          </cell>
          <cell r="L5442">
            <v>218</v>
          </cell>
          <cell r="N5442" t="str">
            <v>Production</v>
          </cell>
          <cell r="O5442" t="str">
            <v>No</v>
          </cell>
          <cell r="Q5442" t="str">
            <v>Cancelled</v>
          </cell>
          <cell r="R5442">
            <v>44550.884409722217</v>
          </cell>
          <cell r="S5442" t="str">
            <v>Mina George Old Account</v>
          </cell>
          <cell r="T5442">
            <v>44553</v>
          </cell>
          <cell r="U5442" t="str">
            <v>Billy Smith</v>
          </cell>
          <cell r="V5442">
            <v>44561</v>
          </cell>
          <cell r="W5442">
            <v>44586</v>
          </cell>
        </row>
        <row r="5443">
          <cell r="I5443" t="str">
            <v>EDI</v>
          </cell>
          <cell r="L5443">
            <v>220</v>
          </cell>
          <cell r="N5443" t="str">
            <v>Production</v>
          </cell>
          <cell r="O5443" t="str">
            <v>No</v>
          </cell>
          <cell r="Q5443" t="str">
            <v>Live</v>
          </cell>
          <cell r="R5443">
            <v>44550.592094907413</v>
          </cell>
          <cell r="S5443" t="str">
            <v>Joseph Atef Old Account</v>
          </cell>
          <cell r="T5443">
            <v>44553</v>
          </cell>
          <cell r="U5443" t="str">
            <v>Miranda Naeem</v>
          </cell>
          <cell r="V5443">
            <v>44663</v>
          </cell>
          <cell r="W5443">
            <v>25569</v>
          </cell>
          <cell r="AC5443">
            <v>44804</v>
          </cell>
        </row>
        <row r="5444">
          <cell r="I5444" t="str">
            <v>EDI</v>
          </cell>
          <cell r="L5444">
            <v>287</v>
          </cell>
          <cell r="N5444" t="str">
            <v>Production</v>
          </cell>
          <cell r="O5444" t="str">
            <v>No</v>
          </cell>
          <cell r="Q5444" t="str">
            <v>Live</v>
          </cell>
          <cell r="R5444">
            <v>44550.592094907413</v>
          </cell>
          <cell r="S5444" t="str">
            <v>Haytham Mohamed</v>
          </cell>
          <cell r="T5444">
            <v>44572</v>
          </cell>
          <cell r="U5444" t="str">
            <v>Miranda Naeem</v>
          </cell>
          <cell r="V5444">
            <v>44598</v>
          </cell>
          <cell r="W5444">
            <v>44628</v>
          </cell>
          <cell r="AC5444">
            <v>44626</v>
          </cell>
        </row>
        <row r="5445">
          <cell r="I5445" t="str">
            <v>EDI</v>
          </cell>
          <cell r="L5445">
            <v>444</v>
          </cell>
          <cell r="N5445" t="str">
            <v>Testing</v>
          </cell>
          <cell r="O5445" t="str">
            <v>eBenefits Network</v>
          </cell>
          <cell r="P5445" t="str">
            <v>Migration Testing</v>
          </cell>
          <cell r="Q5445" t="str">
            <v>Cancelled</v>
          </cell>
          <cell r="R5445">
            <v>44550.583692129629</v>
          </cell>
          <cell r="S5445" t="str">
            <v>Salma Yamani</v>
          </cell>
          <cell r="T5445">
            <v>44776</v>
          </cell>
          <cell r="U5445" t="str">
            <v>Billy Smith</v>
          </cell>
          <cell r="V5445">
            <v>44854</v>
          </cell>
        </row>
        <row r="5446">
          <cell r="I5446" t="str">
            <v>EDI</v>
          </cell>
          <cell r="L5446">
            <v>615</v>
          </cell>
          <cell r="N5446" t="str">
            <v>Production</v>
          </cell>
          <cell r="O5446" t="str">
            <v>No</v>
          </cell>
          <cell r="Q5446" t="str">
            <v>Cancelled</v>
          </cell>
          <cell r="R5446">
            <v>44550.373541666668</v>
          </cell>
          <cell r="S5446" t="str">
            <v>Fady Bassel</v>
          </cell>
          <cell r="T5446">
            <v>44637</v>
          </cell>
          <cell r="U5446" t="str">
            <v>Vicky Wright</v>
          </cell>
          <cell r="V5446">
            <v>44685</v>
          </cell>
          <cell r="W5446">
            <v>44706</v>
          </cell>
          <cell r="Y5446">
            <v>44636</v>
          </cell>
          <cell r="AC5446">
            <v>44705</v>
          </cell>
        </row>
        <row r="5447">
          <cell r="I5447" t="str">
            <v>EDI</v>
          </cell>
          <cell r="N5447" t="str">
            <v>Pending Start</v>
          </cell>
          <cell r="O5447" t="str">
            <v>No</v>
          </cell>
          <cell r="Q5447" t="str">
            <v>Cancelled</v>
          </cell>
          <cell r="R5447">
            <v>44549.574386574073</v>
          </cell>
          <cell r="U5447" t="str">
            <v>Miranda Naeem</v>
          </cell>
        </row>
        <row r="5448">
          <cell r="I5448" t="str">
            <v>EDI</v>
          </cell>
          <cell r="L5448">
            <v>224</v>
          </cell>
          <cell r="N5448" t="str">
            <v>Production</v>
          </cell>
          <cell r="O5448" t="str">
            <v>No</v>
          </cell>
          <cell r="Q5448" t="str">
            <v>Cancelled</v>
          </cell>
          <cell r="R5448">
            <v>44546.836562500001</v>
          </cell>
          <cell r="S5448" t="str">
            <v>Haytham Mohamed</v>
          </cell>
          <cell r="T5448">
            <v>44551</v>
          </cell>
          <cell r="U5448" t="str">
            <v>Vicky Wright</v>
          </cell>
          <cell r="V5448">
            <v>44574</v>
          </cell>
          <cell r="W5448">
            <v>44625</v>
          </cell>
          <cell r="AC5448">
            <v>44620</v>
          </cell>
        </row>
        <row r="5449">
          <cell r="I5449" t="str">
            <v>EDI</v>
          </cell>
          <cell r="L5449">
            <v>967</v>
          </cell>
          <cell r="N5449" t="str">
            <v>Testing</v>
          </cell>
          <cell r="O5449" t="str">
            <v>eBenefits Network</v>
          </cell>
          <cell r="P5449" t="str">
            <v>Migration Testing</v>
          </cell>
          <cell r="Q5449" t="str">
            <v>Cancelled</v>
          </cell>
          <cell r="R5449">
            <v>44546.781585648147</v>
          </cell>
          <cell r="S5449" t="str">
            <v>Salma Yamani</v>
          </cell>
          <cell r="T5449">
            <v>44706</v>
          </cell>
          <cell r="U5449" t="str">
            <v>Vicky Wright</v>
          </cell>
          <cell r="V5449">
            <v>44854</v>
          </cell>
        </row>
        <row r="5450">
          <cell r="I5450" t="str">
            <v>EDI</v>
          </cell>
          <cell r="L5450">
            <v>969</v>
          </cell>
          <cell r="N5450" t="str">
            <v>Testing</v>
          </cell>
          <cell r="O5450" t="str">
            <v>eBenefits Network</v>
          </cell>
          <cell r="P5450" t="str">
            <v>Migration Testing</v>
          </cell>
          <cell r="Q5450" t="str">
            <v>Cancelled</v>
          </cell>
          <cell r="R5450">
            <v>44546.779374999998</v>
          </cell>
          <cell r="S5450" t="str">
            <v>Salma Yamani</v>
          </cell>
          <cell r="T5450">
            <v>44726</v>
          </cell>
          <cell r="U5450" t="str">
            <v>Billy Smith</v>
          </cell>
          <cell r="V5450">
            <v>44857</v>
          </cell>
        </row>
        <row r="5451">
          <cell r="I5451" t="str">
            <v>EDI</v>
          </cell>
          <cell r="L5451">
            <v>970</v>
          </cell>
          <cell r="N5451" t="str">
            <v>Mapping</v>
          </cell>
          <cell r="O5451" t="str">
            <v>eBenefits Network</v>
          </cell>
          <cell r="P5451" t="str">
            <v>Map Under Review</v>
          </cell>
          <cell r="Q5451" t="str">
            <v>Cancelled</v>
          </cell>
          <cell r="R5451">
            <v>44546.776238425933</v>
          </cell>
          <cell r="S5451" t="str">
            <v>Karim Tarek</v>
          </cell>
          <cell r="T5451">
            <v>44551</v>
          </cell>
          <cell r="U5451" t="str">
            <v>Billy Smith</v>
          </cell>
        </row>
        <row r="5452">
          <cell r="I5452" t="str">
            <v>EDI</v>
          </cell>
          <cell r="L5452">
            <v>485</v>
          </cell>
          <cell r="N5452" t="str">
            <v>Testing</v>
          </cell>
          <cell r="O5452" t="str">
            <v>eBenefits Network</v>
          </cell>
          <cell r="P5452" t="str">
            <v>Migration Testing</v>
          </cell>
          <cell r="Q5452" t="str">
            <v>Cancelled</v>
          </cell>
          <cell r="R5452">
            <v>44546.773842592593</v>
          </cell>
          <cell r="S5452" t="str">
            <v>Salma Yamani</v>
          </cell>
          <cell r="T5452">
            <v>44711</v>
          </cell>
          <cell r="U5452" t="str">
            <v>Billy Smith</v>
          </cell>
          <cell r="V5452">
            <v>44938</v>
          </cell>
        </row>
        <row r="5453">
          <cell r="I5453" t="str">
            <v>EDI</v>
          </cell>
          <cell r="L5453">
            <v>441</v>
          </cell>
          <cell r="N5453" t="str">
            <v>Production</v>
          </cell>
          <cell r="O5453" t="str">
            <v>No</v>
          </cell>
          <cell r="Q5453" t="str">
            <v>Live</v>
          </cell>
          <cell r="R5453">
            <v>44546.737754629627</v>
          </cell>
          <cell r="S5453" t="str">
            <v>Jack Salah</v>
          </cell>
          <cell r="T5453">
            <v>44601</v>
          </cell>
          <cell r="U5453" t="str">
            <v>Denise Stubenvoll</v>
          </cell>
          <cell r="V5453">
            <v>44636</v>
          </cell>
          <cell r="W5453">
            <v>25569</v>
          </cell>
          <cell r="Y5453">
            <v>44600</v>
          </cell>
          <cell r="AC5453">
            <v>44793</v>
          </cell>
        </row>
        <row r="5454">
          <cell r="I5454" t="str">
            <v>EDI</v>
          </cell>
          <cell r="L5454">
            <v>300</v>
          </cell>
          <cell r="N5454" t="str">
            <v>Production</v>
          </cell>
          <cell r="O5454" t="str">
            <v>No</v>
          </cell>
          <cell r="Q5454" t="str">
            <v>Cancelled</v>
          </cell>
          <cell r="R5454">
            <v>44546.652291666673</v>
          </cell>
          <cell r="S5454" t="str">
            <v>Mina George Old Account</v>
          </cell>
          <cell r="T5454">
            <v>44577</v>
          </cell>
          <cell r="U5454" t="str">
            <v>Miranda Naeem</v>
          </cell>
          <cell r="V5454">
            <v>44647</v>
          </cell>
          <cell r="W5454">
            <v>44707</v>
          </cell>
          <cell r="AC5454">
            <v>44694</v>
          </cell>
        </row>
        <row r="5455">
          <cell r="I5455" t="str">
            <v>EDI</v>
          </cell>
          <cell r="N5455" t="str">
            <v>Requirements Gathering</v>
          </cell>
          <cell r="O5455" t="str">
            <v>No</v>
          </cell>
          <cell r="Q5455" t="str">
            <v>Cancelled</v>
          </cell>
          <cell r="R5455">
            <v>44546.587870370371</v>
          </cell>
          <cell r="S5455" t="str">
            <v>Sandra Adel</v>
          </cell>
          <cell r="T5455">
            <v>44546</v>
          </cell>
          <cell r="U5455" t="str">
            <v>Vicky Wright</v>
          </cell>
        </row>
        <row r="5456">
          <cell r="I5456" t="str">
            <v>EDI</v>
          </cell>
          <cell r="N5456" t="str">
            <v>Requirements Gathering</v>
          </cell>
          <cell r="O5456" t="str">
            <v>No</v>
          </cell>
          <cell r="Q5456" t="str">
            <v>Blocked</v>
          </cell>
          <cell r="R5456">
            <v>44545.627905092602</v>
          </cell>
          <cell r="S5456" t="str">
            <v>Sara Mohamed</v>
          </cell>
          <cell r="T5456">
            <v>44545</v>
          </cell>
          <cell r="U5456" t="str">
            <v>Vicky Wright</v>
          </cell>
        </row>
        <row r="5457">
          <cell r="I5457" t="str">
            <v>EDI</v>
          </cell>
          <cell r="L5457">
            <v>384</v>
          </cell>
          <cell r="N5457" t="str">
            <v>Production</v>
          </cell>
          <cell r="O5457" t="str">
            <v>No</v>
          </cell>
          <cell r="Q5457" t="str">
            <v>Cancelled</v>
          </cell>
          <cell r="R5457">
            <v>44544.923576388886</v>
          </cell>
          <cell r="S5457" t="str">
            <v>Mohamed Samy</v>
          </cell>
          <cell r="T5457">
            <v>44586</v>
          </cell>
          <cell r="U5457" t="str">
            <v>Billy Smith</v>
          </cell>
          <cell r="V5457">
            <v>44644</v>
          </cell>
          <cell r="W5457">
            <v>44655</v>
          </cell>
          <cell r="AC5457">
            <v>44651</v>
          </cell>
        </row>
        <row r="5458">
          <cell r="I5458" t="str">
            <v>EDI</v>
          </cell>
          <cell r="L5458">
            <v>229</v>
          </cell>
          <cell r="N5458" t="str">
            <v>Production</v>
          </cell>
          <cell r="O5458" t="str">
            <v>No</v>
          </cell>
          <cell r="Q5458" t="str">
            <v>Live</v>
          </cell>
          <cell r="R5458">
            <v>44544.915381944447</v>
          </cell>
          <cell r="S5458" t="str">
            <v>Jack Salah</v>
          </cell>
          <cell r="T5458">
            <v>44558</v>
          </cell>
          <cell r="U5458" t="str">
            <v>Vicky Wright</v>
          </cell>
          <cell r="V5458">
            <v>25569</v>
          </cell>
          <cell r="W5458">
            <v>44698</v>
          </cell>
          <cell r="AC5458">
            <v>44697</v>
          </cell>
        </row>
        <row r="5459">
          <cell r="I5459" t="str">
            <v>EDI</v>
          </cell>
          <cell r="L5459">
            <v>258</v>
          </cell>
          <cell r="N5459" t="str">
            <v>Production</v>
          </cell>
          <cell r="O5459" t="str">
            <v>No</v>
          </cell>
          <cell r="Q5459" t="str">
            <v>Live</v>
          </cell>
          <cell r="R5459">
            <v>44544.834537037037</v>
          </cell>
          <cell r="S5459" t="str">
            <v>Omnia Abdelaziz</v>
          </cell>
          <cell r="T5459">
            <v>44892</v>
          </cell>
          <cell r="U5459" t="str">
            <v>Vicky Wright</v>
          </cell>
          <cell r="V5459">
            <v>44613</v>
          </cell>
          <cell r="W5459">
            <v>44657</v>
          </cell>
          <cell r="AC5459">
            <v>44656</v>
          </cell>
        </row>
        <row r="5460">
          <cell r="I5460" t="str">
            <v>EDI</v>
          </cell>
          <cell r="L5460">
            <v>279</v>
          </cell>
          <cell r="N5460" t="str">
            <v>Production</v>
          </cell>
          <cell r="O5460" t="str">
            <v>No</v>
          </cell>
          <cell r="Q5460" t="str">
            <v>Cancelled</v>
          </cell>
          <cell r="R5460">
            <v>44544.834537037037</v>
          </cell>
          <cell r="S5460" t="str">
            <v>Jack Salah</v>
          </cell>
          <cell r="T5460">
            <v>44565</v>
          </cell>
          <cell r="U5460" t="str">
            <v>Vicky Wright</v>
          </cell>
          <cell r="V5460">
            <v>25569</v>
          </cell>
          <cell r="W5460">
            <v>44741</v>
          </cell>
          <cell r="AC5460">
            <v>44734</v>
          </cell>
        </row>
        <row r="5461">
          <cell r="I5461" t="str">
            <v>EDI</v>
          </cell>
          <cell r="L5461">
            <v>297</v>
          </cell>
          <cell r="N5461" t="str">
            <v>Production</v>
          </cell>
          <cell r="O5461" t="str">
            <v>No</v>
          </cell>
          <cell r="Q5461" t="str">
            <v>Cancelled</v>
          </cell>
          <cell r="R5461">
            <v>44544.834537037037</v>
          </cell>
          <cell r="S5461" t="str">
            <v>Omar Elmahalwy Old Account</v>
          </cell>
          <cell r="T5461">
            <v>44577</v>
          </cell>
          <cell r="U5461" t="str">
            <v>Vicky Wright</v>
          </cell>
          <cell r="V5461">
            <v>44601</v>
          </cell>
          <cell r="W5461">
            <v>44621</v>
          </cell>
          <cell r="AC5461">
            <v>44615</v>
          </cell>
        </row>
        <row r="5462">
          <cell r="I5462" t="str">
            <v>EDI</v>
          </cell>
          <cell r="L5462">
            <v>326</v>
          </cell>
          <cell r="N5462" t="str">
            <v>Production</v>
          </cell>
          <cell r="O5462" t="str">
            <v>No</v>
          </cell>
          <cell r="Q5462" t="str">
            <v>Live</v>
          </cell>
          <cell r="R5462">
            <v>44544.834537037037</v>
          </cell>
          <cell r="S5462" t="str">
            <v>Omnia Abdelaziz</v>
          </cell>
          <cell r="T5462">
            <v>44892</v>
          </cell>
          <cell r="U5462" t="str">
            <v>Vicky Wright</v>
          </cell>
          <cell r="V5462">
            <v>44585</v>
          </cell>
          <cell r="W5462">
            <v>44607</v>
          </cell>
          <cell r="AC5462">
            <v>44605</v>
          </cell>
        </row>
        <row r="5463">
          <cell r="I5463" t="str">
            <v>EDI</v>
          </cell>
          <cell r="L5463">
            <v>267</v>
          </cell>
          <cell r="N5463" t="str">
            <v>Production</v>
          </cell>
          <cell r="O5463" t="str">
            <v>Everything Benefits</v>
          </cell>
          <cell r="P5463" t="str">
            <v>Production</v>
          </cell>
          <cell r="Q5463" t="str">
            <v>Cancelled</v>
          </cell>
          <cell r="R5463">
            <v>44544.656782407408</v>
          </cell>
          <cell r="S5463" t="str">
            <v>Alaa Yehia</v>
          </cell>
          <cell r="T5463">
            <v>44558</v>
          </cell>
          <cell r="U5463" t="str">
            <v>Billy Smith</v>
          </cell>
          <cell r="W5463">
            <v>44613</v>
          </cell>
          <cell r="AC5463">
            <v>44613</v>
          </cell>
        </row>
        <row r="5464">
          <cell r="I5464" t="str">
            <v>EDI</v>
          </cell>
          <cell r="L5464">
            <v>292</v>
          </cell>
          <cell r="N5464" t="str">
            <v>Production</v>
          </cell>
          <cell r="O5464" t="str">
            <v>Everything Benefits</v>
          </cell>
          <cell r="P5464" t="str">
            <v>Production</v>
          </cell>
          <cell r="Q5464" t="str">
            <v>Cancelled</v>
          </cell>
          <cell r="R5464">
            <v>44544.656782407408</v>
          </cell>
          <cell r="S5464" t="str">
            <v>Mina Kamil Old Account</v>
          </cell>
          <cell r="T5464">
            <v>44573</v>
          </cell>
          <cell r="U5464" t="str">
            <v>Billy Smith</v>
          </cell>
          <cell r="W5464">
            <v>44662</v>
          </cell>
          <cell r="AC5464">
            <v>44662</v>
          </cell>
        </row>
        <row r="5465">
          <cell r="I5465" t="str">
            <v>EDI</v>
          </cell>
          <cell r="L5465">
            <v>638</v>
          </cell>
          <cell r="N5465" t="str">
            <v>Production</v>
          </cell>
          <cell r="O5465" t="str">
            <v>Everything Benefits</v>
          </cell>
          <cell r="P5465" t="str">
            <v>Production</v>
          </cell>
          <cell r="Q5465" t="str">
            <v>Cancelled</v>
          </cell>
          <cell r="R5465">
            <v>44544.639988425923</v>
          </cell>
          <cell r="S5465" t="str">
            <v>Mohamed Abdelhamed</v>
          </cell>
          <cell r="T5465">
            <v>44636</v>
          </cell>
          <cell r="U5465" t="str">
            <v>Billy Smith</v>
          </cell>
          <cell r="V5465">
            <v>44657</v>
          </cell>
          <cell r="W5465">
            <v>44734</v>
          </cell>
          <cell r="Y5465">
            <v>44628</v>
          </cell>
          <cell r="AC5465">
            <v>44734</v>
          </cell>
        </row>
        <row r="5466">
          <cell r="I5466" t="str">
            <v>EDI</v>
          </cell>
          <cell r="L5466">
            <v>254</v>
          </cell>
          <cell r="N5466" t="str">
            <v>Production</v>
          </cell>
          <cell r="O5466" t="str">
            <v>Everything Benefits</v>
          </cell>
          <cell r="P5466" t="str">
            <v>Production</v>
          </cell>
          <cell r="Q5466" t="str">
            <v>Cancelled</v>
          </cell>
          <cell r="R5466">
            <v>44544.639976851853</v>
          </cell>
          <cell r="S5466" t="str">
            <v>Ahmed Gamal</v>
          </cell>
          <cell r="T5466">
            <v>44558</v>
          </cell>
          <cell r="U5466" t="str">
            <v>Billy Smith</v>
          </cell>
          <cell r="W5466">
            <v>44655</v>
          </cell>
          <cell r="AC5466">
            <v>44651</v>
          </cell>
        </row>
        <row r="5467">
          <cell r="I5467" t="str">
            <v>EDI</v>
          </cell>
          <cell r="L5467">
            <v>275</v>
          </cell>
          <cell r="N5467" t="str">
            <v>Production</v>
          </cell>
          <cell r="O5467" t="str">
            <v>No</v>
          </cell>
          <cell r="Q5467" t="str">
            <v>Cancelled</v>
          </cell>
          <cell r="R5467">
            <v>44543.880486111113</v>
          </cell>
          <cell r="S5467" t="str">
            <v>Mohamed Samy</v>
          </cell>
          <cell r="T5467">
            <v>44560</v>
          </cell>
          <cell r="U5467" t="str">
            <v>Vicky Wright</v>
          </cell>
          <cell r="W5467">
            <v>44586</v>
          </cell>
        </row>
        <row r="5468">
          <cell r="I5468" t="str">
            <v>EDI</v>
          </cell>
          <cell r="L5468">
            <v>285</v>
          </cell>
          <cell r="N5468" t="str">
            <v>Production</v>
          </cell>
          <cell r="O5468" t="str">
            <v>No</v>
          </cell>
          <cell r="Q5468" t="str">
            <v>Cancelled</v>
          </cell>
          <cell r="R5468">
            <v>44543.777997685182</v>
          </cell>
          <cell r="S5468" t="str">
            <v>Omar Elmahalwy Old Account</v>
          </cell>
          <cell r="T5468">
            <v>44572</v>
          </cell>
          <cell r="U5468" t="str">
            <v>Vicky Wright</v>
          </cell>
          <cell r="V5468">
            <v>44593</v>
          </cell>
          <cell r="W5468">
            <v>44628</v>
          </cell>
          <cell r="AC5468">
            <v>44622</v>
          </cell>
        </row>
        <row r="5469">
          <cell r="I5469" t="str">
            <v>EDI</v>
          </cell>
          <cell r="L5469">
            <v>194</v>
          </cell>
          <cell r="N5469" t="str">
            <v>Production</v>
          </cell>
          <cell r="O5469" t="str">
            <v>No</v>
          </cell>
          <cell r="Q5469" t="str">
            <v>Cancelled</v>
          </cell>
          <cell r="R5469">
            <v>44543.766562500001</v>
          </cell>
          <cell r="S5469" t="str">
            <v>Fady Bassel</v>
          </cell>
          <cell r="T5469">
            <v>44546</v>
          </cell>
          <cell r="U5469" t="str">
            <v>Vicky Wright</v>
          </cell>
          <cell r="V5469">
            <v>44551</v>
          </cell>
          <cell r="W5469">
            <v>44559</v>
          </cell>
        </row>
        <row r="5470">
          <cell r="I5470" t="str">
            <v>EDI</v>
          </cell>
          <cell r="L5470">
            <v>181</v>
          </cell>
          <cell r="N5470" t="str">
            <v>Production</v>
          </cell>
          <cell r="O5470" t="str">
            <v>No</v>
          </cell>
          <cell r="Q5470" t="str">
            <v>Cancelled</v>
          </cell>
          <cell r="R5470">
            <v>44543.766562500001</v>
          </cell>
          <cell r="S5470" t="str">
            <v>Mina Adel Old Account</v>
          </cell>
          <cell r="T5470">
            <v>44546</v>
          </cell>
          <cell r="U5470" t="str">
            <v>Vicky Wright</v>
          </cell>
          <cell r="V5470">
            <v>44552</v>
          </cell>
          <cell r="W5470">
            <v>44558</v>
          </cell>
        </row>
        <row r="5471">
          <cell r="I5471" t="str">
            <v>EDI</v>
          </cell>
          <cell r="L5471">
            <v>512</v>
          </cell>
          <cell r="N5471" t="str">
            <v>Production</v>
          </cell>
          <cell r="O5471" t="str">
            <v>No</v>
          </cell>
          <cell r="Q5471" t="str">
            <v>Live</v>
          </cell>
          <cell r="R5471">
            <v>44540.612500000003</v>
          </cell>
          <cell r="S5471" t="str">
            <v>Mohamed Samy</v>
          </cell>
          <cell r="T5471">
            <v>44623</v>
          </cell>
          <cell r="U5471" t="str">
            <v>Vicky Wright</v>
          </cell>
          <cell r="V5471">
            <v>44636</v>
          </cell>
          <cell r="W5471">
            <v>44670</v>
          </cell>
          <cell r="Y5471">
            <v>44622</v>
          </cell>
          <cell r="AC5471">
            <v>44669</v>
          </cell>
        </row>
        <row r="5472">
          <cell r="I5472" t="str">
            <v>EDI</v>
          </cell>
          <cell r="L5472">
            <v>183</v>
          </cell>
          <cell r="N5472" t="str">
            <v>Production</v>
          </cell>
          <cell r="O5472" t="str">
            <v>No</v>
          </cell>
          <cell r="Q5472" t="str">
            <v>Cancelled</v>
          </cell>
          <cell r="R5472">
            <v>44539.864525462966</v>
          </cell>
          <cell r="S5472" t="str">
            <v>Jack Salah</v>
          </cell>
          <cell r="T5472">
            <v>44544</v>
          </cell>
          <cell r="U5472" t="str">
            <v>Denise Stubenvoll</v>
          </cell>
          <cell r="V5472">
            <v>44581</v>
          </cell>
          <cell r="W5472">
            <v>44600</v>
          </cell>
          <cell r="AC5472">
            <v>44598</v>
          </cell>
        </row>
        <row r="5473">
          <cell r="I5473" t="str">
            <v>EDI</v>
          </cell>
          <cell r="L5473">
            <v>202</v>
          </cell>
          <cell r="N5473" t="str">
            <v>Production</v>
          </cell>
          <cell r="O5473" t="str">
            <v>No</v>
          </cell>
          <cell r="Q5473" t="str">
            <v>Cancelled</v>
          </cell>
          <cell r="R5473">
            <v>44539.617025462961</v>
          </cell>
          <cell r="S5473" t="str">
            <v>Haytham Mohamed</v>
          </cell>
          <cell r="T5473">
            <v>44549</v>
          </cell>
          <cell r="U5473" t="str">
            <v>Cheryl Cabana</v>
          </cell>
          <cell r="V5473">
            <v>44621</v>
          </cell>
          <cell r="W5473">
            <v>44628</v>
          </cell>
          <cell r="AC5473">
            <v>44626</v>
          </cell>
        </row>
        <row r="5474">
          <cell r="I5474" t="str">
            <v>EDI</v>
          </cell>
          <cell r="L5474">
            <v>546</v>
          </cell>
          <cell r="N5474" t="str">
            <v>Testing</v>
          </cell>
          <cell r="O5474" t="str">
            <v>No</v>
          </cell>
          <cell r="Q5474" t="str">
            <v>Cancelled</v>
          </cell>
          <cell r="R5474">
            <v>44538.852916666663</v>
          </cell>
          <cell r="S5474" t="str">
            <v>Omar Elmahalwy Old Account</v>
          </cell>
          <cell r="T5474">
            <v>44629</v>
          </cell>
          <cell r="U5474" t="str">
            <v>Vicky Wright</v>
          </cell>
          <cell r="V5474">
            <v>44634</v>
          </cell>
          <cell r="Y5474">
            <v>44628</v>
          </cell>
        </row>
        <row r="5475">
          <cell r="I5475" t="str">
            <v>EDI</v>
          </cell>
          <cell r="L5475">
            <v>832</v>
          </cell>
          <cell r="N5475" t="str">
            <v>Production</v>
          </cell>
          <cell r="O5475" t="str">
            <v>No</v>
          </cell>
          <cell r="Q5475" t="str">
            <v>Live</v>
          </cell>
          <cell r="R5475">
            <v>44538.852916666663</v>
          </cell>
          <cell r="S5475" t="str">
            <v>Mina George Old Account</v>
          </cell>
          <cell r="T5475">
            <v>44674</v>
          </cell>
          <cell r="U5475" t="str">
            <v>Vicky Wright</v>
          </cell>
          <cell r="W5475">
            <v>25569</v>
          </cell>
          <cell r="Y5475">
            <v>44672</v>
          </cell>
          <cell r="AC5475">
            <v>44732</v>
          </cell>
        </row>
        <row r="5476">
          <cell r="I5476" t="str">
            <v>EDI</v>
          </cell>
          <cell r="L5476">
            <v>313</v>
          </cell>
          <cell r="N5476" t="str">
            <v>Production</v>
          </cell>
          <cell r="O5476" t="str">
            <v>No</v>
          </cell>
          <cell r="Q5476" t="str">
            <v>Live</v>
          </cell>
          <cell r="R5476">
            <v>44538.629004629627</v>
          </cell>
          <cell r="S5476" t="str">
            <v>Haytham Mohamed</v>
          </cell>
          <cell r="T5476">
            <v>44578</v>
          </cell>
          <cell r="U5476" t="str">
            <v>Vicky Wright</v>
          </cell>
          <cell r="V5476">
            <v>44585</v>
          </cell>
          <cell r="W5476">
            <v>44628</v>
          </cell>
          <cell r="AC5476">
            <v>44626</v>
          </cell>
        </row>
        <row r="5477">
          <cell r="I5477" t="str">
            <v>EDI</v>
          </cell>
          <cell r="L5477">
            <v>370</v>
          </cell>
          <cell r="N5477" t="str">
            <v>Production</v>
          </cell>
          <cell r="O5477" t="str">
            <v>No</v>
          </cell>
          <cell r="Q5477" t="str">
            <v>Cancelled</v>
          </cell>
          <cell r="R5477">
            <v>44538.577048611107</v>
          </cell>
          <cell r="S5477" t="str">
            <v>Ahmed Sami</v>
          </cell>
          <cell r="T5477">
            <v>44895</v>
          </cell>
          <cell r="U5477" t="str">
            <v>Denise Stubenvoll</v>
          </cell>
          <cell r="V5477">
            <v>44616</v>
          </cell>
          <cell r="W5477">
            <v>45014</v>
          </cell>
          <cell r="AC5477">
            <v>45011</v>
          </cell>
        </row>
        <row r="5478">
          <cell r="I5478" t="str">
            <v>EDI</v>
          </cell>
          <cell r="L5478">
            <v>943</v>
          </cell>
          <cell r="N5478" t="str">
            <v>Mapping</v>
          </cell>
          <cell r="O5478" t="str">
            <v>No</v>
          </cell>
          <cell r="Q5478" t="str">
            <v>Cancelled</v>
          </cell>
          <cell r="R5478">
            <v>44538.563402777778</v>
          </cell>
          <cell r="S5478" t="str">
            <v>Haytham Mohamed</v>
          </cell>
          <cell r="T5478">
            <v>44692</v>
          </cell>
          <cell r="U5478" t="str">
            <v>Billy Smith</v>
          </cell>
          <cell r="Y5478">
            <v>44691</v>
          </cell>
        </row>
        <row r="5479">
          <cell r="I5479" t="str">
            <v>EDI</v>
          </cell>
          <cell r="L5479">
            <v>177</v>
          </cell>
          <cell r="N5479" t="str">
            <v>Production</v>
          </cell>
          <cell r="O5479" t="str">
            <v>No</v>
          </cell>
          <cell r="Q5479" t="str">
            <v>Cancelled</v>
          </cell>
          <cell r="R5479">
            <v>44536.556226851862</v>
          </cell>
          <cell r="S5479" t="str">
            <v>Mina Adel Old Account</v>
          </cell>
          <cell r="T5479">
            <v>44545</v>
          </cell>
          <cell r="U5479" t="str">
            <v>Vicky Wright</v>
          </cell>
          <cell r="V5479">
            <v>44553</v>
          </cell>
          <cell r="W5479">
            <v>44572</v>
          </cell>
        </row>
        <row r="5480">
          <cell r="I5480" t="str">
            <v>EDI</v>
          </cell>
          <cell r="L5480">
            <v>163</v>
          </cell>
          <cell r="N5480" t="str">
            <v>Production</v>
          </cell>
          <cell r="O5480" t="str">
            <v>No</v>
          </cell>
          <cell r="Q5480" t="str">
            <v>Cancelled</v>
          </cell>
          <cell r="R5480">
            <v>44533.852106481478</v>
          </cell>
          <cell r="S5480" t="str">
            <v>Fady Bassel</v>
          </cell>
          <cell r="T5480">
            <v>44557</v>
          </cell>
          <cell r="U5480" t="str">
            <v>Denise Stubenvoll</v>
          </cell>
          <cell r="V5480">
            <v>44626</v>
          </cell>
          <cell r="W5480">
            <v>44719</v>
          </cell>
          <cell r="AC5480">
            <v>44719</v>
          </cell>
        </row>
        <row r="5481">
          <cell r="I5481" t="str">
            <v>EDI</v>
          </cell>
          <cell r="L5481">
            <v>165</v>
          </cell>
          <cell r="N5481" t="str">
            <v>Production</v>
          </cell>
          <cell r="O5481" t="str">
            <v>eBenefits Network</v>
          </cell>
          <cell r="P5481" t="str">
            <v>Production</v>
          </cell>
          <cell r="Q5481" t="str">
            <v>Cancelled</v>
          </cell>
          <cell r="R5481">
            <v>44533.808240740742</v>
          </cell>
          <cell r="S5481" t="str">
            <v>Amira Elshora Old Account</v>
          </cell>
          <cell r="T5481">
            <v>44539</v>
          </cell>
          <cell r="U5481" t="str">
            <v>Billy Smith</v>
          </cell>
          <cell r="V5481">
            <v>44539</v>
          </cell>
          <cell r="W5481">
            <v>25569</v>
          </cell>
        </row>
        <row r="5482">
          <cell r="I5482" t="str">
            <v>EDI</v>
          </cell>
          <cell r="L5482">
            <v>158</v>
          </cell>
          <cell r="N5482" t="str">
            <v>Production</v>
          </cell>
          <cell r="O5482" t="str">
            <v>eBenefits Network</v>
          </cell>
          <cell r="P5482" t="str">
            <v>Production</v>
          </cell>
          <cell r="Q5482" t="str">
            <v>Cancelled</v>
          </cell>
          <cell r="R5482">
            <v>44533.807106481479</v>
          </cell>
          <cell r="S5482" t="str">
            <v>Amira Elshora Old Account</v>
          </cell>
          <cell r="T5482">
            <v>44535</v>
          </cell>
          <cell r="U5482" t="str">
            <v>Billy Smith</v>
          </cell>
          <cell r="V5482">
            <v>44537</v>
          </cell>
          <cell r="W5482">
            <v>44631</v>
          </cell>
        </row>
        <row r="5483">
          <cell r="I5483" t="str">
            <v>EDI</v>
          </cell>
          <cell r="L5483">
            <v>172</v>
          </cell>
          <cell r="N5483" t="str">
            <v>Production</v>
          </cell>
          <cell r="O5483" t="str">
            <v>eBenefits Network</v>
          </cell>
          <cell r="P5483" t="str">
            <v>Production</v>
          </cell>
          <cell r="Q5483" t="str">
            <v>Cancelled</v>
          </cell>
          <cell r="R5483">
            <v>44533.80709490741</v>
          </cell>
          <cell r="S5483" t="str">
            <v>Fady Maged Old Account</v>
          </cell>
          <cell r="T5483">
            <v>44535</v>
          </cell>
          <cell r="U5483" t="str">
            <v>Billy Smith</v>
          </cell>
          <cell r="W5483">
            <v>25569</v>
          </cell>
        </row>
        <row r="5484">
          <cell r="I5484" t="str">
            <v>EDI</v>
          </cell>
          <cell r="L5484">
            <v>174</v>
          </cell>
          <cell r="N5484" t="str">
            <v>Production</v>
          </cell>
          <cell r="O5484" t="str">
            <v>eBenefits Network</v>
          </cell>
          <cell r="P5484" t="str">
            <v>Production</v>
          </cell>
          <cell r="Q5484" t="str">
            <v>Cancelled</v>
          </cell>
          <cell r="R5484">
            <v>44533.805231481478</v>
          </cell>
          <cell r="S5484" t="str">
            <v>Amira Elshora Old Account</v>
          </cell>
          <cell r="T5484">
            <v>44544</v>
          </cell>
          <cell r="U5484" t="str">
            <v>Billy Smith</v>
          </cell>
          <cell r="V5484">
            <v>44546</v>
          </cell>
          <cell r="W5484">
            <v>25569</v>
          </cell>
        </row>
        <row r="5485">
          <cell r="I5485" t="str">
            <v>EDI</v>
          </cell>
          <cell r="L5485">
            <v>262</v>
          </cell>
          <cell r="N5485" t="str">
            <v>Production</v>
          </cell>
          <cell r="O5485" t="str">
            <v>eBenefits Network</v>
          </cell>
          <cell r="P5485" t="str">
            <v>Production</v>
          </cell>
          <cell r="Q5485" t="str">
            <v>Cancelled</v>
          </cell>
          <cell r="R5485">
            <v>44533.805231481478</v>
          </cell>
          <cell r="S5485" t="str">
            <v>Fady Maged Old Account</v>
          </cell>
          <cell r="T5485">
            <v>44560</v>
          </cell>
          <cell r="U5485" t="str">
            <v>Billy Smith</v>
          </cell>
          <cell r="W5485">
            <v>44603</v>
          </cell>
          <cell r="AC5485">
            <v>44601</v>
          </cell>
        </row>
        <row r="5486">
          <cell r="I5486" t="str">
            <v>EDI</v>
          </cell>
          <cell r="L5486">
            <v>207</v>
          </cell>
          <cell r="N5486" t="str">
            <v>Production</v>
          </cell>
          <cell r="O5486" t="str">
            <v>eBenefits Network</v>
          </cell>
          <cell r="P5486" t="str">
            <v>Production</v>
          </cell>
          <cell r="Q5486" t="str">
            <v>Cancelled</v>
          </cell>
          <cell r="R5486">
            <v>44533.801678240743</v>
          </cell>
          <cell r="S5486" t="str">
            <v>Amira Elshora Old Account</v>
          </cell>
          <cell r="T5486">
            <v>44551</v>
          </cell>
          <cell r="U5486" t="str">
            <v>Billy Smith</v>
          </cell>
          <cell r="V5486">
            <v>44551</v>
          </cell>
          <cell r="W5486">
            <v>44575</v>
          </cell>
        </row>
        <row r="5487">
          <cell r="I5487" t="str">
            <v>EDI</v>
          </cell>
          <cell r="L5487">
            <v>212</v>
          </cell>
          <cell r="N5487" t="str">
            <v>Production</v>
          </cell>
          <cell r="O5487" t="str">
            <v>eBenefits Network</v>
          </cell>
          <cell r="P5487" t="str">
            <v>Production</v>
          </cell>
          <cell r="Q5487" t="str">
            <v>Cancelled</v>
          </cell>
          <cell r="R5487">
            <v>44533.801678240743</v>
          </cell>
          <cell r="S5487" t="str">
            <v>Amira Elshora Old Account</v>
          </cell>
          <cell r="T5487">
            <v>44552</v>
          </cell>
          <cell r="U5487" t="str">
            <v>Billy Smith</v>
          </cell>
          <cell r="V5487">
            <v>44556</v>
          </cell>
          <cell r="W5487">
            <v>44599</v>
          </cell>
        </row>
        <row r="5488">
          <cell r="I5488" t="str">
            <v>EDI</v>
          </cell>
          <cell r="L5488">
            <v>192</v>
          </cell>
          <cell r="N5488" t="str">
            <v>Production</v>
          </cell>
          <cell r="O5488" t="str">
            <v>eBenefits Network</v>
          </cell>
          <cell r="P5488" t="str">
            <v>Production</v>
          </cell>
          <cell r="Q5488" t="str">
            <v>Cancelled</v>
          </cell>
          <cell r="R5488">
            <v>44533.801678240743</v>
          </cell>
          <cell r="S5488" t="str">
            <v>Fady Maged Old Account</v>
          </cell>
          <cell r="T5488">
            <v>44546</v>
          </cell>
          <cell r="U5488" t="str">
            <v>Billy Smith</v>
          </cell>
          <cell r="V5488">
            <v>44547</v>
          </cell>
          <cell r="W5488">
            <v>44809</v>
          </cell>
          <cell r="AC5488">
            <v>44808</v>
          </cell>
        </row>
        <row r="5489">
          <cell r="I5489" t="str">
            <v>EDI</v>
          </cell>
          <cell r="L5489">
            <v>214</v>
          </cell>
          <cell r="N5489" t="str">
            <v>Production</v>
          </cell>
          <cell r="O5489" t="str">
            <v>eBenefits Network</v>
          </cell>
          <cell r="P5489" t="str">
            <v>Production</v>
          </cell>
          <cell r="Q5489" t="str">
            <v>Cancelled</v>
          </cell>
          <cell r="R5489">
            <v>44533.801678240743</v>
          </cell>
          <cell r="S5489" t="str">
            <v>Fady Maged Old Account</v>
          </cell>
          <cell r="T5489">
            <v>44551</v>
          </cell>
          <cell r="U5489" t="str">
            <v>Billy Smith</v>
          </cell>
          <cell r="V5489">
            <v>44553</v>
          </cell>
          <cell r="W5489">
            <v>44578</v>
          </cell>
        </row>
        <row r="5490">
          <cell r="I5490" t="str">
            <v>EDI</v>
          </cell>
          <cell r="L5490">
            <v>253</v>
          </cell>
          <cell r="N5490" t="str">
            <v>Production</v>
          </cell>
          <cell r="O5490" t="str">
            <v>eBenefits Network</v>
          </cell>
          <cell r="P5490" t="str">
            <v>Production</v>
          </cell>
          <cell r="Q5490" t="str">
            <v>Cancelled</v>
          </cell>
          <cell r="R5490">
            <v>44533.763333333343</v>
          </cell>
          <cell r="S5490" t="str">
            <v>Amira Elshora Old Account</v>
          </cell>
          <cell r="T5490">
            <v>44560</v>
          </cell>
          <cell r="U5490" t="str">
            <v>Billy Smith</v>
          </cell>
          <cell r="V5490">
            <v>44564</v>
          </cell>
          <cell r="W5490">
            <v>44579</v>
          </cell>
        </row>
        <row r="5491">
          <cell r="I5491" t="str">
            <v>EDI</v>
          </cell>
          <cell r="L5491">
            <v>215</v>
          </cell>
          <cell r="N5491" t="str">
            <v>Production</v>
          </cell>
          <cell r="O5491" t="str">
            <v>eBenefits Network</v>
          </cell>
          <cell r="P5491" t="str">
            <v>Production</v>
          </cell>
          <cell r="Q5491" t="str">
            <v>Live</v>
          </cell>
          <cell r="R5491">
            <v>44533.763321759259</v>
          </cell>
          <cell r="S5491" t="str">
            <v>Fady Maged Old Account</v>
          </cell>
          <cell r="T5491">
            <v>44551</v>
          </cell>
          <cell r="U5491" t="str">
            <v>Billy Smith</v>
          </cell>
          <cell r="W5491">
            <v>44573</v>
          </cell>
        </row>
        <row r="5492">
          <cell r="I5492" t="str">
            <v>EDI</v>
          </cell>
          <cell r="L5492">
            <v>245</v>
          </cell>
          <cell r="N5492" t="str">
            <v>Production</v>
          </cell>
          <cell r="O5492" t="str">
            <v>eBenefits Network</v>
          </cell>
          <cell r="P5492" t="str">
            <v>Production</v>
          </cell>
          <cell r="Q5492" t="str">
            <v>Live</v>
          </cell>
          <cell r="R5492">
            <v>44533.759745370371</v>
          </cell>
          <cell r="S5492" t="str">
            <v>Fady Maged Old Account</v>
          </cell>
          <cell r="T5492">
            <v>44560</v>
          </cell>
          <cell r="U5492" t="str">
            <v>Billy Smith</v>
          </cell>
          <cell r="V5492">
            <v>25569</v>
          </cell>
          <cell r="W5492">
            <v>44630</v>
          </cell>
          <cell r="AC5492">
            <v>44630</v>
          </cell>
        </row>
        <row r="5493">
          <cell r="I5493" t="str">
            <v>EDI</v>
          </cell>
          <cell r="L5493">
            <v>205</v>
          </cell>
          <cell r="N5493" t="str">
            <v>Production</v>
          </cell>
          <cell r="O5493" t="str">
            <v>eBenefits Network</v>
          </cell>
          <cell r="P5493" t="str">
            <v>Production</v>
          </cell>
          <cell r="Q5493" t="str">
            <v>Live</v>
          </cell>
          <cell r="R5493">
            <v>44533.759745370371</v>
          </cell>
          <cell r="S5493" t="str">
            <v>Fady Maged Old Account</v>
          </cell>
          <cell r="T5493">
            <v>44550</v>
          </cell>
          <cell r="U5493" t="str">
            <v>Billy Smith</v>
          </cell>
          <cell r="V5493">
            <v>44550</v>
          </cell>
          <cell r="W5493">
            <v>44592</v>
          </cell>
        </row>
        <row r="5494">
          <cell r="I5494" t="str">
            <v>EDI</v>
          </cell>
          <cell r="L5494">
            <v>271</v>
          </cell>
          <cell r="N5494" t="str">
            <v>Production</v>
          </cell>
          <cell r="O5494" t="str">
            <v>eBenefits Network</v>
          </cell>
          <cell r="P5494" t="str">
            <v>Production</v>
          </cell>
          <cell r="Q5494" t="str">
            <v>Cancelled</v>
          </cell>
          <cell r="R5494">
            <v>44533.755937499998</v>
          </cell>
          <cell r="S5494" t="str">
            <v>Amira Elshora Old Account</v>
          </cell>
          <cell r="T5494">
            <v>44560</v>
          </cell>
          <cell r="U5494" t="str">
            <v>Billy Smith</v>
          </cell>
          <cell r="V5494">
            <v>44566</v>
          </cell>
          <cell r="W5494">
            <v>44603</v>
          </cell>
          <cell r="AC5494">
            <v>44602</v>
          </cell>
        </row>
        <row r="5495">
          <cell r="I5495" t="str">
            <v>EDI</v>
          </cell>
          <cell r="L5495">
            <v>197</v>
          </cell>
          <cell r="N5495" t="str">
            <v>Production</v>
          </cell>
          <cell r="O5495" t="str">
            <v>eBenefits Network</v>
          </cell>
          <cell r="P5495" t="str">
            <v>Production</v>
          </cell>
          <cell r="Q5495" t="str">
            <v>Cancelled</v>
          </cell>
          <cell r="R5495">
            <v>44533.753599537027</v>
          </cell>
          <cell r="S5495" t="str">
            <v>Fady Maged Old Account</v>
          </cell>
          <cell r="T5495">
            <v>44543</v>
          </cell>
          <cell r="U5495" t="str">
            <v>Billy Smith</v>
          </cell>
          <cell r="W5495">
            <v>44566</v>
          </cell>
        </row>
        <row r="5496">
          <cell r="I5496" t="str">
            <v>EDI</v>
          </cell>
          <cell r="L5496">
            <v>348</v>
          </cell>
          <cell r="N5496" t="str">
            <v>Production</v>
          </cell>
          <cell r="O5496" t="str">
            <v>eBenefits Network</v>
          </cell>
          <cell r="P5496" t="str">
            <v>Production</v>
          </cell>
          <cell r="Q5496" t="str">
            <v>Cancelled</v>
          </cell>
          <cell r="R5496">
            <v>44533.748900462961</v>
          </cell>
          <cell r="S5496" t="str">
            <v>Amira Elshora Old Account</v>
          </cell>
          <cell r="T5496">
            <v>44588</v>
          </cell>
          <cell r="U5496" t="str">
            <v>Billy Smith</v>
          </cell>
          <cell r="V5496">
            <v>44592</v>
          </cell>
          <cell r="W5496">
            <v>44641</v>
          </cell>
          <cell r="AC5496">
            <v>44641</v>
          </cell>
        </row>
        <row r="5497">
          <cell r="I5497" t="str">
            <v>EDI</v>
          </cell>
          <cell r="L5497">
            <v>199</v>
          </cell>
          <cell r="N5497" t="str">
            <v>Production</v>
          </cell>
          <cell r="O5497" t="str">
            <v>No</v>
          </cell>
          <cell r="Q5497" t="str">
            <v>Live</v>
          </cell>
          <cell r="R5497">
            <v>44533.668425925927</v>
          </cell>
          <cell r="S5497" t="str">
            <v>Jack Salah</v>
          </cell>
          <cell r="T5497">
            <v>44549</v>
          </cell>
          <cell r="U5497" t="str">
            <v>Billy Smith</v>
          </cell>
          <cell r="V5497">
            <v>44606</v>
          </cell>
          <cell r="W5497">
            <v>44797</v>
          </cell>
          <cell r="AC5497">
            <v>44790</v>
          </cell>
        </row>
        <row r="5498">
          <cell r="I5498" t="str">
            <v>EDI</v>
          </cell>
          <cell r="L5498">
            <v>261</v>
          </cell>
          <cell r="N5498" t="str">
            <v>Production</v>
          </cell>
          <cell r="O5498" t="str">
            <v>No</v>
          </cell>
          <cell r="Q5498" t="str">
            <v>Cancelled</v>
          </cell>
          <cell r="R5498">
            <v>44533.573599537027</v>
          </cell>
          <cell r="S5498" t="str">
            <v>Joseph Atef Old Account</v>
          </cell>
          <cell r="T5498">
            <v>44564</v>
          </cell>
          <cell r="U5498" t="str">
            <v>Billy Smith</v>
          </cell>
          <cell r="V5498">
            <v>44654</v>
          </cell>
          <cell r="W5498">
            <v>44677</v>
          </cell>
          <cell r="AC5498">
            <v>44677</v>
          </cell>
        </row>
        <row r="5499">
          <cell r="I5499" t="str">
            <v>EDI</v>
          </cell>
          <cell r="L5499">
            <v>426</v>
          </cell>
          <cell r="N5499" t="str">
            <v>Production</v>
          </cell>
          <cell r="O5499" t="str">
            <v>No</v>
          </cell>
          <cell r="Q5499" t="str">
            <v>Cancelled</v>
          </cell>
          <cell r="R5499">
            <v>44533.573599537027</v>
          </cell>
          <cell r="S5499" t="str">
            <v>Mina Adel Old Account</v>
          </cell>
          <cell r="T5499">
            <v>44607</v>
          </cell>
          <cell r="U5499" t="str">
            <v>Billy Smith</v>
          </cell>
          <cell r="V5499">
            <v>44656</v>
          </cell>
          <cell r="W5499">
            <v>44783</v>
          </cell>
          <cell r="Y5499">
            <v>44607</v>
          </cell>
          <cell r="AC5499">
            <v>44776</v>
          </cell>
        </row>
        <row r="5500">
          <cell r="I5500" t="str">
            <v>EDI</v>
          </cell>
          <cell r="L5500">
            <v>196</v>
          </cell>
          <cell r="N5500" t="str">
            <v>Production</v>
          </cell>
          <cell r="O5500" t="str">
            <v>eBenefits Network</v>
          </cell>
          <cell r="P5500" t="str">
            <v>Production</v>
          </cell>
          <cell r="Q5500" t="str">
            <v>Cancelled</v>
          </cell>
          <cell r="R5500">
            <v>44533.195300925923</v>
          </cell>
          <cell r="S5500" t="str">
            <v>Fady Maged Old Account</v>
          </cell>
          <cell r="T5500">
            <v>44543</v>
          </cell>
          <cell r="U5500" t="str">
            <v>Billy Smith</v>
          </cell>
          <cell r="W5500">
            <v>44565</v>
          </cell>
        </row>
        <row r="5501">
          <cell r="I5501" t="str">
            <v>EDI</v>
          </cell>
          <cell r="L5501">
            <v>204</v>
          </cell>
          <cell r="N5501" t="str">
            <v>Production</v>
          </cell>
          <cell r="O5501" t="str">
            <v>eBenefits Network</v>
          </cell>
          <cell r="P5501" t="str">
            <v>Production</v>
          </cell>
          <cell r="Q5501" t="str">
            <v>Cancelled</v>
          </cell>
          <cell r="R5501">
            <v>44533.192499999997</v>
          </cell>
          <cell r="S5501" t="str">
            <v>Fady Maged Old Account</v>
          </cell>
          <cell r="T5501">
            <v>44550</v>
          </cell>
          <cell r="U5501" t="str">
            <v>Billy Smith</v>
          </cell>
          <cell r="V5501">
            <v>44552</v>
          </cell>
          <cell r="W5501">
            <v>44593</v>
          </cell>
        </row>
        <row r="5502">
          <cell r="I5502" t="str">
            <v>EDI</v>
          </cell>
          <cell r="L5502">
            <v>200</v>
          </cell>
          <cell r="N5502" t="str">
            <v>Production</v>
          </cell>
          <cell r="O5502" t="str">
            <v>eBenefits Network</v>
          </cell>
          <cell r="P5502" t="str">
            <v>Production</v>
          </cell>
          <cell r="Q5502" t="str">
            <v>Cancelled</v>
          </cell>
          <cell r="R5502">
            <v>44533.191932870373</v>
          </cell>
          <cell r="S5502" t="str">
            <v>Amira Elshora Old Account</v>
          </cell>
          <cell r="T5502">
            <v>44550</v>
          </cell>
          <cell r="U5502" t="str">
            <v>Billy Smith</v>
          </cell>
          <cell r="V5502">
            <v>44550</v>
          </cell>
          <cell r="W5502">
            <v>44600</v>
          </cell>
        </row>
        <row r="5503">
          <cell r="I5503" t="str">
            <v>EDI</v>
          </cell>
          <cell r="L5503">
            <v>166</v>
          </cell>
          <cell r="N5503" t="str">
            <v>Production</v>
          </cell>
          <cell r="O5503" t="str">
            <v>eBenefits Network</v>
          </cell>
          <cell r="P5503" t="str">
            <v>Production</v>
          </cell>
          <cell r="Q5503" t="str">
            <v>Live</v>
          </cell>
          <cell r="R5503">
            <v>44533.188217592593</v>
          </cell>
          <cell r="S5503" t="str">
            <v>Amira Elshora Old Account</v>
          </cell>
          <cell r="T5503">
            <v>44539</v>
          </cell>
          <cell r="U5503" t="str">
            <v>Billy Smith</v>
          </cell>
          <cell r="V5503">
            <v>44539</v>
          </cell>
          <cell r="W5503">
            <v>44557</v>
          </cell>
        </row>
        <row r="5504">
          <cell r="I5504" t="str">
            <v>EDI</v>
          </cell>
          <cell r="L5504">
            <v>217</v>
          </cell>
          <cell r="N5504" t="str">
            <v>Production</v>
          </cell>
          <cell r="O5504" t="str">
            <v>eBenefits Network</v>
          </cell>
          <cell r="P5504" t="str">
            <v>Production</v>
          </cell>
          <cell r="Q5504" t="str">
            <v>Live</v>
          </cell>
          <cell r="R5504">
            <v>44533.188217592593</v>
          </cell>
          <cell r="S5504" t="str">
            <v>Amira Elshora Old Account</v>
          </cell>
          <cell r="T5504">
            <v>44552</v>
          </cell>
          <cell r="U5504" t="str">
            <v>Billy Smith</v>
          </cell>
          <cell r="V5504">
            <v>44553</v>
          </cell>
          <cell r="W5504">
            <v>44592</v>
          </cell>
        </row>
        <row r="5505">
          <cell r="I5505" t="str">
            <v>EDI</v>
          </cell>
          <cell r="L5505">
            <v>213</v>
          </cell>
          <cell r="N5505" t="str">
            <v>Production</v>
          </cell>
          <cell r="O5505" t="str">
            <v>eBenefits Network</v>
          </cell>
          <cell r="P5505" t="str">
            <v>Production</v>
          </cell>
          <cell r="Q5505" t="str">
            <v>Live</v>
          </cell>
          <cell r="R5505">
            <v>44533.188217592593</v>
          </cell>
          <cell r="S5505" t="str">
            <v>Amira Elshora Old Account</v>
          </cell>
          <cell r="T5505">
            <v>44552</v>
          </cell>
          <cell r="U5505" t="str">
            <v>Billy Smith</v>
          </cell>
          <cell r="V5505">
            <v>44552</v>
          </cell>
          <cell r="W5505">
            <v>44606</v>
          </cell>
          <cell r="AC5505">
            <v>44601</v>
          </cell>
        </row>
        <row r="5506">
          <cell r="I5506" t="str">
            <v>EDI</v>
          </cell>
          <cell r="L5506">
            <v>281</v>
          </cell>
          <cell r="N5506" t="str">
            <v>Production</v>
          </cell>
          <cell r="O5506" t="str">
            <v>eBenefits Network</v>
          </cell>
          <cell r="P5506" t="str">
            <v>Production</v>
          </cell>
          <cell r="Q5506" t="str">
            <v>Cancelled</v>
          </cell>
          <cell r="R5506">
            <v>44533.188217592593</v>
          </cell>
          <cell r="S5506" t="str">
            <v>Amira Elshora Old Account</v>
          </cell>
          <cell r="T5506">
            <v>44564</v>
          </cell>
          <cell r="U5506" t="str">
            <v>Billy Smith</v>
          </cell>
          <cell r="V5506">
            <v>44571</v>
          </cell>
          <cell r="W5506">
            <v>44682</v>
          </cell>
          <cell r="AC5506">
            <v>44682</v>
          </cell>
        </row>
        <row r="5507">
          <cell r="I5507" t="str">
            <v>EDI</v>
          </cell>
          <cell r="L5507">
            <v>191</v>
          </cell>
          <cell r="N5507" t="str">
            <v>Production</v>
          </cell>
          <cell r="O5507" t="str">
            <v>eBenefits Network</v>
          </cell>
          <cell r="P5507" t="str">
            <v>Production</v>
          </cell>
          <cell r="Q5507" t="str">
            <v>Cancelled</v>
          </cell>
          <cell r="R5507">
            <v>44533.18304398148</v>
          </cell>
          <cell r="S5507" t="str">
            <v>Fady Maged Old Account</v>
          </cell>
          <cell r="T5507">
            <v>44543</v>
          </cell>
          <cell r="U5507" t="str">
            <v>Billy Smith</v>
          </cell>
          <cell r="V5507">
            <v>44551</v>
          </cell>
          <cell r="W5507">
            <v>44635</v>
          </cell>
          <cell r="AC5507">
            <v>44601</v>
          </cell>
        </row>
        <row r="5508">
          <cell r="I5508" t="str">
            <v>EDI</v>
          </cell>
          <cell r="L5508">
            <v>216</v>
          </cell>
          <cell r="N5508" t="str">
            <v>Production</v>
          </cell>
          <cell r="O5508" t="str">
            <v>eBenefits Network</v>
          </cell>
          <cell r="P5508" t="str">
            <v>Production</v>
          </cell>
          <cell r="Q5508" t="str">
            <v>Cancelled</v>
          </cell>
          <cell r="R5508">
            <v>44533.18304398148</v>
          </cell>
          <cell r="S5508" t="str">
            <v>Fady Maged Old Account</v>
          </cell>
          <cell r="T5508">
            <v>44552</v>
          </cell>
          <cell r="U5508" t="str">
            <v>Billy Smith</v>
          </cell>
          <cell r="V5508">
            <v>44621</v>
          </cell>
          <cell r="W5508">
            <v>44670</v>
          </cell>
          <cell r="AC5508">
            <v>44668</v>
          </cell>
        </row>
        <row r="5509">
          <cell r="I5509" t="str">
            <v>EDI</v>
          </cell>
          <cell r="L5509">
            <v>340</v>
          </cell>
          <cell r="N5509" t="str">
            <v>Production</v>
          </cell>
          <cell r="O5509" t="str">
            <v>eBenefits Network</v>
          </cell>
          <cell r="P5509" t="str">
            <v>Production</v>
          </cell>
          <cell r="Q5509" t="str">
            <v>Live</v>
          </cell>
          <cell r="R5509">
            <v>44533.179618055547</v>
          </cell>
          <cell r="S5509" t="str">
            <v>Fady Maged Old Account</v>
          </cell>
          <cell r="T5509">
            <v>44564</v>
          </cell>
          <cell r="U5509" t="str">
            <v>Billy Smith</v>
          </cell>
          <cell r="V5509">
            <v>25569</v>
          </cell>
          <cell r="W5509">
            <v>44627</v>
          </cell>
          <cell r="AC5509">
            <v>44622</v>
          </cell>
        </row>
        <row r="5510">
          <cell r="I5510" t="str">
            <v>EDI</v>
          </cell>
          <cell r="L5510">
            <v>272</v>
          </cell>
          <cell r="N5510" t="str">
            <v>Production</v>
          </cell>
          <cell r="O5510" t="str">
            <v>eBenefits Network</v>
          </cell>
          <cell r="P5510" t="str">
            <v>Production</v>
          </cell>
          <cell r="Q5510" t="str">
            <v>Live</v>
          </cell>
          <cell r="R5510">
            <v>44533.170555555553</v>
          </cell>
          <cell r="S5510" t="str">
            <v>Amira Elshora Old Account</v>
          </cell>
          <cell r="T5510">
            <v>44565</v>
          </cell>
          <cell r="U5510" t="str">
            <v>Billy Smith</v>
          </cell>
          <cell r="V5510">
            <v>44566</v>
          </cell>
          <cell r="W5510">
            <v>44606</v>
          </cell>
          <cell r="AC5510">
            <v>44603</v>
          </cell>
        </row>
        <row r="5511">
          <cell r="I5511" t="str">
            <v>EDI</v>
          </cell>
          <cell r="L5511">
            <v>180</v>
          </cell>
          <cell r="N5511" t="str">
            <v>Production</v>
          </cell>
          <cell r="O5511" t="str">
            <v>eBenefits Network</v>
          </cell>
          <cell r="P5511" t="str">
            <v>Production</v>
          </cell>
          <cell r="Q5511" t="str">
            <v>Live</v>
          </cell>
          <cell r="R5511">
            <v>44533.170543981483</v>
          </cell>
          <cell r="S5511" t="str">
            <v>Fady Maged Old Account</v>
          </cell>
          <cell r="T5511">
            <v>44543</v>
          </cell>
          <cell r="U5511" t="str">
            <v>Billy Smith</v>
          </cell>
          <cell r="V5511">
            <v>44550</v>
          </cell>
          <cell r="W5511">
            <v>44599</v>
          </cell>
        </row>
        <row r="5512">
          <cell r="I5512" t="str">
            <v>EDI</v>
          </cell>
          <cell r="L5512">
            <v>221</v>
          </cell>
          <cell r="N5512" t="str">
            <v>Production</v>
          </cell>
          <cell r="O5512" t="str">
            <v>eBenefits Network</v>
          </cell>
          <cell r="P5512" t="str">
            <v>Production</v>
          </cell>
          <cell r="Q5512" t="str">
            <v>Cancelled</v>
          </cell>
          <cell r="R5512">
            <v>44533.163761574076</v>
          </cell>
          <cell r="S5512" t="str">
            <v>Fady Maged Old Account</v>
          </cell>
          <cell r="T5512">
            <v>44552</v>
          </cell>
          <cell r="U5512" t="str">
            <v>Billy Smith</v>
          </cell>
          <cell r="V5512">
            <v>25569</v>
          </cell>
          <cell r="W5512">
            <v>44580</v>
          </cell>
        </row>
        <row r="5513">
          <cell r="I5513" t="str">
            <v>EDI</v>
          </cell>
          <cell r="L5513">
            <v>171</v>
          </cell>
          <cell r="N5513" t="str">
            <v>Production</v>
          </cell>
          <cell r="O5513" t="str">
            <v>eBenefits Network</v>
          </cell>
          <cell r="P5513" t="str">
            <v>Production</v>
          </cell>
          <cell r="Q5513" t="str">
            <v>Production Disabled</v>
          </cell>
          <cell r="R5513">
            <v>44533.159791666672</v>
          </cell>
          <cell r="S5513" t="str">
            <v>Fady Maged Old Account</v>
          </cell>
          <cell r="T5513">
            <v>44543</v>
          </cell>
          <cell r="U5513" t="str">
            <v>Billy Smith</v>
          </cell>
          <cell r="V5513">
            <v>44544</v>
          </cell>
          <cell r="W5513">
            <v>44572</v>
          </cell>
        </row>
        <row r="5514">
          <cell r="I5514" t="str">
            <v>EDI</v>
          </cell>
          <cell r="L5514">
            <v>222</v>
          </cell>
          <cell r="N5514" t="str">
            <v>Production</v>
          </cell>
          <cell r="O5514" t="str">
            <v>eBenefits Network</v>
          </cell>
          <cell r="P5514" t="str">
            <v>Production</v>
          </cell>
          <cell r="Q5514" t="str">
            <v>Live</v>
          </cell>
          <cell r="R5514">
            <v>44533.157094907408</v>
          </cell>
          <cell r="S5514" t="str">
            <v>Fady Maged Old Account</v>
          </cell>
          <cell r="T5514">
            <v>44552</v>
          </cell>
          <cell r="U5514" t="str">
            <v>Billy Smith</v>
          </cell>
          <cell r="V5514">
            <v>44900</v>
          </cell>
          <cell r="W5514">
            <v>44608</v>
          </cell>
          <cell r="AC5514">
            <v>44608</v>
          </cell>
        </row>
        <row r="5515">
          <cell r="I5515" t="str">
            <v>EDI</v>
          </cell>
          <cell r="L5515">
            <v>155</v>
          </cell>
          <cell r="N5515" t="str">
            <v>Production</v>
          </cell>
          <cell r="O5515" t="str">
            <v>eBenefits Network</v>
          </cell>
          <cell r="P5515" t="str">
            <v>Production</v>
          </cell>
          <cell r="Q5515" t="str">
            <v>Cancelled</v>
          </cell>
          <cell r="R5515">
            <v>44533.147476851853</v>
          </cell>
          <cell r="S5515" t="str">
            <v>Amira Elshora Old Account</v>
          </cell>
          <cell r="T5515">
            <v>44535</v>
          </cell>
          <cell r="U5515" t="str">
            <v>Denise Stubenvoll</v>
          </cell>
          <cell r="V5515">
            <v>44535</v>
          </cell>
          <cell r="W5515">
            <v>44557</v>
          </cell>
        </row>
        <row r="5516">
          <cell r="I5516" t="str">
            <v>EDI</v>
          </cell>
          <cell r="L5516">
            <v>260</v>
          </cell>
          <cell r="N5516" t="str">
            <v>Production</v>
          </cell>
          <cell r="O5516" t="str">
            <v>eBenefits Network</v>
          </cell>
          <cell r="P5516" t="str">
            <v>Production</v>
          </cell>
          <cell r="Q5516" t="str">
            <v>Cancelled</v>
          </cell>
          <cell r="R5516">
            <v>44533.147476851853</v>
          </cell>
          <cell r="S5516" t="str">
            <v>Amira Elshora Old Account</v>
          </cell>
          <cell r="T5516">
            <v>44536</v>
          </cell>
          <cell r="U5516" t="str">
            <v>Denise Stubenvoll</v>
          </cell>
          <cell r="V5516">
            <v>44566</v>
          </cell>
          <cell r="W5516">
            <v>44600</v>
          </cell>
        </row>
        <row r="5517">
          <cell r="I5517" t="str">
            <v>EDI</v>
          </cell>
          <cell r="L5517">
            <v>219</v>
          </cell>
          <cell r="N5517" t="str">
            <v>Production</v>
          </cell>
          <cell r="O5517" t="str">
            <v>eBenefits Network</v>
          </cell>
          <cell r="P5517" t="str">
            <v>Production</v>
          </cell>
          <cell r="Q5517" t="str">
            <v>Cancelled</v>
          </cell>
          <cell r="R5517">
            <v>44533.147476851853</v>
          </cell>
          <cell r="S5517" t="str">
            <v>Amira Elshora Old Account</v>
          </cell>
          <cell r="T5517">
            <v>44551</v>
          </cell>
          <cell r="U5517" t="str">
            <v>Denise Stubenvoll</v>
          </cell>
          <cell r="V5517">
            <v>44553</v>
          </cell>
          <cell r="W5517">
            <v>25569</v>
          </cell>
          <cell r="AC5517">
            <v>44616</v>
          </cell>
        </row>
        <row r="5518">
          <cell r="I5518" t="str">
            <v>EDI</v>
          </cell>
          <cell r="L5518">
            <v>168</v>
          </cell>
          <cell r="N5518" t="str">
            <v>Production</v>
          </cell>
          <cell r="O5518" t="str">
            <v>eBenefits Network</v>
          </cell>
          <cell r="P5518" t="str">
            <v>Production</v>
          </cell>
          <cell r="Q5518" t="str">
            <v>Cancelled</v>
          </cell>
          <cell r="R5518">
            <v>44533.143240740741</v>
          </cell>
          <cell r="S5518" t="str">
            <v>Amira Elshora Old Account</v>
          </cell>
          <cell r="T5518">
            <v>44543</v>
          </cell>
          <cell r="U5518" t="str">
            <v>Billy Smith</v>
          </cell>
          <cell r="V5518">
            <v>44543</v>
          </cell>
          <cell r="W5518">
            <v>44558</v>
          </cell>
        </row>
        <row r="5519">
          <cell r="I5519" t="str">
            <v>EDI</v>
          </cell>
          <cell r="L5519">
            <v>159</v>
          </cell>
          <cell r="N5519" t="str">
            <v>Production</v>
          </cell>
          <cell r="O5519" t="str">
            <v>eBenefits Network</v>
          </cell>
          <cell r="P5519" t="str">
            <v>Production</v>
          </cell>
          <cell r="Q5519" t="str">
            <v>Cancelled</v>
          </cell>
          <cell r="R5519">
            <v>44533.139097222222</v>
          </cell>
          <cell r="S5519" t="str">
            <v>Amira Elshora Old Account</v>
          </cell>
          <cell r="T5519">
            <v>44535</v>
          </cell>
          <cell r="U5519" t="str">
            <v>Billy Smith</v>
          </cell>
          <cell r="V5519">
            <v>44537</v>
          </cell>
          <cell r="W5519">
            <v>44593</v>
          </cell>
        </row>
        <row r="5520">
          <cell r="I5520" t="str">
            <v>EDI</v>
          </cell>
          <cell r="L5520">
            <v>307</v>
          </cell>
          <cell r="N5520" t="str">
            <v>Production</v>
          </cell>
          <cell r="O5520" t="str">
            <v>eBenefits Network</v>
          </cell>
          <cell r="P5520" t="str">
            <v>Production</v>
          </cell>
          <cell r="Q5520" t="str">
            <v>Cancelled</v>
          </cell>
          <cell r="R5520">
            <v>44531.802627314813</v>
          </cell>
          <cell r="S5520" t="str">
            <v>Amira Elshora Old Account</v>
          </cell>
          <cell r="T5520">
            <v>44577</v>
          </cell>
          <cell r="U5520" t="str">
            <v>Miranda Naeem</v>
          </cell>
          <cell r="V5520">
            <v>44577</v>
          </cell>
          <cell r="W5520">
            <v>44599</v>
          </cell>
        </row>
        <row r="5521">
          <cell r="I5521" t="str">
            <v>EDI</v>
          </cell>
          <cell r="L5521">
            <v>154</v>
          </cell>
          <cell r="N5521" t="str">
            <v>Production</v>
          </cell>
          <cell r="O5521" t="str">
            <v>eBenefits Network</v>
          </cell>
          <cell r="P5521" t="str">
            <v>Production</v>
          </cell>
          <cell r="Q5521" t="str">
            <v>Cancelled</v>
          </cell>
          <cell r="R5521">
            <v>44531.791504629633</v>
          </cell>
          <cell r="S5521" t="str">
            <v>Amira Elshora Old Account</v>
          </cell>
          <cell r="T5521">
            <v>44535</v>
          </cell>
          <cell r="U5521" t="str">
            <v>Billy Smith</v>
          </cell>
          <cell r="V5521">
            <v>44535</v>
          </cell>
          <cell r="W5521">
            <v>44557</v>
          </cell>
        </row>
        <row r="5522">
          <cell r="I5522" t="str">
            <v>EDI</v>
          </cell>
          <cell r="L5522">
            <v>167</v>
          </cell>
          <cell r="N5522" t="str">
            <v>Production</v>
          </cell>
          <cell r="O5522" t="str">
            <v>eBenefits Network</v>
          </cell>
          <cell r="P5522" t="str">
            <v>Production</v>
          </cell>
          <cell r="Q5522" t="str">
            <v>Cancelled</v>
          </cell>
          <cell r="R5522">
            <v>44531.791504629633</v>
          </cell>
          <cell r="S5522" t="str">
            <v>Amira Elshora Old Account</v>
          </cell>
          <cell r="T5522">
            <v>44543</v>
          </cell>
          <cell r="U5522" t="str">
            <v>Billy Smith</v>
          </cell>
          <cell r="V5522">
            <v>44543</v>
          </cell>
          <cell r="W5522">
            <v>44557</v>
          </cell>
        </row>
        <row r="5523">
          <cell r="I5523" t="str">
            <v>EDI</v>
          </cell>
          <cell r="L5523">
            <v>164</v>
          </cell>
          <cell r="N5523" t="str">
            <v>Production</v>
          </cell>
          <cell r="O5523" t="str">
            <v>eBenefits Network</v>
          </cell>
          <cell r="P5523" t="str">
            <v>Production</v>
          </cell>
          <cell r="Q5523" t="str">
            <v>Cancelled</v>
          </cell>
          <cell r="R5523">
            <v>44531.791504629633</v>
          </cell>
          <cell r="S5523" t="str">
            <v>Fady Maged Old Account</v>
          </cell>
          <cell r="T5523">
            <v>44535</v>
          </cell>
          <cell r="U5523" t="str">
            <v>Billy Smith</v>
          </cell>
          <cell r="V5523">
            <v>44539</v>
          </cell>
          <cell r="W5523">
            <v>25569</v>
          </cell>
        </row>
        <row r="5524">
          <cell r="I5524" t="str">
            <v>EDI</v>
          </cell>
          <cell r="L5524">
            <v>519</v>
          </cell>
          <cell r="N5524" t="str">
            <v>Production</v>
          </cell>
          <cell r="O5524" t="str">
            <v>eBenefits Network</v>
          </cell>
          <cell r="P5524" t="str">
            <v>Production</v>
          </cell>
          <cell r="Q5524" t="str">
            <v>Live</v>
          </cell>
          <cell r="R5524">
            <v>44531.777465277781</v>
          </cell>
          <cell r="S5524" t="str">
            <v>Amira Elshora Old Account</v>
          </cell>
          <cell r="T5524">
            <v>44622</v>
          </cell>
          <cell r="U5524" t="str">
            <v>Billy Smith</v>
          </cell>
          <cell r="V5524">
            <v>44626</v>
          </cell>
          <cell r="W5524">
            <v>44649</v>
          </cell>
          <cell r="AC5524">
            <v>44648</v>
          </cell>
        </row>
        <row r="5525">
          <cell r="I5525" t="str">
            <v>EDI</v>
          </cell>
          <cell r="L5525">
            <v>182</v>
          </cell>
          <cell r="N5525" t="str">
            <v>Production</v>
          </cell>
          <cell r="O5525" t="str">
            <v>eBenefits Network</v>
          </cell>
          <cell r="P5525" t="str">
            <v>Production</v>
          </cell>
          <cell r="Q5525" t="str">
            <v>Live</v>
          </cell>
          <cell r="R5525">
            <v>44531.76358796296</v>
          </cell>
          <cell r="S5525" t="str">
            <v>Amira Elshora Old Account</v>
          </cell>
          <cell r="T5525">
            <v>44546</v>
          </cell>
          <cell r="U5525" t="str">
            <v>Billy Smith</v>
          </cell>
          <cell r="V5525">
            <v>44566</v>
          </cell>
          <cell r="W5525">
            <v>44579</v>
          </cell>
        </row>
        <row r="5526">
          <cell r="I5526" t="str">
            <v>EDI</v>
          </cell>
          <cell r="L5526">
            <v>156</v>
          </cell>
          <cell r="N5526" t="str">
            <v>Production</v>
          </cell>
          <cell r="O5526" t="str">
            <v>eBenefits Network</v>
          </cell>
          <cell r="P5526" t="str">
            <v>Production</v>
          </cell>
          <cell r="Q5526" t="str">
            <v>Live</v>
          </cell>
          <cell r="R5526">
            <v>44531.683738425927</v>
          </cell>
          <cell r="S5526" t="str">
            <v>Fady Maged Old Account</v>
          </cell>
          <cell r="T5526">
            <v>44535</v>
          </cell>
          <cell r="U5526" t="str">
            <v>Billy Smith</v>
          </cell>
          <cell r="V5526">
            <v>44614</v>
          </cell>
          <cell r="W5526">
            <v>44753</v>
          </cell>
          <cell r="AC5526">
            <v>44749</v>
          </cell>
        </row>
        <row r="5527">
          <cell r="I5527" t="str">
            <v>EDI</v>
          </cell>
          <cell r="L5527">
            <v>157</v>
          </cell>
          <cell r="N5527" t="str">
            <v>Production</v>
          </cell>
          <cell r="O5527" t="str">
            <v>eBenefits Network</v>
          </cell>
          <cell r="P5527" t="str">
            <v>Production</v>
          </cell>
          <cell r="Q5527" t="str">
            <v>Live</v>
          </cell>
          <cell r="R5527">
            <v>44531.683738425927</v>
          </cell>
          <cell r="S5527" t="str">
            <v>Fady Maged Old Account</v>
          </cell>
          <cell r="T5527">
            <v>44535</v>
          </cell>
          <cell r="U5527" t="str">
            <v>Billy Smith</v>
          </cell>
          <cell r="V5527">
            <v>44535</v>
          </cell>
          <cell r="W5527">
            <v>44557</v>
          </cell>
        </row>
        <row r="5528">
          <cell r="I5528" t="str">
            <v>EDI</v>
          </cell>
          <cell r="L5528">
            <v>436</v>
          </cell>
          <cell r="N5528" t="str">
            <v>Production</v>
          </cell>
          <cell r="O5528" t="str">
            <v>No</v>
          </cell>
          <cell r="Q5528" t="str">
            <v>Live</v>
          </cell>
          <cell r="R5528">
            <v>44530.693333333344</v>
          </cell>
          <cell r="S5528" t="str">
            <v>Omnia Abdelaziz</v>
          </cell>
          <cell r="T5528">
            <v>44892</v>
          </cell>
          <cell r="U5528" t="str">
            <v>Vicky Wright</v>
          </cell>
          <cell r="W5528">
            <v>25569</v>
          </cell>
          <cell r="Y5528">
            <v>44600</v>
          </cell>
          <cell r="AC5528">
            <v>44693</v>
          </cell>
        </row>
        <row r="5529">
          <cell r="I5529" t="str">
            <v>EDI</v>
          </cell>
          <cell r="L5529">
            <v>211</v>
          </cell>
          <cell r="N5529" t="str">
            <v>Production</v>
          </cell>
          <cell r="O5529" t="str">
            <v>No</v>
          </cell>
          <cell r="Q5529" t="str">
            <v>Cancelled</v>
          </cell>
          <cell r="R5529">
            <v>44530.686724537038</v>
          </cell>
          <cell r="S5529" t="str">
            <v>Mohamed Samy</v>
          </cell>
          <cell r="T5529">
            <v>44551</v>
          </cell>
          <cell r="U5529" t="str">
            <v>Vicky Wright</v>
          </cell>
          <cell r="V5529">
            <v>44630</v>
          </cell>
          <cell r="W5529">
            <v>44734</v>
          </cell>
          <cell r="AC5529">
            <v>44732</v>
          </cell>
        </row>
        <row r="5530">
          <cell r="I5530" t="str">
            <v>EDI</v>
          </cell>
          <cell r="L5530">
            <v>265</v>
          </cell>
          <cell r="N5530" t="str">
            <v>Production</v>
          </cell>
          <cell r="O5530" t="str">
            <v>No</v>
          </cell>
          <cell r="Q5530" t="str">
            <v>Cancelled</v>
          </cell>
          <cell r="R5530">
            <v>44523.672754629632</v>
          </cell>
          <cell r="S5530" t="str">
            <v>Fady Bassel</v>
          </cell>
          <cell r="T5530">
            <v>44558</v>
          </cell>
          <cell r="U5530" t="str">
            <v>Miranda Naeem</v>
          </cell>
          <cell r="V5530">
            <v>44571</v>
          </cell>
          <cell r="W5530">
            <v>44740</v>
          </cell>
          <cell r="AC5530">
            <v>44739</v>
          </cell>
        </row>
        <row r="5531">
          <cell r="I5531" t="str">
            <v>EDI</v>
          </cell>
          <cell r="L5531">
            <v>135</v>
          </cell>
          <cell r="N5531" t="str">
            <v>Production</v>
          </cell>
          <cell r="O5531" t="str">
            <v>Everything Benefits</v>
          </cell>
          <cell r="P5531" t="str">
            <v>Production</v>
          </cell>
          <cell r="Q5531" t="str">
            <v>Cancelled</v>
          </cell>
          <cell r="R5531">
            <v>44523.629583333342</v>
          </cell>
          <cell r="S5531" t="str">
            <v>Mina Kamil Old Account</v>
          </cell>
          <cell r="T5531">
            <v>44552</v>
          </cell>
          <cell r="U5531" t="str">
            <v>Billy Smith</v>
          </cell>
          <cell r="V5531">
            <v>44574</v>
          </cell>
          <cell r="W5531">
            <v>44606</v>
          </cell>
          <cell r="AC5531">
            <v>44603</v>
          </cell>
        </row>
        <row r="5532">
          <cell r="I5532" t="str">
            <v>EDI</v>
          </cell>
          <cell r="L5532">
            <v>195</v>
          </cell>
          <cell r="N5532" t="str">
            <v>Production</v>
          </cell>
          <cell r="O5532" t="str">
            <v>Everything Benefits</v>
          </cell>
          <cell r="P5532" t="str">
            <v>Production</v>
          </cell>
          <cell r="Q5532" t="str">
            <v>Live</v>
          </cell>
          <cell r="R5532">
            <v>44523.629583333342</v>
          </cell>
          <cell r="S5532" t="str">
            <v>Mina Kamil Old Account</v>
          </cell>
          <cell r="T5532">
            <v>44564</v>
          </cell>
          <cell r="U5532" t="str">
            <v>Billy Smith</v>
          </cell>
          <cell r="W5532">
            <v>25569</v>
          </cell>
          <cell r="AC5532">
            <v>44641</v>
          </cell>
        </row>
        <row r="5533">
          <cell r="I5533" t="str">
            <v>EDI</v>
          </cell>
          <cell r="L5533">
            <v>176</v>
          </cell>
          <cell r="N5533" t="str">
            <v>Production</v>
          </cell>
          <cell r="O5533" t="str">
            <v>No</v>
          </cell>
          <cell r="Q5533" t="str">
            <v>Cancelled</v>
          </cell>
          <cell r="R5533">
            <v>44522.680937500001</v>
          </cell>
          <cell r="S5533" t="str">
            <v>Mohamed Samy</v>
          </cell>
          <cell r="T5533">
            <v>44524</v>
          </cell>
          <cell r="U5533" t="str">
            <v>Vicky Wright</v>
          </cell>
          <cell r="V5533">
            <v>44559</v>
          </cell>
          <cell r="W5533">
            <v>44560</v>
          </cell>
        </row>
        <row r="5534">
          <cell r="I5534" t="str">
            <v>EDI</v>
          </cell>
          <cell r="L5534">
            <v>139</v>
          </cell>
          <cell r="N5534" t="str">
            <v>Production</v>
          </cell>
          <cell r="O5534" t="str">
            <v>No</v>
          </cell>
          <cell r="Q5534" t="str">
            <v>Cancelled</v>
          </cell>
          <cell r="R5534">
            <v>44522.592141203713</v>
          </cell>
          <cell r="S5534" t="str">
            <v>Mohamed Samy</v>
          </cell>
          <cell r="T5534">
            <v>44523</v>
          </cell>
          <cell r="U5534" t="str">
            <v>Billy Smith</v>
          </cell>
          <cell r="V5534">
            <v>44565</v>
          </cell>
          <cell r="W5534">
            <v>44602</v>
          </cell>
          <cell r="AC5534">
            <v>44600</v>
          </cell>
        </row>
        <row r="5535">
          <cell r="I5535" t="str">
            <v>EDI</v>
          </cell>
          <cell r="L5535">
            <v>173</v>
          </cell>
          <cell r="N5535" t="str">
            <v>Production</v>
          </cell>
          <cell r="O5535" t="str">
            <v>No</v>
          </cell>
          <cell r="Q5535" t="str">
            <v>Cancelled</v>
          </cell>
          <cell r="R5535">
            <v>44522.592129629629</v>
          </cell>
          <cell r="S5535" t="str">
            <v>Fady Bassel</v>
          </cell>
          <cell r="T5535">
            <v>44544</v>
          </cell>
          <cell r="U5535" t="str">
            <v>Billy Smith</v>
          </cell>
          <cell r="V5535">
            <v>44546</v>
          </cell>
          <cell r="W5535">
            <v>44602</v>
          </cell>
          <cell r="AC5535">
            <v>44600</v>
          </cell>
        </row>
        <row r="5536">
          <cell r="I5536" t="str">
            <v>EDI</v>
          </cell>
          <cell r="L5536">
            <v>149</v>
          </cell>
          <cell r="N5536" t="str">
            <v>Production</v>
          </cell>
          <cell r="O5536" t="str">
            <v>No</v>
          </cell>
          <cell r="Q5536" t="str">
            <v>Cancelled</v>
          </cell>
          <cell r="R5536">
            <v>44522.589409722219</v>
          </cell>
          <cell r="S5536" t="str">
            <v>Mina George Old Account</v>
          </cell>
          <cell r="T5536">
            <v>44531</v>
          </cell>
          <cell r="U5536" t="str">
            <v>Miranda Naeem</v>
          </cell>
          <cell r="V5536">
            <v>44556</v>
          </cell>
          <cell r="W5536">
            <v>44649</v>
          </cell>
          <cell r="AC5536">
            <v>44638</v>
          </cell>
        </row>
        <row r="5537">
          <cell r="I5537" t="str">
            <v>EDI</v>
          </cell>
          <cell r="L5537">
            <v>144</v>
          </cell>
          <cell r="N5537" t="str">
            <v>Production</v>
          </cell>
          <cell r="O5537" t="str">
            <v>No</v>
          </cell>
          <cell r="Q5537" t="str">
            <v>Cancelled</v>
          </cell>
          <cell r="R5537">
            <v>44519.872754629629</v>
          </cell>
          <cell r="S5537" t="str">
            <v>Haytham Mohamed</v>
          </cell>
          <cell r="T5537">
            <v>44525</v>
          </cell>
          <cell r="U5537" t="str">
            <v>Vicky Wright</v>
          </cell>
          <cell r="V5537">
            <v>44535</v>
          </cell>
          <cell r="W5537">
            <v>44550</v>
          </cell>
        </row>
        <row r="5538">
          <cell r="I5538" t="str">
            <v>EDI</v>
          </cell>
          <cell r="L5538">
            <v>162</v>
          </cell>
          <cell r="N5538" t="str">
            <v>Production</v>
          </cell>
          <cell r="O5538" t="str">
            <v>No</v>
          </cell>
          <cell r="Q5538" t="str">
            <v>Cancelled</v>
          </cell>
          <cell r="R5538">
            <v>44519.565289351849</v>
          </cell>
          <cell r="S5538" t="str">
            <v>Mina George Old Account</v>
          </cell>
          <cell r="T5538">
            <v>44525</v>
          </cell>
          <cell r="U5538" t="str">
            <v>Vicky Wright</v>
          </cell>
          <cell r="V5538">
            <v>44622</v>
          </cell>
          <cell r="W5538">
            <v>44649</v>
          </cell>
          <cell r="AC5538">
            <v>44643</v>
          </cell>
        </row>
        <row r="5539">
          <cell r="I5539" t="str">
            <v>EDI</v>
          </cell>
          <cell r="L5539">
            <v>145</v>
          </cell>
          <cell r="N5539" t="str">
            <v>Production</v>
          </cell>
          <cell r="O5539" t="str">
            <v>No</v>
          </cell>
          <cell r="Q5539" t="str">
            <v>Cancelled</v>
          </cell>
          <cell r="R5539">
            <v>44518.747106481482</v>
          </cell>
          <cell r="S5539" t="str">
            <v>Mina Adel Old Account</v>
          </cell>
          <cell r="T5539">
            <v>44525</v>
          </cell>
          <cell r="U5539" t="str">
            <v>Billy Smith</v>
          </cell>
          <cell r="V5539">
            <v>44640</v>
          </cell>
          <cell r="W5539">
            <v>44684</v>
          </cell>
          <cell r="AC5539">
            <v>44678</v>
          </cell>
        </row>
        <row r="5540">
          <cell r="I5540" t="str">
            <v>EDI</v>
          </cell>
          <cell r="L5540">
            <v>198</v>
          </cell>
          <cell r="N5540" t="str">
            <v>Production</v>
          </cell>
          <cell r="O5540" t="str">
            <v>No</v>
          </cell>
          <cell r="Q5540" t="str">
            <v>Live</v>
          </cell>
          <cell r="R5540">
            <v>44518.747106481482</v>
          </cell>
          <cell r="S5540" t="str">
            <v>Omar Elmahalwy Old Account</v>
          </cell>
          <cell r="T5540">
            <v>44549</v>
          </cell>
          <cell r="U5540" t="str">
            <v>Billy Smith</v>
          </cell>
          <cell r="V5540">
            <v>44621</v>
          </cell>
          <cell r="W5540">
            <v>44769</v>
          </cell>
          <cell r="AC5540">
            <v>44767</v>
          </cell>
        </row>
        <row r="5541">
          <cell r="I5541" t="str">
            <v>EDI</v>
          </cell>
          <cell r="L5541">
            <v>376</v>
          </cell>
          <cell r="N5541" t="str">
            <v>Production</v>
          </cell>
          <cell r="O5541" t="str">
            <v>No</v>
          </cell>
          <cell r="Q5541" t="str">
            <v>Cancelled</v>
          </cell>
          <cell r="R5541">
            <v>44518.686539351853</v>
          </cell>
          <cell r="S5541" t="str">
            <v>Andrew Ramy</v>
          </cell>
          <cell r="T5541">
            <v>44817</v>
          </cell>
          <cell r="U5541" t="str">
            <v>Miranda Naeem</v>
          </cell>
          <cell r="V5541">
            <v>44664</v>
          </cell>
          <cell r="W5541">
            <v>44859</v>
          </cell>
          <cell r="Y5541">
            <v>44598</v>
          </cell>
          <cell r="AC5541">
            <v>44853</v>
          </cell>
        </row>
        <row r="5542">
          <cell r="I5542" t="str">
            <v>EDI</v>
          </cell>
          <cell r="N5542" t="str">
            <v>Requirements Gathering</v>
          </cell>
          <cell r="O5542" t="str">
            <v>No</v>
          </cell>
          <cell r="Q5542" t="str">
            <v>Cancelled</v>
          </cell>
          <cell r="R5542">
            <v>44518.686539351853</v>
          </cell>
          <cell r="S5542" t="str">
            <v>Lourina Edmon Old Account</v>
          </cell>
          <cell r="T5542">
            <v>44888</v>
          </cell>
          <cell r="U5542" t="str">
            <v>Miranda Naeem</v>
          </cell>
        </row>
        <row r="5543">
          <cell r="I5543" t="str">
            <v>EDI</v>
          </cell>
          <cell r="N5543" t="str">
            <v>Requirements Gathering</v>
          </cell>
          <cell r="O5543" t="str">
            <v>No</v>
          </cell>
          <cell r="Q5543" t="str">
            <v>Cancelled</v>
          </cell>
          <cell r="R5543">
            <v>44518.686539351853</v>
          </cell>
          <cell r="S5543" t="str">
            <v>Sara Mohamed</v>
          </cell>
          <cell r="T5543">
            <v>44518</v>
          </cell>
          <cell r="U5543" t="str">
            <v>Miranda Naeem</v>
          </cell>
        </row>
        <row r="5544">
          <cell r="I5544" t="str">
            <v>EDI</v>
          </cell>
          <cell r="N5544" t="str">
            <v>Requirements Gathering</v>
          </cell>
          <cell r="O5544" t="str">
            <v>No</v>
          </cell>
          <cell r="Q5544" t="str">
            <v>Cancelled</v>
          </cell>
          <cell r="R5544">
            <v>44518.686539351853</v>
          </cell>
          <cell r="S5544" t="str">
            <v>Lourina Edmon Old Account</v>
          </cell>
          <cell r="T5544">
            <v>44888</v>
          </cell>
          <cell r="U5544" t="str">
            <v>Miranda Naeem</v>
          </cell>
        </row>
        <row r="5545">
          <cell r="I5545" t="str">
            <v>EDI</v>
          </cell>
          <cell r="L5545">
            <v>123</v>
          </cell>
          <cell r="N5545" t="str">
            <v>Production</v>
          </cell>
          <cell r="O5545" t="str">
            <v>Everything Benefits</v>
          </cell>
          <cell r="P5545" t="str">
            <v>Production</v>
          </cell>
          <cell r="Q5545" t="str">
            <v>Cancelled</v>
          </cell>
          <cell r="R5545">
            <v>44517.803379629629</v>
          </cell>
          <cell r="S5545" t="str">
            <v>Ahmed Gamal</v>
          </cell>
          <cell r="T5545">
            <v>44572</v>
          </cell>
          <cell r="U5545" t="str">
            <v>Billy Smith</v>
          </cell>
          <cell r="V5545">
            <v>44543</v>
          </cell>
          <cell r="W5545">
            <v>44634</v>
          </cell>
          <cell r="AC5545">
            <v>44634</v>
          </cell>
        </row>
        <row r="5546">
          <cell r="I5546" t="str">
            <v>EDI</v>
          </cell>
          <cell r="L5546">
            <v>264</v>
          </cell>
          <cell r="N5546" t="str">
            <v>Testing</v>
          </cell>
          <cell r="O5546" t="str">
            <v>No</v>
          </cell>
          <cell r="Q5546" t="str">
            <v>Cancelled</v>
          </cell>
          <cell r="R5546">
            <v>44517.752071759263</v>
          </cell>
          <cell r="S5546" t="str">
            <v>Fady Bassel</v>
          </cell>
          <cell r="T5546">
            <v>44560</v>
          </cell>
          <cell r="U5546" t="str">
            <v>Vicky Wright</v>
          </cell>
          <cell r="V5546">
            <v>44630</v>
          </cell>
        </row>
        <row r="5547">
          <cell r="I5547" t="str">
            <v>EDI</v>
          </cell>
          <cell r="L5547">
            <v>148</v>
          </cell>
          <cell r="N5547" t="str">
            <v>Production</v>
          </cell>
          <cell r="O5547" t="str">
            <v>No</v>
          </cell>
          <cell r="Q5547" t="str">
            <v>Cancelled</v>
          </cell>
          <cell r="R5547">
            <v>44517.723668981482</v>
          </cell>
          <cell r="S5547" t="str">
            <v>Mohamed Samy</v>
          </cell>
          <cell r="T5547">
            <v>44517</v>
          </cell>
          <cell r="U5547" t="str">
            <v>Vicky Wright</v>
          </cell>
          <cell r="V5547">
            <v>44630</v>
          </cell>
          <cell r="W5547">
            <v>25569</v>
          </cell>
          <cell r="AC5547">
            <v>44641</v>
          </cell>
        </row>
        <row r="5548">
          <cell r="I5548" t="str">
            <v>EDI</v>
          </cell>
          <cell r="N5548" t="str">
            <v>Requirements Gathering</v>
          </cell>
          <cell r="O5548" t="str">
            <v>No</v>
          </cell>
          <cell r="Q5548" t="str">
            <v>Cancelled</v>
          </cell>
          <cell r="R5548">
            <v>44517.002500000002</v>
          </cell>
          <cell r="S5548" t="str">
            <v>Sandra Adel</v>
          </cell>
          <cell r="T5548">
            <v>44517</v>
          </cell>
          <cell r="U5548" t="str">
            <v>Vicky Wright</v>
          </cell>
        </row>
        <row r="5549">
          <cell r="I5549" t="str">
            <v>EDI</v>
          </cell>
          <cell r="L5549">
            <v>150</v>
          </cell>
          <cell r="N5549" t="str">
            <v>Production</v>
          </cell>
          <cell r="O5549" t="str">
            <v>No</v>
          </cell>
          <cell r="Q5549" t="str">
            <v>Live</v>
          </cell>
          <cell r="R5549">
            <v>44516.596388888887</v>
          </cell>
          <cell r="S5549" t="str">
            <v>Mina George</v>
          </cell>
          <cell r="T5549">
            <v>45231</v>
          </cell>
          <cell r="U5549" t="str">
            <v>Miranda Naeem</v>
          </cell>
          <cell r="V5549">
            <v>25569</v>
          </cell>
          <cell r="W5549">
            <v>45447</v>
          </cell>
          <cell r="AC5549">
            <v>45446</v>
          </cell>
        </row>
        <row r="5550">
          <cell r="I5550" t="str">
            <v>EDI</v>
          </cell>
          <cell r="L5550">
            <v>334</v>
          </cell>
          <cell r="N5550" t="str">
            <v>Production</v>
          </cell>
          <cell r="O5550" t="str">
            <v>eBenefits Network</v>
          </cell>
          <cell r="P5550" t="str">
            <v>Production</v>
          </cell>
          <cell r="Q5550" t="str">
            <v>Cancelled</v>
          </cell>
          <cell r="R5550">
            <v>44515.622037037043</v>
          </cell>
          <cell r="S5550" t="str">
            <v>Fady Maged Old Account</v>
          </cell>
          <cell r="T5550">
            <v>44585</v>
          </cell>
          <cell r="U5550" t="str">
            <v>Billy Smith</v>
          </cell>
          <cell r="V5550">
            <v>44586</v>
          </cell>
          <cell r="W5550">
            <v>25569</v>
          </cell>
          <cell r="AC5550">
            <v>44794</v>
          </cell>
        </row>
        <row r="5551">
          <cell r="I5551" t="str">
            <v>EDI</v>
          </cell>
          <cell r="L5551">
            <v>122</v>
          </cell>
          <cell r="N5551" t="str">
            <v>Production</v>
          </cell>
          <cell r="O5551" t="str">
            <v>eBenefits Network</v>
          </cell>
          <cell r="P5551" t="str">
            <v>Production</v>
          </cell>
          <cell r="Q5551" t="str">
            <v>Live</v>
          </cell>
          <cell r="R5551">
            <v>44515.618831018517</v>
          </cell>
          <cell r="S5551" t="str">
            <v>Fady Maged Old Account</v>
          </cell>
          <cell r="T5551">
            <v>44516</v>
          </cell>
          <cell r="U5551" t="str">
            <v>Billy Smith</v>
          </cell>
          <cell r="W5551">
            <v>44585</v>
          </cell>
        </row>
        <row r="5552">
          <cell r="I5552" t="str">
            <v>EDI</v>
          </cell>
          <cell r="L5552">
            <v>125</v>
          </cell>
          <cell r="N5552" t="str">
            <v>Production</v>
          </cell>
          <cell r="O5552" t="str">
            <v>eBenefits Network</v>
          </cell>
          <cell r="P5552" t="str">
            <v>Production</v>
          </cell>
          <cell r="Q5552" t="str">
            <v>Live</v>
          </cell>
          <cell r="R5552">
            <v>44515.618819444448</v>
          </cell>
          <cell r="S5552" t="str">
            <v>Amira Elshora Old Account</v>
          </cell>
          <cell r="T5552">
            <v>44518</v>
          </cell>
          <cell r="U5552" t="str">
            <v>Billy Smith</v>
          </cell>
          <cell r="V5552">
            <v>44523</v>
          </cell>
          <cell r="W5552">
            <v>44566</v>
          </cell>
        </row>
        <row r="5553">
          <cell r="I5553" t="str">
            <v>EDI</v>
          </cell>
          <cell r="L5553">
            <v>223</v>
          </cell>
          <cell r="N5553" t="str">
            <v>Production</v>
          </cell>
          <cell r="O5553" t="str">
            <v>No</v>
          </cell>
          <cell r="Q5553" t="str">
            <v>Cancelled</v>
          </cell>
          <cell r="R5553">
            <v>44512.837951388887</v>
          </cell>
          <cell r="S5553" t="str">
            <v>Haytham Mohamed</v>
          </cell>
          <cell r="T5553">
            <v>44556</v>
          </cell>
          <cell r="U5553" t="str">
            <v>Miranda Naeem</v>
          </cell>
          <cell r="V5553">
            <v>44564</v>
          </cell>
          <cell r="W5553">
            <v>44586</v>
          </cell>
        </row>
        <row r="5554">
          <cell r="I5554" t="str">
            <v>EDI</v>
          </cell>
          <cell r="N5554" t="str">
            <v>Pending Start</v>
          </cell>
          <cell r="O5554" t="str">
            <v>No</v>
          </cell>
          <cell r="Q5554" t="str">
            <v>Cancelled</v>
          </cell>
          <cell r="R5554">
            <v>44512.836724537039</v>
          </cell>
        </row>
        <row r="5555">
          <cell r="I5555" t="str">
            <v>EDI</v>
          </cell>
          <cell r="L5555">
            <v>102</v>
          </cell>
          <cell r="N5555" t="str">
            <v>Production</v>
          </cell>
          <cell r="O5555" t="str">
            <v>eBenefits Network</v>
          </cell>
          <cell r="P5555" t="str">
            <v>Production</v>
          </cell>
          <cell r="Q5555" t="str">
            <v>Cancelled</v>
          </cell>
          <cell r="R5555">
            <v>44512.756840277783</v>
          </cell>
          <cell r="S5555" t="str">
            <v>Amira Elshora Old Account</v>
          </cell>
          <cell r="T5555">
            <v>44515</v>
          </cell>
          <cell r="U5555" t="str">
            <v>Billy Smith</v>
          </cell>
          <cell r="V5555">
            <v>44510</v>
          </cell>
          <cell r="W5555">
            <v>44536</v>
          </cell>
        </row>
        <row r="5556">
          <cell r="I5556" t="str">
            <v>EDI</v>
          </cell>
          <cell r="L5556">
            <v>105</v>
          </cell>
          <cell r="N5556" t="str">
            <v>Production</v>
          </cell>
          <cell r="O5556" t="str">
            <v>eBenefits Network</v>
          </cell>
          <cell r="P5556" t="str">
            <v>Production</v>
          </cell>
          <cell r="Q5556" t="str">
            <v>Cancelled</v>
          </cell>
          <cell r="R5556">
            <v>44512.756828703707</v>
          </cell>
          <cell r="S5556" t="str">
            <v>Fady Maged Old Account</v>
          </cell>
          <cell r="T5556">
            <v>44515</v>
          </cell>
          <cell r="U5556" t="str">
            <v>Billy Smith</v>
          </cell>
          <cell r="W5556">
            <v>44579</v>
          </cell>
        </row>
        <row r="5557">
          <cell r="I5557" t="str">
            <v>EDI</v>
          </cell>
          <cell r="L5557">
            <v>141</v>
          </cell>
          <cell r="N5557" t="str">
            <v>Production</v>
          </cell>
          <cell r="O5557" t="str">
            <v>eBenefits Network</v>
          </cell>
          <cell r="P5557" t="str">
            <v>Production</v>
          </cell>
          <cell r="Q5557" t="str">
            <v>Cancelled</v>
          </cell>
          <cell r="R5557">
            <v>44512.683217592603</v>
          </cell>
          <cell r="S5557" t="str">
            <v>Fady Maged Old Account</v>
          </cell>
          <cell r="T5557">
            <v>44524</v>
          </cell>
          <cell r="U5557" t="str">
            <v>Billy Smith</v>
          </cell>
          <cell r="V5557">
            <v>44544</v>
          </cell>
          <cell r="W5557">
            <v>44565</v>
          </cell>
        </row>
        <row r="5558">
          <cell r="I5558" t="str">
            <v>EDI</v>
          </cell>
          <cell r="L5558">
            <v>115</v>
          </cell>
          <cell r="N5558" t="str">
            <v>Production</v>
          </cell>
          <cell r="O5558" t="str">
            <v>eBenefits Network</v>
          </cell>
          <cell r="P5558" t="str">
            <v>Production</v>
          </cell>
          <cell r="Q5558" t="str">
            <v>Live</v>
          </cell>
          <cell r="R5558">
            <v>44512.683217592603</v>
          </cell>
          <cell r="S5558" t="str">
            <v>Amira Elshora Old Account</v>
          </cell>
          <cell r="T5558">
            <v>44516</v>
          </cell>
          <cell r="U5558" t="str">
            <v>Billy Smith</v>
          </cell>
          <cell r="V5558">
            <v>44517</v>
          </cell>
          <cell r="W5558">
            <v>44573</v>
          </cell>
        </row>
        <row r="5559">
          <cell r="I5559" t="str">
            <v>EDI</v>
          </cell>
          <cell r="L5559">
            <v>121</v>
          </cell>
          <cell r="N5559" t="str">
            <v>Production</v>
          </cell>
          <cell r="O5559" t="str">
            <v>eBenefits Network</v>
          </cell>
          <cell r="P5559" t="str">
            <v>Production</v>
          </cell>
          <cell r="Q5559" t="str">
            <v>Cancelled</v>
          </cell>
          <cell r="R5559">
            <v>44512.683206018519</v>
          </cell>
          <cell r="S5559" t="str">
            <v>Fady Maged Old Account</v>
          </cell>
          <cell r="T5559">
            <v>44516</v>
          </cell>
          <cell r="U5559" t="str">
            <v>Billy Smith</v>
          </cell>
          <cell r="V5559">
            <v>44518</v>
          </cell>
          <cell r="W5559">
            <v>44579</v>
          </cell>
        </row>
        <row r="5560">
          <cell r="I5560" t="str">
            <v>EDI</v>
          </cell>
          <cell r="L5560">
            <v>114</v>
          </cell>
          <cell r="N5560" t="str">
            <v>Production</v>
          </cell>
          <cell r="O5560" t="str">
            <v>eBenefits Network</v>
          </cell>
          <cell r="P5560" t="str">
            <v>Production</v>
          </cell>
          <cell r="Q5560" t="str">
            <v>Cancelled</v>
          </cell>
          <cell r="R5560">
            <v>44512.672708333332</v>
          </cell>
          <cell r="S5560" t="str">
            <v>Amira Elshora Old Account</v>
          </cell>
          <cell r="T5560">
            <v>44515</v>
          </cell>
          <cell r="U5560" t="str">
            <v>Billy Smith</v>
          </cell>
          <cell r="V5560">
            <v>44515</v>
          </cell>
          <cell r="W5560">
            <v>25569</v>
          </cell>
        </row>
        <row r="5561">
          <cell r="I5561" t="str">
            <v>EDI</v>
          </cell>
          <cell r="L5561">
            <v>146</v>
          </cell>
          <cell r="N5561" t="str">
            <v>Production</v>
          </cell>
          <cell r="O5561" t="str">
            <v>eBenefits Network</v>
          </cell>
          <cell r="P5561" t="str">
            <v>Production</v>
          </cell>
          <cell r="Q5561" t="str">
            <v>Cancelled</v>
          </cell>
          <cell r="R5561">
            <v>44512.672708333332</v>
          </cell>
          <cell r="S5561" t="str">
            <v>Amira Elshora Old Account</v>
          </cell>
          <cell r="T5561">
            <v>44529</v>
          </cell>
          <cell r="U5561" t="str">
            <v>Billy Smith</v>
          </cell>
          <cell r="V5561">
            <v>44529</v>
          </cell>
          <cell r="W5561">
            <v>44558</v>
          </cell>
        </row>
        <row r="5562">
          <cell r="I5562" t="str">
            <v>EDI</v>
          </cell>
          <cell r="L5562">
            <v>140</v>
          </cell>
          <cell r="N5562" t="str">
            <v>Production</v>
          </cell>
          <cell r="O5562" t="str">
            <v>eBenefits Network</v>
          </cell>
          <cell r="P5562" t="str">
            <v>Production</v>
          </cell>
          <cell r="Q5562" t="str">
            <v>Cancelled</v>
          </cell>
          <cell r="R5562">
            <v>44512.663865740738</v>
          </cell>
          <cell r="S5562" t="str">
            <v>Amira Elshora Old Account</v>
          </cell>
          <cell r="T5562">
            <v>44524</v>
          </cell>
          <cell r="U5562" t="str">
            <v>Billy Smith</v>
          </cell>
          <cell r="V5562">
            <v>44525</v>
          </cell>
          <cell r="W5562">
            <v>44545</v>
          </cell>
        </row>
        <row r="5563">
          <cell r="I5563" t="str">
            <v>EDI</v>
          </cell>
          <cell r="L5563">
            <v>118</v>
          </cell>
          <cell r="N5563" t="str">
            <v>Production</v>
          </cell>
          <cell r="O5563" t="str">
            <v>No</v>
          </cell>
          <cell r="Q5563" t="str">
            <v>Cancelled</v>
          </cell>
          <cell r="R5563">
            <v>44512.64472222222</v>
          </cell>
          <cell r="S5563" t="str">
            <v>Mina George Old Account</v>
          </cell>
          <cell r="T5563">
            <v>44516</v>
          </cell>
          <cell r="U5563" t="str">
            <v>Vicky Wright</v>
          </cell>
          <cell r="V5563">
            <v>44598</v>
          </cell>
          <cell r="W5563">
            <v>44671</v>
          </cell>
          <cell r="AC5563">
            <v>44665</v>
          </cell>
        </row>
        <row r="5564">
          <cell r="I5564" t="str">
            <v>EDI</v>
          </cell>
          <cell r="L5564">
            <v>142</v>
          </cell>
          <cell r="N5564" t="str">
            <v>Production</v>
          </cell>
          <cell r="O5564" t="str">
            <v>No</v>
          </cell>
          <cell r="Q5564" t="str">
            <v>Cancelled</v>
          </cell>
          <cell r="R5564">
            <v>44512.64471064815</v>
          </cell>
          <cell r="S5564" t="str">
            <v>Haytham Mohamed</v>
          </cell>
          <cell r="T5564">
            <v>44523</v>
          </cell>
          <cell r="U5564" t="str">
            <v>Vicky Wright</v>
          </cell>
          <cell r="V5564">
            <v>44539</v>
          </cell>
          <cell r="W5564">
            <v>25569</v>
          </cell>
        </row>
        <row r="5565">
          <cell r="I5565" t="str">
            <v>EDI</v>
          </cell>
          <cell r="L5565">
            <v>131</v>
          </cell>
          <cell r="N5565" t="str">
            <v>Production</v>
          </cell>
          <cell r="O5565" t="str">
            <v>No</v>
          </cell>
          <cell r="Q5565" t="str">
            <v>Cancelled</v>
          </cell>
          <cell r="R5565">
            <v>44512.64471064815</v>
          </cell>
          <cell r="S5565" t="str">
            <v>Haytham Mohamed</v>
          </cell>
          <cell r="T5565">
            <v>44521</v>
          </cell>
          <cell r="U5565" t="str">
            <v>Vicky Wright</v>
          </cell>
          <cell r="V5565">
            <v>44535</v>
          </cell>
          <cell r="W5565">
            <v>44566</v>
          </cell>
        </row>
        <row r="5566">
          <cell r="I5566" t="str">
            <v>EDI</v>
          </cell>
          <cell r="L5566">
            <v>119</v>
          </cell>
          <cell r="N5566" t="str">
            <v>Production</v>
          </cell>
          <cell r="O5566" t="str">
            <v>eBenefits Network</v>
          </cell>
          <cell r="P5566" t="str">
            <v>Production</v>
          </cell>
          <cell r="Q5566" t="str">
            <v>Cancelled</v>
          </cell>
          <cell r="R5566">
            <v>44512.588101851848</v>
          </cell>
          <cell r="T5566">
            <v>44517</v>
          </cell>
          <cell r="U5566" t="str">
            <v>Billy Smith</v>
          </cell>
          <cell r="V5566">
            <v>44525</v>
          </cell>
          <cell r="W5566">
            <v>44581</v>
          </cell>
        </row>
        <row r="5567">
          <cell r="I5567" t="str">
            <v>EDI</v>
          </cell>
          <cell r="L5567">
            <v>117</v>
          </cell>
          <cell r="N5567" t="str">
            <v>Production</v>
          </cell>
          <cell r="O5567" t="str">
            <v>eBenefits Network</v>
          </cell>
          <cell r="P5567" t="str">
            <v>Production</v>
          </cell>
          <cell r="Q5567" t="str">
            <v>Cancelled</v>
          </cell>
          <cell r="R5567">
            <v>44512.58116898148</v>
          </cell>
          <cell r="S5567" t="str">
            <v>Amira Elshora Old Account</v>
          </cell>
          <cell r="T5567">
            <v>44643</v>
          </cell>
          <cell r="U5567" t="str">
            <v>Billy Smith</v>
          </cell>
          <cell r="V5567">
            <v>44648</v>
          </cell>
          <cell r="W5567">
            <v>44670</v>
          </cell>
          <cell r="AC5567">
            <v>44668</v>
          </cell>
        </row>
        <row r="5568">
          <cell r="I5568" t="str">
            <v>EDI</v>
          </cell>
          <cell r="L5568">
            <v>138</v>
          </cell>
          <cell r="N5568" t="str">
            <v>Production</v>
          </cell>
          <cell r="O5568" t="str">
            <v>No</v>
          </cell>
          <cell r="Q5568" t="str">
            <v>Cancelled</v>
          </cell>
          <cell r="R5568">
            <v>44511.734976851847</v>
          </cell>
          <cell r="S5568" t="str">
            <v>Joseph Atef Old Account</v>
          </cell>
          <cell r="T5568">
            <v>44516</v>
          </cell>
          <cell r="U5568" t="str">
            <v>Denise Stubenvoll</v>
          </cell>
          <cell r="V5568">
            <v>25569</v>
          </cell>
          <cell r="W5568">
            <v>44621</v>
          </cell>
          <cell r="AC5568">
            <v>44615</v>
          </cell>
        </row>
        <row r="5569">
          <cell r="I5569" t="str">
            <v>EDI</v>
          </cell>
          <cell r="N5569" t="str">
            <v>Pending Start</v>
          </cell>
          <cell r="O5569" t="str">
            <v>No</v>
          </cell>
          <cell r="Q5569" t="str">
            <v>Cancelled</v>
          </cell>
          <cell r="R5569">
            <v>44511.605763888889</v>
          </cell>
          <cell r="U5569" t="str">
            <v>Miranda Naeem</v>
          </cell>
        </row>
        <row r="5570">
          <cell r="I5570" t="str">
            <v>EDI</v>
          </cell>
          <cell r="L5570">
            <v>126</v>
          </cell>
          <cell r="N5570" t="str">
            <v>Production</v>
          </cell>
          <cell r="O5570" t="str">
            <v>No</v>
          </cell>
          <cell r="Q5570" t="str">
            <v>Cancelled</v>
          </cell>
          <cell r="R5570">
            <v>44510.785775462973</v>
          </cell>
          <cell r="S5570" t="str">
            <v>Joseph Atef Old Account</v>
          </cell>
          <cell r="T5570">
            <v>44514</v>
          </cell>
          <cell r="U5570" t="str">
            <v>Billy Smith</v>
          </cell>
          <cell r="V5570">
            <v>44577</v>
          </cell>
          <cell r="W5570">
            <v>25569</v>
          </cell>
          <cell r="AC5570">
            <v>44791</v>
          </cell>
        </row>
        <row r="5571">
          <cell r="I5571" t="str">
            <v>EDI</v>
          </cell>
          <cell r="L5571">
            <v>161</v>
          </cell>
          <cell r="N5571" t="str">
            <v>Production</v>
          </cell>
          <cell r="O5571" t="str">
            <v>No</v>
          </cell>
          <cell r="Q5571" t="str">
            <v>Cancelled</v>
          </cell>
          <cell r="R5571">
            <v>44510.614918981482</v>
          </cell>
          <cell r="S5571" t="str">
            <v>Mohamed Samy</v>
          </cell>
          <cell r="T5571">
            <v>44532</v>
          </cell>
          <cell r="U5571" t="str">
            <v>Billy Smith</v>
          </cell>
          <cell r="V5571">
            <v>44628</v>
          </cell>
          <cell r="W5571">
            <v>44656</v>
          </cell>
          <cell r="AC5571">
            <v>44649</v>
          </cell>
        </row>
        <row r="5572">
          <cell r="I5572" t="str">
            <v>EDI</v>
          </cell>
          <cell r="L5572">
            <v>143</v>
          </cell>
          <cell r="N5572" t="str">
            <v>Production</v>
          </cell>
          <cell r="O5572" t="str">
            <v>No</v>
          </cell>
          <cell r="Q5572" t="str">
            <v>Cancelled</v>
          </cell>
          <cell r="R5572">
            <v>44509.930335648147</v>
          </cell>
          <cell r="S5572" t="str">
            <v>Omar Elmahalwy Old Account</v>
          </cell>
          <cell r="T5572">
            <v>44525</v>
          </cell>
          <cell r="U5572" t="str">
            <v>Vicky Wright</v>
          </cell>
          <cell r="V5572">
            <v>44532</v>
          </cell>
          <cell r="W5572">
            <v>44628</v>
          </cell>
          <cell r="AC5572">
            <v>44627</v>
          </cell>
        </row>
        <row r="5573">
          <cell r="I5573" t="str">
            <v>EDI</v>
          </cell>
          <cell r="L5573">
            <v>124</v>
          </cell>
          <cell r="N5573" t="str">
            <v>Production</v>
          </cell>
          <cell r="O5573" t="str">
            <v>No</v>
          </cell>
          <cell r="Q5573" t="str">
            <v>Cancelled</v>
          </cell>
          <cell r="R5573">
            <v>44509.930335648147</v>
          </cell>
          <cell r="S5573" t="str">
            <v>Omar Elmahalwy Old Account</v>
          </cell>
          <cell r="T5573">
            <v>44517</v>
          </cell>
          <cell r="U5573" t="str">
            <v>Vicky Wright</v>
          </cell>
          <cell r="V5573">
            <v>44581</v>
          </cell>
          <cell r="W5573">
            <v>44621</v>
          </cell>
          <cell r="AC5573">
            <v>44615</v>
          </cell>
        </row>
        <row r="5574">
          <cell r="I5574" t="str">
            <v>EDI</v>
          </cell>
          <cell r="L5574">
            <v>160</v>
          </cell>
          <cell r="N5574" t="str">
            <v>Testing</v>
          </cell>
          <cell r="O5574" t="str">
            <v>No</v>
          </cell>
          <cell r="Q5574" t="str">
            <v>Cancelled</v>
          </cell>
          <cell r="R5574">
            <v>44509.930335648147</v>
          </cell>
          <cell r="S5574" t="str">
            <v>Fady Bassel</v>
          </cell>
          <cell r="T5574">
            <v>44536</v>
          </cell>
          <cell r="U5574" t="str">
            <v>Vicky Wright</v>
          </cell>
        </row>
        <row r="5575">
          <cell r="I5575" t="str">
            <v>EDI</v>
          </cell>
          <cell r="L5575">
            <v>493</v>
          </cell>
          <cell r="N5575" t="str">
            <v>Dataset Validation</v>
          </cell>
          <cell r="O5575" t="str">
            <v>No</v>
          </cell>
          <cell r="Q5575" t="str">
            <v>Cancelled</v>
          </cell>
          <cell r="R5575">
            <v>44509.930335648147</v>
          </cell>
          <cell r="S5575" t="str">
            <v>Sara Mohamed</v>
          </cell>
          <cell r="T5575">
            <v>44637</v>
          </cell>
          <cell r="U5575" t="str">
            <v>Vicky Wright</v>
          </cell>
          <cell r="Y5575">
            <v>44619</v>
          </cell>
        </row>
        <row r="5576">
          <cell r="I5576" t="str">
            <v>EDI</v>
          </cell>
          <cell r="L5576">
            <v>433</v>
          </cell>
          <cell r="N5576" t="str">
            <v>Testing</v>
          </cell>
          <cell r="O5576" t="str">
            <v>No</v>
          </cell>
          <cell r="Q5576" t="str">
            <v>Cancelled</v>
          </cell>
          <cell r="R5576">
            <v>44509.930324074077</v>
          </cell>
          <cell r="S5576" t="str">
            <v>Omnia Abdelaziz</v>
          </cell>
          <cell r="T5576">
            <v>44892</v>
          </cell>
          <cell r="U5576" t="str">
            <v>Vicky Wright</v>
          </cell>
          <cell r="V5576">
            <v>44622</v>
          </cell>
          <cell r="Y5576">
            <v>44598</v>
          </cell>
        </row>
        <row r="5577">
          <cell r="I5577" t="str">
            <v>EDI</v>
          </cell>
          <cell r="L5577">
            <v>134</v>
          </cell>
          <cell r="N5577" t="str">
            <v>Production</v>
          </cell>
          <cell r="O5577" t="str">
            <v>No</v>
          </cell>
          <cell r="Q5577" t="str">
            <v>Cancelled</v>
          </cell>
          <cell r="R5577">
            <v>44509.91814814815</v>
          </cell>
          <cell r="S5577" t="str">
            <v>Omnia Abdelaziz</v>
          </cell>
          <cell r="T5577">
            <v>44892</v>
          </cell>
          <cell r="U5577" t="str">
            <v>Vicky Wright</v>
          </cell>
          <cell r="V5577">
            <v>44528</v>
          </cell>
          <cell r="W5577">
            <v>44579</v>
          </cell>
        </row>
        <row r="5578">
          <cell r="I5578" t="str">
            <v>EDI</v>
          </cell>
          <cell r="L5578">
            <v>206</v>
          </cell>
          <cell r="N5578" t="str">
            <v>Production</v>
          </cell>
          <cell r="O5578" t="str">
            <v>No</v>
          </cell>
          <cell r="Q5578" t="str">
            <v>Cancelled</v>
          </cell>
          <cell r="R5578">
            <v>44509.91814814815</v>
          </cell>
          <cell r="S5578" t="str">
            <v>Ahmed Sami Old Account</v>
          </cell>
          <cell r="T5578">
            <v>44535</v>
          </cell>
          <cell r="U5578" t="str">
            <v>Vicky Wright</v>
          </cell>
          <cell r="V5578">
            <v>44564</v>
          </cell>
          <cell r="W5578">
            <v>44586</v>
          </cell>
        </row>
        <row r="5579">
          <cell r="I5579" t="str">
            <v>EDI</v>
          </cell>
          <cell r="L5579">
            <v>319</v>
          </cell>
          <cell r="N5579" t="str">
            <v>Testing</v>
          </cell>
          <cell r="O5579" t="str">
            <v>No</v>
          </cell>
          <cell r="Q5579" t="str">
            <v>Cancelled</v>
          </cell>
          <cell r="R5579">
            <v>44509.901250000003</v>
          </cell>
          <cell r="S5579" t="str">
            <v>Mohamed Samy</v>
          </cell>
          <cell r="T5579">
            <v>44572</v>
          </cell>
          <cell r="U5579" t="str">
            <v>Vicky Wright</v>
          </cell>
          <cell r="V5579">
            <v>44622</v>
          </cell>
        </row>
        <row r="5580">
          <cell r="I5580" t="str">
            <v>EDI</v>
          </cell>
          <cell r="L5580">
            <v>106</v>
          </cell>
          <cell r="N5580" t="str">
            <v>Production</v>
          </cell>
          <cell r="O5580" t="str">
            <v>No</v>
          </cell>
          <cell r="Q5580" t="str">
            <v>Live</v>
          </cell>
          <cell r="R5580">
            <v>44509.7502662037</v>
          </cell>
          <cell r="S5580" t="str">
            <v>Jack Salah</v>
          </cell>
          <cell r="T5580">
            <v>44511</v>
          </cell>
          <cell r="U5580" t="str">
            <v>Miranda Naeem</v>
          </cell>
          <cell r="V5580">
            <v>44584</v>
          </cell>
          <cell r="W5580">
            <v>44607</v>
          </cell>
          <cell r="AC5580">
            <v>44598</v>
          </cell>
        </row>
        <row r="5581">
          <cell r="I5581" t="str">
            <v>EDI</v>
          </cell>
          <cell r="L5581">
            <v>147</v>
          </cell>
          <cell r="N5581" t="str">
            <v>Mapping</v>
          </cell>
          <cell r="O5581" t="str">
            <v>No</v>
          </cell>
          <cell r="Q5581" t="str">
            <v>Cancelled</v>
          </cell>
          <cell r="R5581">
            <v>44504.819849537038</v>
          </cell>
          <cell r="S5581" t="str">
            <v>Haytham Mohamed</v>
          </cell>
          <cell r="T5581">
            <v>44525</v>
          </cell>
          <cell r="U5581" t="str">
            <v>Vicky Wright</v>
          </cell>
        </row>
        <row r="5582">
          <cell r="I5582" t="str">
            <v>EDI</v>
          </cell>
          <cell r="L5582">
            <v>109</v>
          </cell>
          <cell r="N5582" t="str">
            <v>Production</v>
          </cell>
          <cell r="O5582" t="str">
            <v>No</v>
          </cell>
          <cell r="Q5582" t="str">
            <v>Live</v>
          </cell>
          <cell r="R5582">
            <v>44503.875555555547</v>
          </cell>
          <cell r="S5582" t="str">
            <v>Jack Salah</v>
          </cell>
          <cell r="T5582">
            <v>44511</v>
          </cell>
          <cell r="U5582" t="str">
            <v>Vicky Wright</v>
          </cell>
          <cell r="W5582">
            <v>44587</v>
          </cell>
        </row>
        <row r="5583">
          <cell r="I5583" t="str">
            <v>EDI</v>
          </cell>
          <cell r="L5583">
            <v>137</v>
          </cell>
          <cell r="N5583" t="str">
            <v>Production</v>
          </cell>
          <cell r="O5583" t="str">
            <v>No</v>
          </cell>
          <cell r="Q5583" t="str">
            <v>Cancelled</v>
          </cell>
          <cell r="R5583">
            <v>44503.837395833332</v>
          </cell>
          <cell r="S5583" t="str">
            <v>Joseph Atef Old Account</v>
          </cell>
          <cell r="T5583">
            <v>44521</v>
          </cell>
          <cell r="U5583" t="str">
            <v>Vicky Wright</v>
          </cell>
          <cell r="V5583">
            <v>44573</v>
          </cell>
          <cell r="W5583">
            <v>44586</v>
          </cell>
        </row>
        <row r="5584">
          <cell r="I5584" t="str">
            <v>EDI</v>
          </cell>
          <cell r="L5584">
            <v>116</v>
          </cell>
          <cell r="N5584" t="str">
            <v>Production</v>
          </cell>
          <cell r="O5584" t="str">
            <v>No</v>
          </cell>
          <cell r="Q5584" t="str">
            <v>Cancelled</v>
          </cell>
          <cell r="R5584">
            <v>44503.837395833332</v>
          </cell>
          <cell r="S5584" t="str">
            <v>Jack Salah</v>
          </cell>
          <cell r="T5584">
            <v>44516</v>
          </cell>
          <cell r="U5584" t="str">
            <v>Vicky Wright</v>
          </cell>
          <cell r="V5584">
            <v>44559</v>
          </cell>
          <cell r="W5584">
            <v>44586</v>
          </cell>
        </row>
        <row r="5585">
          <cell r="I5585" t="str">
            <v>EDI</v>
          </cell>
          <cell r="L5585">
            <v>136</v>
          </cell>
          <cell r="N5585" t="str">
            <v>Production</v>
          </cell>
          <cell r="O5585" t="str">
            <v>No</v>
          </cell>
          <cell r="Q5585" t="str">
            <v>Cancelled</v>
          </cell>
          <cell r="R5585">
            <v>44502.97383101852</v>
          </cell>
          <cell r="S5585" t="str">
            <v>Omar Elmahalwy Old Account</v>
          </cell>
          <cell r="T5585">
            <v>44523</v>
          </cell>
          <cell r="U5585" t="str">
            <v>Vicky Wright</v>
          </cell>
          <cell r="V5585">
            <v>25569</v>
          </cell>
          <cell r="W5585">
            <v>44558</v>
          </cell>
        </row>
        <row r="5586">
          <cell r="I5586" t="str">
            <v>EDI</v>
          </cell>
          <cell r="L5586">
            <v>97</v>
          </cell>
          <cell r="N5586" t="str">
            <v>Production</v>
          </cell>
          <cell r="O5586" t="str">
            <v>No</v>
          </cell>
          <cell r="Q5586" t="str">
            <v>Cancelled</v>
          </cell>
          <cell r="R5586">
            <v>44502.594097222223</v>
          </cell>
          <cell r="S5586" t="str">
            <v>Joseph Atef Old Account</v>
          </cell>
          <cell r="T5586">
            <v>44507</v>
          </cell>
          <cell r="U5586" t="str">
            <v>Vicky Wright</v>
          </cell>
          <cell r="V5586">
            <v>44581</v>
          </cell>
          <cell r="W5586">
            <v>44607</v>
          </cell>
        </row>
        <row r="5587">
          <cell r="I5587" t="str">
            <v>EDI</v>
          </cell>
          <cell r="L5587">
            <v>113</v>
          </cell>
          <cell r="N5587" t="str">
            <v>Production</v>
          </cell>
          <cell r="O5587" t="str">
            <v>No</v>
          </cell>
          <cell r="Q5587" t="str">
            <v>Cancelled</v>
          </cell>
          <cell r="R5587">
            <v>44502.594097222223</v>
          </cell>
          <cell r="S5587" t="str">
            <v>Mohamed Samy</v>
          </cell>
          <cell r="T5587">
            <v>44510</v>
          </cell>
          <cell r="U5587" t="str">
            <v>Vicky Wright</v>
          </cell>
          <cell r="V5587">
            <v>44567</v>
          </cell>
          <cell r="W5587">
            <v>25569</v>
          </cell>
          <cell r="AC5587">
            <v>44647</v>
          </cell>
        </row>
        <row r="5588">
          <cell r="I5588" t="str">
            <v>EDI</v>
          </cell>
          <cell r="L5588">
            <v>98</v>
          </cell>
          <cell r="N5588" t="str">
            <v>Production</v>
          </cell>
          <cell r="O5588" t="str">
            <v>No</v>
          </cell>
          <cell r="Q5588" t="str">
            <v>Cancelled</v>
          </cell>
          <cell r="R5588">
            <v>44502.572939814818</v>
          </cell>
          <cell r="S5588" t="str">
            <v>Jack Salah</v>
          </cell>
          <cell r="T5588">
            <v>44508</v>
          </cell>
          <cell r="U5588" t="str">
            <v>Vicky Wright</v>
          </cell>
          <cell r="W5588">
            <v>25569</v>
          </cell>
        </row>
        <row r="5589">
          <cell r="I5589" t="str">
            <v>EDI</v>
          </cell>
          <cell r="L5589">
            <v>108</v>
          </cell>
          <cell r="N5589" t="str">
            <v>Production</v>
          </cell>
          <cell r="O5589" t="str">
            <v>No</v>
          </cell>
          <cell r="Q5589" t="str">
            <v>Cancelled</v>
          </cell>
          <cell r="R5589">
            <v>44502.572928240741</v>
          </cell>
          <cell r="S5589" t="str">
            <v>Joseph Atef Old Account</v>
          </cell>
          <cell r="T5589">
            <v>44510</v>
          </cell>
          <cell r="U5589" t="str">
            <v>Vicky Wright</v>
          </cell>
          <cell r="W5589">
            <v>44560</v>
          </cell>
        </row>
        <row r="5590">
          <cell r="I5590" t="str">
            <v>EDI</v>
          </cell>
          <cell r="L5590">
            <v>129</v>
          </cell>
          <cell r="N5590" t="str">
            <v>Production</v>
          </cell>
          <cell r="O5590" t="str">
            <v>No</v>
          </cell>
          <cell r="Q5590" t="str">
            <v>Live</v>
          </cell>
          <cell r="R5590">
            <v>44498.855162037027</v>
          </cell>
          <cell r="S5590" t="str">
            <v>Mina George Old Account</v>
          </cell>
          <cell r="T5590">
            <v>44522</v>
          </cell>
          <cell r="U5590" t="str">
            <v>Vicky Wright</v>
          </cell>
          <cell r="V5590">
            <v>44602</v>
          </cell>
          <cell r="W5590">
            <v>44656</v>
          </cell>
          <cell r="AC5590">
            <v>44655</v>
          </cell>
        </row>
        <row r="5591">
          <cell r="I5591" t="str">
            <v>EDI</v>
          </cell>
          <cell r="L5591">
            <v>152</v>
          </cell>
          <cell r="N5591" t="str">
            <v>Production</v>
          </cell>
          <cell r="O5591" t="str">
            <v>No</v>
          </cell>
          <cell r="Q5591" t="str">
            <v>Live</v>
          </cell>
          <cell r="R5591">
            <v>44498.855162037027</v>
          </cell>
          <cell r="S5591" t="str">
            <v>Haytham Mohamed</v>
          </cell>
          <cell r="T5591">
            <v>44530</v>
          </cell>
          <cell r="U5591" t="str">
            <v>Vicky Wright</v>
          </cell>
          <cell r="V5591">
            <v>44538</v>
          </cell>
          <cell r="W5591">
            <v>44621</v>
          </cell>
          <cell r="AC5591">
            <v>44615</v>
          </cell>
        </row>
        <row r="5592">
          <cell r="I5592" t="str">
            <v>EDI</v>
          </cell>
          <cell r="N5592" t="str">
            <v>Requirements Gathering</v>
          </cell>
          <cell r="O5592" t="str">
            <v>No</v>
          </cell>
          <cell r="Q5592" t="str">
            <v>Cancelled</v>
          </cell>
          <cell r="R5592">
            <v>44498.842604166668</v>
          </cell>
          <cell r="S5592" t="str">
            <v>Lourina Edmon Old Account</v>
          </cell>
          <cell r="T5592">
            <v>44888</v>
          </cell>
          <cell r="U5592" t="str">
            <v>Vicky Wright</v>
          </cell>
        </row>
        <row r="5593">
          <cell r="I5593" t="str">
            <v>EDI</v>
          </cell>
          <cell r="N5593" t="str">
            <v>Requirements Gathering</v>
          </cell>
          <cell r="O5593" t="str">
            <v>No</v>
          </cell>
          <cell r="Q5593" t="str">
            <v>Cancelled</v>
          </cell>
          <cell r="R5593">
            <v>44498.837500000001</v>
          </cell>
          <cell r="S5593" t="str">
            <v>Sara Mohamed</v>
          </cell>
          <cell r="T5593">
            <v>44500</v>
          </cell>
          <cell r="U5593" t="str">
            <v>Vicky Wright</v>
          </cell>
        </row>
        <row r="5594">
          <cell r="I5594" t="str">
            <v>EDI</v>
          </cell>
          <cell r="L5594">
            <v>92</v>
          </cell>
          <cell r="N5594" t="str">
            <v>Production</v>
          </cell>
          <cell r="O5594" t="str">
            <v>No</v>
          </cell>
          <cell r="Q5594" t="str">
            <v>Cancelled</v>
          </cell>
          <cell r="R5594">
            <v>44498.750821759262</v>
          </cell>
          <cell r="S5594" t="str">
            <v>Ahmed Sami Old Account</v>
          </cell>
          <cell r="T5594">
            <v>44500</v>
          </cell>
          <cell r="U5594" t="str">
            <v>Vicky Wright</v>
          </cell>
          <cell r="V5594">
            <v>44559</v>
          </cell>
          <cell r="W5594">
            <v>44719</v>
          </cell>
          <cell r="AC5594">
            <v>44697</v>
          </cell>
        </row>
        <row r="5595">
          <cell r="I5595" t="str">
            <v>EDI</v>
          </cell>
          <cell r="L5595">
            <v>88</v>
          </cell>
          <cell r="N5595" t="str">
            <v>Production</v>
          </cell>
          <cell r="O5595" t="str">
            <v>No</v>
          </cell>
          <cell r="Q5595" t="str">
            <v>Live</v>
          </cell>
          <cell r="R5595">
            <v>44498.649212962962</v>
          </cell>
          <cell r="S5595" t="str">
            <v>Mina George Old Account</v>
          </cell>
          <cell r="T5595">
            <v>44503</v>
          </cell>
          <cell r="U5595" t="str">
            <v>Vicky Wright</v>
          </cell>
          <cell r="V5595">
            <v>44517</v>
          </cell>
          <cell r="W5595">
            <v>44523</v>
          </cell>
        </row>
        <row r="5596">
          <cell r="I5596" t="str">
            <v>EDI</v>
          </cell>
          <cell r="L5596">
            <v>203</v>
          </cell>
          <cell r="N5596" t="str">
            <v>Production</v>
          </cell>
          <cell r="O5596" t="str">
            <v>No</v>
          </cell>
          <cell r="Q5596" t="str">
            <v>Cancelled</v>
          </cell>
          <cell r="R5596">
            <v>44498.546956018523</v>
          </cell>
          <cell r="S5596" t="str">
            <v>Haytham Mohamed</v>
          </cell>
          <cell r="T5596">
            <v>44549</v>
          </cell>
          <cell r="U5596" t="str">
            <v>Cheryl Cabana</v>
          </cell>
          <cell r="V5596">
            <v>44598</v>
          </cell>
          <cell r="W5596">
            <v>44658</v>
          </cell>
          <cell r="AC5596">
            <v>44654</v>
          </cell>
        </row>
        <row r="5597">
          <cell r="I5597" t="str">
            <v>EDI</v>
          </cell>
          <cell r="L5597">
            <v>120</v>
          </cell>
          <cell r="N5597" t="str">
            <v>Production</v>
          </cell>
          <cell r="O5597" t="str">
            <v>No</v>
          </cell>
          <cell r="Q5597" t="str">
            <v>Live</v>
          </cell>
          <cell r="R5597">
            <v>44498.546956018523</v>
          </cell>
          <cell r="S5597" t="str">
            <v>Ahmed Sami Old Account</v>
          </cell>
          <cell r="T5597">
            <v>44502</v>
          </cell>
          <cell r="U5597" t="str">
            <v>Cheryl Cabana</v>
          </cell>
          <cell r="V5597">
            <v>44518</v>
          </cell>
          <cell r="W5597">
            <v>44586</v>
          </cell>
        </row>
        <row r="5598">
          <cell r="I5598" t="str">
            <v>EDI</v>
          </cell>
          <cell r="L5598">
            <v>101</v>
          </cell>
          <cell r="N5598" t="str">
            <v>Production</v>
          </cell>
          <cell r="O5598" t="str">
            <v>No</v>
          </cell>
          <cell r="Q5598" t="str">
            <v>Live</v>
          </cell>
          <cell r="R5598">
            <v>44498.546956018523</v>
          </cell>
          <cell r="S5598" t="str">
            <v>Ahmed Sami Old Account</v>
          </cell>
          <cell r="T5598">
            <v>44503</v>
          </cell>
          <cell r="U5598" t="str">
            <v>Cheryl Cabana</v>
          </cell>
          <cell r="V5598">
            <v>44532</v>
          </cell>
          <cell r="W5598">
            <v>44537</v>
          </cell>
        </row>
        <row r="5599">
          <cell r="I5599" t="str">
            <v>EDI</v>
          </cell>
          <cell r="L5599">
            <v>87</v>
          </cell>
          <cell r="N5599" t="str">
            <v>Production</v>
          </cell>
          <cell r="O5599" t="str">
            <v>No</v>
          </cell>
          <cell r="Q5599" t="str">
            <v>Live</v>
          </cell>
          <cell r="R5599">
            <v>44498.546944444453</v>
          </cell>
          <cell r="S5599" t="str">
            <v>Mina George Old Account</v>
          </cell>
          <cell r="T5599">
            <v>44502</v>
          </cell>
          <cell r="U5599" t="str">
            <v>Cheryl Cabana</v>
          </cell>
          <cell r="V5599">
            <v>44508</v>
          </cell>
          <cell r="W5599">
            <v>44518</v>
          </cell>
        </row>
        <row r="5600">
          <cell r="I5600" t="str">
            <v>EDI</v>
          </cell>
          <cell r="L5600">
            <v>103</v>
          </cell>
          <cell r="N5600" t="str">
            <v>Production</v>
          </cell>
          <cell r="O5600" t="str">
            <v>No</v>
          </cell>
          <cell r="Q5600" t="str">
            <v>Live</v>
          </cell>
          <cell r="R5600">
            <v>44498.506122685183</v>
          </cell>
          <cell r="S5600" t="str">
            <v>Omnia Abdelaziz</v>
          </cell>
          <cell r="T5600">
            <v>44892</v>
          </cell>
          <cell r="U5600" t="str">
            <v>Billy Smith</v>
          </cell>
          <cell r="V5600">
            <v>44579</v>
          </cell>
          <cell r="W5600">
            <v>44600</v>
          </cell>
          <cell r="AC5600">
            <v>44598</v>
          </cell>
        </row>
        <row r="5601">
          <cell r="I5601" t="str">
            <v>EDI</v>
          </cell>
          <cell r="N5601" t="str">
            <v>Pending Start</v>
          </cell>
          <cell r="O5601" t="str">
            <v>No</v>
          </cell>
          <cell r="Q5601" t="str">
            <v>Cancelled</v>
          </cell>
          <cell r="R5601">
            <v>44497.490381944437</v>
          </cell>
        </row>
        <row r="5602">
          <cell r="I5602" t="str">
            <v>EDI</v>
          </cell>
          <cell r="L5602">
            <v>93</v>
          </cell>
          <cell r="N5602" t="str">
            <v>Production</v>
          </cell>
          <cell r="O5602" t="str">
            <v>No</v>
          </cell>
          <cell r="Q5602" t="str">
            <v>Cancelled</v>
          </cell>
          <cell r="R5602">
            <v>44495.975300925929</v>
          </cell>
          <cell r="S5602" t="str">
            <v>Mohamed Samy</v>
          </cell>
          <cell r="T5602">
            <v>44507</v>
          </cell>
          <cell r="U5602" t="str">
            <v>Vicky Wright</v>
          </cell>
          <cell r="W5602">
            <v>44537</v>
          </cell>
        </row>
        <row r="5603">
          <cell r="I5603" t="str">
            <v>EDI</v>
          </cell>
          <cell r="L5603">
            <v>128</v>
          </cell>
          <cell r="N5603" t="str">
            <v>Production</v>
          </cell>
          <cell r="O5603" t="str">
            <v>No</v>
          </cell>
          <cell r="Q5603" t="str">
            <v>Live</v>
          </cell>
          <cell r="R5603">
            <v>44495.975300925929</v>
          </cell>
          <cell r="S5603" t="str">
            <v>Jack Salah</v>
          </cell>
          <cell r="T5603">
            <v>44521</v>
          </cell>
          <cell r="U5603" t="str">
            <v>Vicky Wright</v>
          </cell>
          <cell r="V5603">
            <v>44556</v>
          </cell>
          <cell r="W5603">
            <v>44621</v>
          </cell>
          <cell r="AC5603">
            <v>44621</v>
          </cell>
        </row>
        <row r="5604">
          <cell r="I5604" t="str">
            <v>EDI</v>
          </cell>
          <cell r="L5604">
            <v>1080</v>
          </cell>
          <cell r="N5604" t="str">
            <v>Production</v>
          </cell>
          <cell r="O5604" t="str">
            <v>No</v>
          </cell>
          <cell r="Q5604" t="str">
            <v>Cancelled</v>
          </cell>
          <cell r="R5604">
            <v>44495.937152777777</v>
          </cell>
          <cell r="S5604" t="str">
            <v>Mina George Old Account</v>
          </cell>
          <cell r="T5604">
            <v>44719</v>
          </cell>
          <cell r="U5604" t="str">
            <v>Billy Smith</v>
          </cell>
          <cell r="V5604">
            <v>44725</v>
          </cell>
          <cell r="W5604">
            <v>44776</v>
          </cell>
          <cell r="Y5604">
            <v>44719</v>
          </cell>
          <cell r="AC5604">
            <v>44769</v>
          </cell>
        </row>
        <row r="5605">
          <cell r="I5605" t="str">
            <v>EDI</v>
          </cell>
          <cell r="L5605">
            <v>112</v>
          </cell>
          <cell r="N5605" t="str">
            <v>Production</v>
          </cell>
          <cell r="O5605" t="str">
            <v>No</v>
          </cell>
          <cell r="Q5605" t="str">
            <v>Cancelled</v>
          </cell>
          <cell r="R5605">
            <v>44494.536249999997</v>
          </cell>
          <cell r="S5605" t="str">
            <v>Ahmed Sami Old Account</v>
          </cell>
          <cell r="T5605">
            <v>44502</v>
          </cell>
          <cell r="U5605" t="str">
            <v>Miranda Naeem</v>
          </cell>
          <cell r="V5605">
            <v>44552</v>
          </cell>
          <cell r="W5605">
            <v>44698</v>
          </cell>
          <cell r="AC5605">
            <v>44691</v>
          </cell>
        </row>
        <row r="5606">
          <cell r="I5606" t="str">
            <v>EDI</v>
          </cell>
          <cell r="L5606">
            <v>85</v>
          </cell>
          <cell r="N5606" t="str">
            <v>Production</v>
          </cell>
          <cell r="O5606" t="str">
            <v>No</v>
          </cell>
          <cell r="Q5606" t="str">
            <v>Live</v>
          </cell>
          <cell r="R5606">
            <v>44490.615810185183</v>
          </cell>
          <cell r="S5606" t="str">
            <v>Mina George Old Account</v>
          </cell>
          <cell r="T5606">
            <v>44496</v>
          </cell>
          <cell r="U5606" t="str">
            <v>Vicky Wright</v>
          </cell>
          <cell r="V5606">
            <v>44546</v>
          </cell>
          <cell r="W5606">
            <v>44649</v>
          </cell>
          <cell r="AC5606">
            <v>44637</v>
          </cell>
        </row>
        <row r="5607">
          <cell r="I5607" t="str">
            <v>EDI</v>
          </cell>
          <cell r="L5607">
            <v>104</v>
          </cell>
          <cell r="N5607" t="str">
            <v>Production</v>
          </cell>
          <cell r="O5607" t="str">
            <v>No</v>
          </cell>
          <cell r="Q5607" t="str">
            <v>Live</v>
          </cell>
          <cell r="R5607">
            <v>44490.615810185183</v>
          </cell>
          <cell r="S5607" t="str">
            <v>Omnia Abdelaziz</v>
          </cell>
          <cell r="T5607">
            <v>44892</v>
          </cell>
          <cell r="U5607" t="str">
            <v>Vicky Wright</v>
          </cell>
          <cell r="V5607">
            <v>44650</v>
          </cell>
          <cell r="W5607">
            <v>44706</v>
          </cell>
          <cell r="AC5607">
            <v>44698</v>
          </cell>
        </row>
        <row r="5608">
          <cell r="I5608" t="str">
            <v>EDI</v>
          </cell>
          <cell r="L5608">
            <v>698</v>
          </cell>
          <cell r="N5608" t="str">
            <v>Production</v>
          </cell>
          <cell r="O5608" t="str">
            <v>No</v>
          </cell>
          <cell r="Q5608" t="str">
            <v>Live</v>
          </cell>
          <cell r="R5608">
            <v>44489.75640046296</v>
          </cell>
          <cell r="S5608" t="str">
            <v>Haytham Mohamed</v>
          </cell>
          <cell r="T5608">
            <v>44650</v>
          </cell>
          <cell r="U5608" t="str">
            <v>Denise Stubenvoll</v>
          </cell>
          <cell r="V5608">
            <v>44665</v>
          </cell>
          <cell r="W5608">
            <v>25569</v>
          </cell>
          <cell r="Y5608">
            <v>44649</v>
          </cell>
          <cell r="AC5608">
            <v>44803</v>
          </cell>
        </row>
        <row r="5609">
          <cell r="I5609" t="str">
            <v>EDI</v>
          </cell>
          <cell r="L5609">
            <v>23</v>
          </cell>
          <cell r="N5609" t="str">
            <v>Production</v>
          </cell>
          <cell r="O5609" t="str">
            <v>No</v>
          </cell>
          <cell r="Q5609" t="str">
            <v>Cancelled</v>
          </cell>
          <cell r="R5609">
            <v>44489.487928240742</v>
          </cell>
          <cell r="S5609" t="str">
            <v>Dina Medhat</v>
          </cell>
          <cell r="T5609">
            <v>44536</v>
          </cell>
          <cell r="V5609">
            <v>25569</v>
          </cell>
          <cell r="W5609">
            <v>44929</v>
          </cell>
          <cell r="AC5609">
            <v>44929</v>
          </cell>
        </row>
        <row r="5610">
          <cell r="I5610" t="str">
            <v>EDI</v>
          </cell>
          <cell r="L5610">
            <v>73</v>
          </cell>
          <cell r="N5610" t="str">
            <v>Production</v>
          </cell>
          <cell r="O5610" t="str">
            <v>eBenefits Network</v>
          </cell>
          <cell r="P5610" t="str">
            <v>Production</v>
          </cell>
          <cell r="Q5610" t="str">
            <v>Live</v>
          </cell>
          <cell r="R5610">
            <v>44489.324872685182</v>
          </cell>
          <cell r="T5610">
            <v>44489</v>
          </cell>
          <cell r="V5610">
            <v>44503</v>
          </cell>
          <cell r="W5610">
            <v>44515</v>
          </cell>
        </row>
        <row r="5611">
          <cell r="I5611" t="str">
            <v>EDI</v>
          </cell>
          <cell r="L5611">
            <v>76</v>
          </cell>
          <cell r="N5611" t="str">
            <v>Production</v>
          </cell>
          <cell r="O5611" t="str">
            <v>eBenefits Network</v>
          </cell>
          <cell r="P5611" t="str">
            <v>Production</v>
          </cell>
          <cell r="Q5611" t="str">
            <v>Cancelled</v>
          </cell>
          <cell r="R5611">
            <v>44489.324872685182</v>
          </cell>
          <cell r="T5611">
            <v>44489</v>
          </cell>
          <cell r="V5611">
            <v>44503</v>
          </cell>
          <cell r="W5611">
            <v>44515</v>
          </cell>
        </row>
        <row r="5612">
          <cell r="I5612" t="str">
            <v>EDI</v>
          </cell>
          <cell r="L5612">
            <v>74</v>
          </cell>
          <cell r="N5612" t="str">
            <v>Production</v>
          </cell>
          <cell r="O5612" t="str">
            <v>eBenefits Network</v>
          </cell>
          <cell r="P5612" t="str">
            <v>Production</v>
          </cell>
          <cell r="Q5612" t="str">
            <v>Live</v>
          </cell>
          <cell r="R5612">
            <v>44489.324872685182</v>
          </cell>
          <cell r="T5612">
            <v>44489</v>
          </cell>
          <cell r="W5612">
            <v>44511</v>
          </cell>
        </row>
        <row r="5613">
          <cell r="I5613" t="str">
            <v>EDI</v>
          </cell>
          <cell r="L5613">
            <v>72</v>
          </cell>
          <cell r="N5613" t="str">
            <v>Production</v>
          </cell>
          <cell r="O5613" t="str">
            <v>eBenefits Network</v>
          </cell>
          <cell r="P5613" t="str">
            <v>Production</v>
          </cell>
          <cell r="Q5613" t="str">
            <v>Live</v>
          </cell>
          <cell r="R5613">
            <v>44489.324872685182</v>
          </cell>
          <cell r="T5613">
            <v>44489</v>
          </cell>
          <cell r="V5613">
            <v>44501</v>
          </cell>
          <cell r="W5613">
            <v>44515</v>
          </cell>
        </row>
        <row r="5614">
          <cell r="I5614" t="str">
            <v>EDI</v>
          </cell>
          <cell r="L5614">
            <v>71</v>
          </cell>
          <cell r="N5614" t="str">
            <v>Production</v>
          </cell>
          <cell r="O5614" t="str">
            <v>eBenefits Network</v>
          </cell>
          <cell r="P5614" t="str">
            <v>Production</v>
          </cell>
          <cell r="Q5614" t="str">
            <v>Live</v>
          </cell>
          <cell r="R5614">
            <v>44488.817743055559</v>
          </cell>
          <cell r="T5614">
            <v>44489</v>
          </cell>
          <cell r="V5614">
            <v>44489</v>
          </cell>
          <cell r="W5614">
            <v>44522</v>
          </cell>
        </row>
        <row r="5615">
          <cell r="I5615" t="str">
            <v>EDI</v>
          </cell>
          <cell r="L5615">
            <v>75</v>
          </cell>
          <cell r="N5615" t="str">
            <v>Production</v>
          </cell>
          <cell r="O5615" t="str">
            <v>eBenefits Network</v>
          </cell>
          <cell r="P5615" t="str">
            <v>Production</v>
          </cell>
          <cell r="Q5615" t="str">
            <v>Cancelled</v>
          </cell>
          <cell r="R5615">
            <v>44488.817731481482</v>
          </cell>
          <cell r="T5615">
            <v>44488</v>
          </cell>
          <cell r="V5615">
            <v>44494</v>
          </cell>
          <cell r="W5615">
            <v>44526</v>
          </cell>
        </row>
        <row r="5616">
          <cell r="I5616" t="str">
            <v>EDI</v>
          </cell>
          <cell r="L5616">
            <v>80</v>
          </cell>
          <cell r="N5616" t="str">
            <v>Production</v>
          </cell>
          <cell r="O5616" t="str">
            <v>No</v>
          </cell>
          <cell r="Q5616" t="str">
            <v>Cancelled</v>
          </cell>
          <cell r="R5616">
            <v>44488.776932870373</v>
          </cell>
          <cell r="S5616" t="str">
            <v>Mina Adel Old Account</v>
          </cell>
          <cell r="T5616">
            <v>44496</v>
          </cell>
          <cell r="U5616" t="str">
            <v>Vicky Wright</v>
          </cell>
          <cell r="V5616">
            <v>25569</v>
          </cell>
          <cell r="W5616">
            <v>44720</v>
          </cell>
          <cell r="AC5616">
            <v>44715</v>
          </cell>
        </row>
        <row r="5617">
          <cell r="I5617" t="str">
            <v>EDI</v>
          </cell>
          <cell r="L5617">
            <v>83</v>
          </cell>
          <cell r="N5617" t="str">
            <v>Production</v>
          </cell>
          <cell r="O5617" t="str">
            <v>No</v>
          </cell>
          <cell r="Q5617" t="str">
            <v>Cancelled</v>
          </cell>
          <cell r="R5617">
            <v>44488.776921296303</v>
          </cell>
          <cell r="S5617" t="str">
            <v>Omnia Abdelaziz</v>
          </cell>
          <cell r="T5617">
            <v>44892</v>
          </cell>
          <cell r="U5617" t="str">
            <v>Vicky Wright</v>
          </cell>
          <cell r="V5617">
            <v>44536</v>
          </cell>
          <cell r="W5617">
            <v>44698</v>
          </cell>
          <cell r="AC5617">
            <v>44690</v>
          </cell>
        </row>
        <row r="5618">
          <cell r="I5618" t="str">
            <v>EDI</v>
          </cell>
          <cell r="L5618">
            <v>107</v>
          </cell>
          <cell r="N5618" t="str">
            <v>Production</v>
          </cell>
          <cell r="O5618" t="str">
            <v>No</v>
          </cell>
          <cell r="Q5618" t="str">
            <v>Cancelled</v>
          </cell>
          <cell r="R5618">
            <v>44488.776921296303</v>
          </cell>
          <cell r="S5618" t="str">
            <v>Omar Elmahalwy Old Account</v>
          </cell>
          <cell r="T5618">
            <v>44511</v>
          </cell>
          <cell r="U5618" t="str">
            <v>Vicky Wright</v>
          </cell>
          <cell r="V5618">
            <v>44627</v>
          </cell>
          <cell r="W5618">
            <v>44684</v>
          </cell>
          <cell r="AC5618">
            <v>44678</v>
          </cell>
        </row>
        <row r="5619">
          <cell r="I5619" t="str">
            <v>EDI</v>
          </cell>
          <cell r="L5619">
            <v>82</v>
          </cell>
          <cell r="N5619" t="str">
            <v>Production</v>
          </cell>
          <cell r="O5619" t="str">
            <v>No</v>
          </cell>
          <cell r="Q5619" t="str">
            <v>Cancelled</v>
          </cell>
          <cell r="R5619">
            <v>44487.793807870366</v>
          </cell>
          <cell r="S5619" t="str">
            <v>Ahmed Sami Old Account</v>
          </cell>
          <cell r="T5619">
            <v>44495</v>
          </cell>
          <cell r="U5619" t="str">
            <v>Denise Stubenvoll</v>
          </cell>
          <cell r="V5619">
            <v>44529</v>
          </cell>
          <cell r="W5619">
            <v>44537</v>
          </cell>
        </row>
        <row r="5620">
          <cell r="I5620" t="str">
            <v>EDI</v>
          </cell>
          <cell r="N5620" t="str">
            <v>Production</v>
          </cell>
          <cell r="O5620" t="str">
            <v>No</v>
          </cell>
          <cell r="Q5620" t="str">
            <v>Cancelled</v>
          </cell>
          <cell r="R5620">
            <v>44487.702106481483</v>
          </cell>
          <cell r="S5620" t="str">
            <v>Mina Adel Old Account</v>
          </cell>
          <cell r="T5620">
            <v>44488</v>
          </cell>
          <cell r="U5620" t="str">
            <v>Elizabeth Kahle</v>
          </cell>
        </row>
        <row r="5621">
          <cell r="I5621" t="str">
            <v>EDI</v>
          </cell>
          <cell r="L5621">
            <v>89</v>
          </cell>
          <cell r="N5621" t="str">
            <v>Production</v>
          </cell>
          <cell r="O5621" t="str">
            <v>No</v>
          </cell>
          <cell r="Q5621" t="str">
            <v>Cancelled</v>
          </cell>
          <cell r="R5621">
            <v>44483.513101851851</v>
          </cell>
          <cell r="S5621" t="str">
            <v>Mina Adel Old Account</v>
          </cell>
          <cell r="T5621">
            <v>44503</v>
          </cell>
          <cell r="W5621">
            <v>44530</v>
          </cell>
        </row>
        <row r="5622">
          <cell r="I5622" t="str">
            <v>EDI</v>
          </cell>
          <cell r="L5622">
            <v>81</v>
          </cell>
          <cell r="N5622" t="str">
            <v>Production</v>
          </cell>
          <cell r="O5622" t="str">
            <v>No</v>
          </cell>
          <cell r="Q5622" t="str">
            <v>Cancelled</v>
          </cell>
          <cell r="R5622">
            <v>44481.654189814813</v>
          </cell>
          <cell r="S5622" t="str">
            <v>Omnia Abdelaziz Old Account</v>
          </cell>
          <cell r="T5622">
            <v>44488</v>
          </cell>
          <cell r="V5622">
            <v>44500</v>
          </cell>
          <cell r="W5622">
            <v>44537</v>
          </cell>
        </row>
        <row r="5623">
          <cell r="I5623" t="str">
            <v>EDI</v>
          </cell>
          <cell r="L5623">
            <v>77</v>
          </cell>
          <cell r="N5623" t="str">
            <v>Production</v>
          </cell>
          <cell r="O5623" t="str">
            <v>No</v>
          </cell>
          <cell r="Q5623" t="str">
            <v>Cancelled</v>
          </cell>
          <cell r="R5623">
            <v>44481.561018518521</v>
          </cell>
          <cell r="S5623" t="str">
            <v>Ahmed Sami Old Account</v>
          </cell>
          <cell r="T5623">
            <v>44487</v>
          </cell>
          <cell r="U5623" t="str">
            <v>Billy Smith</v>
          </cell>
          <cell r="V5623">
            <v>44497</v>
          </cell>
          <cell r="W5623">
            <v>44551</v>
          </cell>
        </row>
        <row r="5624">
          <cell r="I5624" t="str">
            <v>EDI</v>
          </cell>
          <cell r="L5624">
            <v>99</v>
          </cell>
          <cell r="N5624" t="str">
            <v>Production</v>
          </cell>
          <cell r="O5624" t="str">
            <v>No</v>
          </cell>
          <cell r="Q5624" t="str">
            <v>Cancelled</v>
          </cell>
          <cell r="R5624">
            <v>44474.518703703703</v>
          </cell>
          <cell r="S5624" t="str">
            <v>Omnia Abdelaziz</v>
          </cell>
          <cell r="T5624">
            <v>44892</v>
          </cell>
          <cell r="V5624">
            <v>44511</v>
          </cell>
          <cell r="W5624">
            <v>44558</v>
          </cell>
        </row>
        <row r="5625">
          <cell r="I5625" t="str">
            <v>EDI</v>
          </cell>
          <cell r="L5625">
            <v>58</v>
          </cell>
          <cell r="N5625" t="str">
            <v>Production</v>
          </cell>
          <cell r="O5625" t="str">
            <v>No</v>
          </cell>
          <cell r="Q5625" t="str">
            <v>Live</v>
          </cell>
          <cell r="R5625">
            <v>44440.753761574073</v>
          </cell>
          <cell r="S5625" t="str">
            <v>Mina Adel Old Account</v>
          </cell>
          <cell r="T5625">
            <v>44440</v>
          </cell>
          <cell r="U5625" t="str">
            <v>Billy Smith</v>
          </cell>
          <cell r="V5625">
            <v>44535</v>
          </cell>
          <cell r="W5625">
            <v>25569</v>
          </cell>
        </row>
        <row r="5626">
          <cell r="I5626" t="str">
            <v>EDI</v>
          </cell>
          <cell r="L5626">
            <v>67</v>
          </cell>
          <cell r="N5626" t="str">
            <v>Production</v>
          </cell>
          <cell r="O5626" t="str">
            <v>No</v>
          </cell>
          <cell r="Q5626" t="str">
            <v>Cancelled</v>
          </cell>
          <cell r="R5626">
            <v>44435.574560185189</v>
          </cell>
          <cell r="S5626" t="str">
            <v>Mina Adel Old Account</v>
          </cell>
          <cell r="T5626">
            <v>44514</v>
          </cell>
          <cell r="V5626">
            <v>44518</v>
          </cell>
          <cell r="W5626">
            <v>44642</v>
          </cell>
          <cell r="AC5626">
            <v>44640</v>
          </cell>
        </row>
        <row r="5627">
          <cell r="I5627" t="str">
            <v>EDI</v>
          </cell>
          <cell r="L5627">
            <v>59</v>
          </cell>
          <cell r="N5627" t="str">
            <v>Production</v>
          </cell>
          <cell r="O5627" t="str">
            <v>No</v>
          </cell>
          <cell r="Q5627" t="str">
            <v>Cancelled</v>
          </cell>
          <cell r="R5627">
            <v>44435.574560185189</v>
          </cell>
          <cell r="S5627" t="str">
            <v>Omnia Abdelaziz</v>
          </cell>
          <cell r="T5627">
            <v>44892</v>
          </cell>
          <cell r="V5627">
            <v>44496</v>
          </cell>
          <cell r="W5627">
            <v>44607</v>
          </cell>
          <cell r="AC5627">
            <v>44605</v>
          </cell>
        </row>
        <row r="5628">
          <cell r="I5628" t="str">
            <v>EDI</v>
          </cell>
          <cell r="N5628" t="str">
            <v>Requirements Gathering</v>
          </cell>
          <cell r="O5628" t="str">
            <v>No</v>
          </cell>
          <cell r="Q5628" t="str">
            <v>Cancelled</v>
          </cell>
          <cell r="R5628">
            <v>44435.574560185189</v>
          </cell>
          <cell r="S5628" t="str">
            <v>Lourina Edmon Old Account</v>
          </cell>
          <cell r="T5628">
            <v>44888</v>
          </cell>
        </row>
        <row r="5629">
          <cell r="I5629" t="str">
            <v>EDI</v>
          </cell>
          <cell r="L5629">
            <v>50</v>
          </cell>
          <cell r="N5629" t="str">
            <v>Production</v>
          </cell>
          <cell r="O5629" t="str">
            <v>No</v>
          </cell>
          <cell r="Q5629" t="str">
            <v>Live</v>
          </cell>
          <cell r="R5629">
            <v>44431.573784722219</v>
          </cell>
          <cell r="S5629" t="str">
            <v>Mina Adel Old Account</v>
          </cell>
          <cell r="T5629">
            <v>44439</v>
          </cell>
          <cell r="U5629" t="str">
            <v>Billy Smith</v>
          </cell>
          <cell r="V5629">
            <v>44446</v>
          </cell>
          <cell r="W5629">
            <v>44460</v>
          </cell>
        </row>
        <row r="5630">
          <cell r="I5630" t="str">
            <v>EDI</v>
          </cell>
          <cell r="L5630">
            <v>43</v>
          </cell>
          <cell r="N5630" t="str">
            <v>Production</v>
          </cell>
          <cell r="O5630" t="str">
            <v>No</v>
          </cell>
          <cell r="Q5630" t="str">
            <v>Cancelled</v>
          </cell>
          <cell r="R5630">
            <v>44428.849351851852</v>
          </cell>
          <cell r="S5630" t="str">
            <v>Mina George Old Account</v>
          </cell>
          <cell r="T5630">
            <v>44442</v>
          </cell>
          <cell r="V5630">
            <v>44468</v>
          </cell>
          <cell r="W5630">
            <v>44474</v>
          </cell>
        </row>
        <row r="5631">
          <cell r="I5631" t="str">
            <v>EDI</v>
          </cell>
          <cell r="L5631">
            <v>49</v>
          </cell>
          <cell r="N5631" t="str">
            <v>Production</v>
          </cell>
          <cell r="O5631" t="str">
            <v>No</v>
          </cell>
          <cell r="Q5631" t="str">
            <v>Cancelled</v>
          </cell>
          <cell r="R5631">
            <v>44428.580972222233</v>
          </cell>
          <cell r="S5631" t="str">
            <v>Mina George Old Account</v>
          </cell>
          <cell r="T5631">
            <v>44439</v>
          </cell>
          <cell r="V5631">
            <v>44495</v>
          </cell>
          <cell r="W5631">
            <v>44523</v>
          </cell>
        </row>
        <row r="5632">
          <cell r="I5632" t="str">
            <v>EDI</v>
          </cell>
          <cell r="N5632" t="str">
            <v>Requirements Gathering</v>
          </cell>
          <cell r="O5632" t="str">
            <v>No</v>
          </cell>
          <cell r="Q5632" t="str">
            <v>Cancelled</v>
          </cell>
          <cell r="R5632">
            <v>44428.580972222233</v>
          </cell>
          <cell r="S5632" t="str">
            <v>Lourina Edmon Old Account</v>
          </cell>
          <cell r="T5632">
            <v>44888</v>
          </cell>
        </row>
        <row r="5633">
          <cell r="I5633" t="str">
            <v>EDI</v>
          </cell>
          <cell r="L5633">
            <v>70</v>
          </cell>
          <cell r="N5633" t="str">
            <v>Production</v>
          </cell>
          <cell r="O5633" t="str">
            <v>No</v>
          </cell>
          <cell r="Q5633" t="str">
            <v>Cancelled</v>
          </cell>
          <cell r="R5633">
            <v>44426.793865740743</v>
          </cell>
          <cell r="S5633" t="str">
            <v>Mina Adel Old Account</v>
          </cell>
          <cell r="T5633">
            <v>44481</v>
          </cell>
          <cell r="V5633">
            <v>44544</v>
          </cell>
          <cell r="W5633">
            <v>44607</v>
          </cell>
          <cell r="AC5633">
            <v>44602</v>
          </cell>
        </row>
        <row r="5634">
          <cell r="I5634" t="str">
            <v>EDI</v>
          </cell>
          <cell r="N5634" t="str">
            <v>Mapping</v>
          </cell>
          <cell r="O5634" t="str">
            <v>No</v>
          </cell>
          <cell r="Q5634" t="str">
            <v>Cancelled</v>
          </cell>
          <cell r="R5634">
            <v>44426.793865740743</v>
          </cell>
          <cell r="S5634" t="str">
            <v>Mina Adel Old Account</v>
          </cell>
          <cell r="T5634">
            <v>44496</v>
          </cell>
        </row>
        <row r="5635">
          <cell r="I5635" t="str">
            <v>EDI</v>
          </cell>
          <cell r="N5635" t="str">
            <v>Requirements Gathering</v>
          </cell>
          <cell r="O5635" t="str">
            <v>No</v>
          </cell>
          <cell r="Q5635" t="str">
            <v>Cancelled</v>
          </cell>
          <cell r="R5635">
            <v>44426.793865740743</v>
          </cell>
          <cell r="S5635" t="str">
            <v>Mina George Old Account</v>
          </cell>
        </row>
        <row r="5636">
          <cell r="I5636" t="str">
            <v>EDI</v>
          </cell>
          <cell r="L5636">
            <v>61</v>
          </cell>
          <cell r="N5636" t="str">
            <v>Production</v>
          </cell>
          <cell r="O5636" t="str">
            <v>No</v>
          </cell>
          <cell r="Q5636" t="str">
            <v>Cancelled</v>
          </cell>
          <cell r="R5636">
            <v>44426.793854166674</v>
          </cell>
          <cell r="S5636" t="str">
            <v>Omnia Abdelaziz</v>
          </cell>
          <cell r="T5636">
            <v>44892</v>
          </cell>
          <cell r="W5636">
            <v>44502</v>
          </cell>
        </row>
        <row r="5637">
          <cell r="I5637" t="str">
            <v>EDI</v>
          </cell>
          <cell r="L5637">
            <v>55</v>
          </cell>
          <cell r="N5637" t="str">
            <v>Production</v>
          </cell>
          <cell r="O5637" t="str">
            <v>No</v>
          </cell>
          <cell r="Q5637" t="str">
            <v>Live</v>
          </cell>
          <cell r="R5637">
            <v>44426.766782407409</v>
          </cell>
          <cell r="S5637" t="str">
            <v>Mina Adel Old Account</v>
          </cell>
          <cell r="U5637" t="str">
            <v>Billy Smith</v>
          </cell>
          <cell r="V5637">
            <v>44539</v>
          </cell>
          <cell r="W5637">
            <v>44544</v>
          </cell>
        </row>
        <row r="5638">
          <cell r="I5638" t="str">
            <v>EDI</v>
          </cell>
          <cell r="L5638">
            <v>53</v>
          </cell>
          <cell r="N5638" t="str">
            <v>Production</v>
          </cell>
          <cell r="O5638" t="str">
            <v>No</v>
          </cell>
          <cell r="Q5638" t="str">
            <v>Live</v>
          </cell>
          <cell r="R5638">
            <v>44426.766782407409</v>
          </cell>
          <cell r="S5638" t="str">
            <v>Fady Maged Old Account</v>
          </cell>
          <cell r="T5638">
            <v>44439</v>
          </cell>
          <cell r="U5638" t="str">
            <v>Billy Smith</v>
          </cell>
          <cell r="V5638">
            <v>25569</v>
          </cell>
          <cell r="W5638">
            <v>44474</v>
          </cell>
        </row>
        <row r="5639">
          <cell r="I5639" t="str">
            <v>EDI</v>
          </cell>
          <cell r="L5639">
            <v>52</v>
          </cell>
          <cell r="N5639" t="str">
            <v>Production</v>
          </cell>
          <cell r="O5639" t="str">
            <v>No</v>
          </cell>
          <cell r="Q5639" t="str">
            <v>Cancelled</v>
          </cell>
          <cell r="R5639">
            <v>44426.645497685182</v>
          </cell>
          <cell r="S5639" t="str">
            <v>Amira Elshora Old Account</v>
          </cell>
          <cell r="T5639">
            <v>44439</v>
          </cell>
          <cell r="V5639">
            <v>44453</v>
          </cell>
          <cell r="W5639">
            <v>44502</v>
          </cell>
        </row>
        <row r="5640">
          <cell r="I5640" t="str">
            <v>EDI</v>
          </cell>
          <cell r="L5640">
            <v>62</v>
          </cell>
          <cell r="N5640" t="str">
            <v>Production</v>
          </cell>
          <cell r="O5640" t="str">
            <v>No</v>
          </cell>
          <cell r="Q5640" t="str">
            <v>Cancelled</v>
          </cell>
          <cell r="R5640">
            <v>44426.645486111112</v>
          </cell>
          <cell r="S5640" t="str">
            <v>Mina Adel Old Account</v>
          </cell>
          <cell r="T5640">
            <v>44455</v>
          </cell>
          <cell r="V5640">
            <v>44460</v>
          </cell>
          <cell r="W5640">
            <v>25569</v>
          </cell>
        </row>
        <row r="5641">
          <cell r="I5641" t="str">
            <v>EDI</v>
          </cell>
          <cell r="L5641">
            <v>56</v>
          </cell>
          <cell r="N5641" t="str">
            <v>Production</v>
          </cell>
          <cell r="O5641" t="str">
            <v>No</v>
          </cell>
          <cell r="Q5641" t="str">
            <v>Cancelled</v>
          </cell>
          <cell r="R5641">
            <v>44426.645486111112</v>
          </cell>
          <cell r="S5641" t="str">
            <v>Dina Medhat</v>
          </cell>
          <cell r="T5641">
            <v>44600</v>
          </cell>
          <cell r="V5641">
            <v>44475</v>
          </cell>
          <cell r="W5641">
            <v>44649</v>
          </cell>
          <cell r="AC5641">
            <v>44643</v>
          </cell>
        </row>
        <row r="5642">
          <cell r="I5642" t="str">
            <v>EDI</v>
          </cell>
          <cell r="L5642">
            <v>64</v>
          </cell>
          <cell r="N5642" t="str">
            <v>Production</v>
          </cell>
          <cell r="O5642" t="str">
            <v>No</v>
          </cell>
          <cell r="Q5642" t="str">
            <v>Cancelled</v>
          </cell>
          <cell r="R5642">
            <v>44425.622939814813</v>
          </cell>
          <cell r="S5642" t="str">
            <v>Mina George Old Account</v>
          </cell>
          <cell r="T5642">
            <v>44455</v>
          </cell>
          <cell r="V5642">
            <v>44546</v>
          </cell>
          <cell r="W5642">
            <v>44663</v>
          </cell>
          <cell r="AC5642">
            <v>44657</v>
          </cell>
        </row>
        <row r="5643">
          <cell r="I5643" t="str">
            <v>EDI</v>
          </cell>
          <cell r="L5643">
            <v>45</v>
          </cell>
          <cell r="N5643" t="str">
            <v>Production</v>
          </cell>
          <cell r="O5643" t="str">
            <v>No</v>
          </cell>
          <cell r="Q5643" t="str">
            <v>Cancelled</v>
          </cell>
          <cell r="R5643">
            <v>44425.604178240741</v>
          </cell>
          <cell r="S5643" t="str">
            <v>Amira Elshora Old Account</v>
          </cell>
          <cell r="T5643">
            <v>44447</v>
          </cell>
          <cell r="U5643" t="str">
            <v>Denise Stubenvoll</v>
          </cell>
          <cell r="V5643">
            <v>44458</v>
          </cell>
          <cell r="W5643">
            <v>44509</v>
          </cell>
        </row>
        <row r="5644">
          <cell r="I5644" t="str">
            <v>EDI</v>
          </cell>
          <cell r="L5644">
            <v>63</v>
          </cell>
          <cell r="N5644" t="str">
            <v>Production</v>
          </cell>
          <cell r="O5644" t="str">
            <v>No</v>
          </cell>
          <cell r="Q5644" t="str">
            <v>Cancelled</v>
          </cell>
          <cell r="R5644">
            <v>44425.604178240741</v>
          </cell>
          <cell r="S5644" t="str">
            <v>Ahmed Sami Old Account</v>
          </cell>
          <cell r="T5644">
            <v>44455</v>
          </cell>
          <cell r="U5644" t="str">
            <v>Denise Stubenvoll</v>
          </cell>
          <cell r="V5644">
            <v>44475</v>
          </cell>
          <cell r="W5644">
            <v>44502</v>
          </cell>
        </row>
        <row r="5645">
          <cell r="I5645" t="str">
            <v>EDI</v>
          </cell>
          <cell r="N5645" t="str">
            <v>Requirements Gathering</v>
          </cell>
          <cell r="O5645" t="str">
            <v>No</v>
          </cell>
          <cell r="Q5645" t="str">
            <v>Cancelled</v>
          </cell>
          <cell r="R5645">
            <v>44425.604178240741</v>
          </cell>
          <cell r="S5645" t="str">
            <v>Sara Mohamed</v>
          </cell>
          <cell r="U5645" t="str">
            <v>Denise Stubenvoll</v>
          </cell>
        </row>
        <row r="5646">
          <cell r="I5646" t="str">
            <v>EDI</v>
          </cell>
          <cell r="L5646">
            <v>66</v>
          </cell>
          <cell r="N5646" t="str">
            <v>Production</v>
          </cell>
          <cell r="O5646" t="str">
            <v>No</v>
          </cell>
          <cell r="Q5646" t="str">
            <v>Cancelled</v>
          </cell>
          <cell r="R5646">
            <v>44425.587210648147</v>
          </cell>
          <cell r="S5646" t="str">
            <v>Omnia Abdelaziz</v>
          </cell>
          <cell r="T5646">
            <v>44892</v>
          </cell>
          <cell r="U5646" t="str">
            <v>Denise Stubenvoll</v>
          </cell>
          <cell r="V5646">
            <v>44496</v>
          </cell>
          <cell r="W5646">
            <v>44593</v>
          </cell>
        </row>
        <row r="5647">
          <cell r="I5647" t="str">
            <v>EDI</v>
          </cell>
          <cell r="L5647">
            <v>42</v>
          </cell>
          <cell r="N5647" t="str">
            <v>Production</v>
          </cell>
          <cell r="O5647" t="str">
            <v>No</v>
          </cell>
          <cell r="Q5647" t="str">
            <v>Live</v>
          </cell>
          <cell r="R5647">
            <v>44424.601064814808</v>
          </cell>
          <cell r="S5647" t="str">
            <v>Mina Kamil Old Account</v>
          </cell>
          <cell r="U5647" t="str">
            <v>Denise Stubenvoll</v>
          </cell>
          <cell r="W5647">
            <v>44519</v>
          </cell>
        </row>
        <row r="5648">
          <cell r="I5648" t="str">
            <v>EDI</v>
          </cell>
          <cell r="L5648">
            <v>44</v>
          </cell>
          <cell r="N5648" t="str">
            <v>Production</v>
          </cell>
          <cell r="O5648" t="str">
            <v>No</v>
          </cell>
          <cell r="Q5648" t="str">
            <v>Cancelled</v>
          </cell>
          <cell r="R5648">
            <v>44420.723877314813</v>
          </cell>
          <cell r="S5648" t="str">
            <v>Amira Elshora Old Account</v>
          </cell>
          <cell r="T5648">
            <v>44453</v>
          </cell>
          <cell r="V5648">
            <v>44458</v>
          </cell>
          <cell r="W5648">
            <v>44502</v>
          </cell>
        </row>
        <row r="5649">
          <cell r="I5649" t="str">
            <v>EDI</v>
          </cell>
          <cell r="L5649">
            <v>38</v>
          </cell>
          <cell r="N5649" t="str">
            <v>Production</v>
          </cell>
          <cell r="O5649" t="str">
            <v>No</v>
          </cell>
          <cell r="Q5649" t="str">
            <v>Live</v>
          </cell>
          <cell r="R5649">
            <v>44419.715624999997</v>
          </cell>
          <cell r="S5649" t="str">
            <v>Ahmed Sami Old Account</v>
          </cell>
          <cell r="T5649">
            <v>44439</v>
          </cell>
          <cell r="U5649" t="str">
            <v>Billy Smith</v>
          </cell>
          <cell r="V5649">
            <v>44493</v>
          </cell>
          <cell r="W5649">
            <v>44825</v>
          </cell>
          <cell r="AC5649">
            <v>44819</v>
          </cell>
        </row>
        <row r="5650">
          <cell r="I5650" t="str">
            <v>EDI</v>
          </cell>
          <cell r="L5650">
            <v>37</v>
          </cell>
          <cell r="N5650" t="str">
            <v>Production</v>
          </cell>
          <cell r="O5650" t="str">
            <v>No</v>
          </cell>
          <cell r="Q5650" t="str">
            <v>Live</v>
          </cell>
          <cell r="R5650">
            <v>44419.715624999997</v>
          </cell>
          <cell r="S5650" t="str">
            <v>Ahmed Sami Old Account</v>
          </cell>
          <cell r="T5650">
            <v>44447</v>
          </cell>
          <cell r="U5650" t="str">
            <v>Billy Smith</v>
          </cell>
          <cell r="V5650">
            <v>44458</v>
          </cell>
          <cell r="W5650">
            <v>44509</v>
          </cell>
        </row>
        <row r="5651">
          <cell r="I5651" t="str">
            <v>EDI</v>
          </cell>
          <cell r="L5651">
            <v>39</v>
          </cell>
          <cell r="N5651" t="str">
            <v>Production</v>
          </cell>
          <cell r="O5651" t="str">
            <v>No</v>
          </cell>
          <cell r="Q5651" t="str">
            <v>Cancelled</v>
          </cell>
          <cell r="R5651">
            <v>44417.527094907397</v>
          </cell>
          <cell r="S5651" t="str">
            <v>Mina Adel Old Account</v>
          </cell>
          <cell r="U5651" t="str">
            <v>Miranda Naeem</v>
          </cell>
          <cell r="V5651">
            <v>44470</v>
          </cell>
          <cell r="W5651">
            <v>44481</v>
          </cell>
        </row>
        <row r="5652">
          <cell r="I5652" t="str">
            <v>EDI</v>
          </cell>
          <cell r="L5652">
            <v>35</v>
          </cell>
          <cell r="N5652" t="str">
            <v>Production</v>
          </cell>
          <cell r="O5652" t="str">
            <v>No</v>
          </cell>
          <cell r="Q5652" t="str">
            <v>Cancelled</v>
          </cell>
          <cell r="R5652">
            <v>44414.701874999999</v>
          </cell>
          <cell r="S5652" t="str">
            <v>Mina Adel Old Account</v>
          </cell>
          <cell r="V5652">
            <v>44441</v>
          </cell>
          <cell r="W5652">
            <v>44460</v>
          </cell>
        </row>
        <row r="5653">
          <cell r="I5653" t="str">
            <v>EDI</v>
          </cell>
          <cell r="L5653">
            <v>57</v>
          </cell>
          <cell r="N5653" t="str">
            <v>Production</v>
          </cell>
          <cell r="O5653" t="str">
            <v>No</v>
          </cell>
          <cell r="Q5653" t="str">
            <v>Cancelled</v>
          </cell>
          <cell r="R5653">
            <v>44414.701874999999</v>
          </cell>
          <cell r="S5653" t="str">
            <v>Mina Adel Old Account</v>
          </cell>
          <cell r="T5653">
            <v>44553</v>
          </cell>
          <cell r="V5653">
            <v>44531</v>
          </cell>
          <cell r="W5653">
            <v>44572</v>
          </cell>
        </row>
        <row r="5654">
          <cell r="I5654" t="str">
            <v>EDI</v>
          </cell>
          <cell r="L5654">
            <v>32</v>
          </cell>
          <cell r="N5654" t="str">
            <v>Production</v>
          </cell>
          <cell r="O5654" t="str">
            <v>No</v>
          </cell>
          <cell r="Q5654" t="str">
            <v>Cancelled</v>
          </cell>
          <cell r="R5654">
            <v>44405.519699074073</v>
          </cell>
          <cell r="S5654" t="str">
            <v>Amira Elshora Old Account</v>
          </cell>
          <cell r="U5654" t="str">
            <v>Miranda Naeem</v>
          </cell>
          <cell r="V5654">
            <v>44418</v>
          </cell>
          <cell r="W5654">
            <v>44453</v>
          </cell>
        </row>
        <row r="5655">
          <cell r="I5655" t="str">
            <v>EDI</v>
          </cell>
          <cell r="L5655">
            <v>54</v>
          </cell>
          <cell r="N5655" t="str">
            <v>Production</v>
          </cell>
          <cell r="O5655" t="str">
            <v>No</v>
          </cell>
          <cell r="Q5655" t="str">
            <v>Cancelled</v>
          </cell>
          <cell r="R5655">
            <v>44404.599328703713</v>
          </cell>
          <cell r="S5655" t="str">
            <v>Omnia Abdelaziz</v>
          </cell>
          <cell r="T5655">
            <v>44892</v>
          </cell>
          <cell r="V5655">
            <v>44480</v>
          </cell>
          <cell r="W5655">
            <v>44510</v>
          </cell>
        </row>
        <row r="5656">
          <cell r="I5656" t="str">
            <v>EDI</v>
          </cell>
          <cell r="L5656">
            <v>65</v>
          </cell>
          <cell r="N5656" t="str">
            <v>Production</v>
          </cell>
          <cell r="O5656" t="str">
            <v>No</v>
          </cell>
          <cell r="Q5656" t="str">
            <v>Cancelled</v>
          </cell>
          <cell r="R5656">
            <v>44404.578067129631</v>
          </cell>
          <cell r="S5656" t="str">
            <v>Ahmed Sami Old Account</v>
          </cell>
          <cell r="T5656">
            <v>44465</v>
          </cell>
          <cell r="V5656">
            <v>44587</v>
          </cell>
          <cell r="W5656">
            <v>44740</v>
          </cell>
          <cell r="AC5656">
            <v>44734</v>
          </cell>
        </row>
        <row r="5657">
          <cell r="I5657" t="str">
            <v>EDI</v>
          </cell>
          <cell r="L5657">
            <v>91</v>
          </cell>
          <cell r="N5657" t="str">
            <v>Production</v>
          </cell>
          <cell r="O5657" t="str">
            <v>No</v>
          </cell>
          <cell r="Q5657" t="str">
            <v>Cancelled</v>
          </cell>
          <cell r="R5657">
            <v>44404.551585648151</v>
          </cell>
          <cell r="S5657" t="str">
            <v>Omar Elmahalwy Old Account</v>
          </cell>
          <cell r="T5657">
            <v>44504</v>
          </cell>
          <cell r="U5657" t="str">
            <v>Denise Stubenvoll</v>
          </cell>
          <cell r="V5657">
            <v>25569</v>
          </cell>
          <cell r="W5657">
            <v>44586</v>
          </cell>
        </row>
        <row r="5658">
          <cell r="I5658" t="str">
            <v>EDI</v>
          </cell>
          <cell r="L5658">
            <v>79</v>
          </cell>
          <cell r="N5658" t="str">
            <v>Production</v>
          </cell>
          <cell r="O5658" t="str">
            <v>No</v>
          </cell>
          <cell r="Q5658" t="str">
            <v>Cancelled</v>
          </cell>
          <cell r="R5658">
            <v>44404.495092592602</v>
          </cell>
          <cell r="S5658" t="str">
            <v>Mina George Old Account</v>
          </cell>
          <cell r="T5658">
            <v>44487</v>
          </cell>
          <cell r="U5658" t="str">
            <v>Denise Stubenvoll</v>
          </cell>
          <cell r="V5658">
            <v>44547</v>
          </cell>
          <cell r="W5658">
            <v>44627</v>
          </cell>
          <cell r="AC5658">
            <v>44623</v>
          </cell>
        </row>
        <row r="5659">
          <cell r="I5659" t="str">
            <v>EDI</v>
          </cell>
          <cell r="L5659">
            <v>40</v>
          </cell>
          <cell r="N5659" t="str">
            <v>Production</v>
          </cell>
          <cell r="O5659" t="str">
            <v>No</v>
          </cell>
          <cell r="Q5659" t="str">
            <v>Cancelled</v>
          </cell>
          <cell r="R5659">
            <v>44404.486620370371</v>
          </cell>
          <cell r="S5659" t="str">
            <v>Mina Kamil Old Account</v>
          </cell>
          <cell r="U5659" t="str">
            <v>Billy Smith</v>
          </cell>
          <cell r="V5659">
            <v>44448</v>
          </cell>
          <cell r="W5659">
            <v>44551</v>
          </cell>
        </row>
        <row r="5660">
          <cell r="I5660" t="str">
            <v>EDI</v>
          </cell>
          <cell r="L5660">
            <v>31</v>
          </cell>
          <cell r="N5660" t="str">
            <v>Production</v>
          </cell>
          <cell r="O5660" t="str">
            <v>No</v>
          </cell>
          <cell r="Q5660" t="str">
            <v>Cancelled</v>
          </cell>
          <cell r="R5660">
            <v>44403.509629629632</v>
          </cell>
          <cell r="S5660" t="str">
            <v>Mina Kamil Old Account</v>
          </cell>
          <cell r="V5660">
            <v>44453</v>
          </cell>
          <cell r="W5660">
            <v>25569</v>
          </cell>
        </row>
        <row r="5661">
          <cell r="I5661" t="str">
            <v>EDI</v>
          </cell>
          <cell r="L5661">
            <v>27</v>
          </cell>
          <cell r="N5661" t="str">
            <v>Production</v>
          </cell>
          <cell r="O5661" t="str">
            <v>No</v>
          </cell>
          <cell r="Q5661" t="str">
            <v>Cancelled</v>
          </cell>
          <cell r="R5661">
            <v>44403.509629629632</v>
          </cell>
          <cell r="S5661" t="str">
            <v>Omnia Abdelaziz</v>
          </cell>
          <cell r="T5661">
            <v>44892</v>
          </cell>
          <cell r="V5661">
            <v>44417</v>
          </cell>
          <cell r="W5661">
            <v>44488</v>
          </cell>
        </row>
        <row r="5662">
          <cell r="I5662" t="str">
            <v>EDI</v>
          </cell>
          <cell r="L5662">
            <v>25</v>
          </cell>
          <cell r="N5662" t="str">
            <v>Production</v>
          </cell>
          <cell r="O5662" t="str">
            <v>No</v>
          </cell>
          <cell r="Q5662" t="str">
            <v>Live</v>
          </cell>
          <cell r="R5662">
            <v>44392.589282407411</v>
          </cell>
          <cell r="S5662" t="str">
            <v>Mina Kamil Old Account</v>
          </cell>
          <cell r="U5662" t="str">
            <v>Billy Smith</v>
          </cell>
          <cell r="V5662">
            <v>44504</v>
          </cell>
          <cell r="W5662">
            <v>44523</v>
          </cell>
        </row>
        <row r="5663">
          <cell r="I5663" t="str">
            <v>EDI</v>
          </cell>
          <cell r="L5663">
            <v>68</v>
          </cell>
          <cell r="N5663" t="str">
            <v>Production</v>
          </cell>
          <cell r="O5663" t="str">
            <v>No</v>
          </cell>
          <cell r="Q5663" t="str">
            <v>Live</v>
          </cell>
          <cell r="R5663">
            <v>44392.589282407411</v>
          </cell>
          <cell r="S5663" t="str">
            <v>Mina George Old Account</v>
          </cell>
          <cell r="T5663">
            <v>44481</v>
          </cell>
          <cell r="U5663" t="str">
            <v>Billy Smith</v>
          </cell>
          <cell r="V5663">
            <v>44522</v>
          </cell>
          <cell r="W5663">
            <v>25569</v>
          </cell>
          <cell r="AC5663">
            <v>44617</v>
          </cell>
        </row>
        <row r="5664">
          <cell r="I5664" t="str">
            <v>EDI</v>
          </cell>
          <cell r="L5664">
            <v>60</v>
          </cell>
          <cell r="N5664" t="str">
            <v>Production</v>
          </cell>
          <cell r="O5664" t="str">
            <v>No</v>
          </cell>
          <cell r="Q5664" t="str">
            <v>Live</v>
          </cell>
          <cell r="R5664">
            <v>44392.589282407411</v>
          </cell>
          <cell r="S5664" t="str">
            <v>Mina Kamil Old Account</v>
          </cell>
          <cell r="T5664">
            <v>44448</v>
          </cell>
          <cell r="U5664" t="str">
            <v>Billy Smith</v>
          </cell>
          <cell r="W5664">
            <v>44509</v>
          </cell>
        </row>
        <row r="5665">
          <cell r="I5665" t="str">
            <v>EDI</v>
          </cell>
          <cell r="L5665">
            <v>29</v>
          </cell>
          <cell r="N5665" t="str">
            <v>Production</v>
          </cell>
          <cell r="O5665" t="str">
            <v>No</v>
          </cell>
          <cell r="Q5665" t="str">
            <v>Cancelled</v>
          </cell>
          <cell r="R5665">
            <v>44392.539930555547</v>
          </cell>
          <cell r="S5665" t="str">
            <v>Mina George Old Account</v>
          </cell>
          <cell r="U5665" t="str">
            <v>Denise Stubenvoll</v>
          </cell>
          <cell r="V5665">
            <v>44441</v>
          </cell>
          <cell r="W5665">
            <v>44467</v>
          </cell>
        </row>
        <row r="5666">
          <cell r="I5666" t="str">
            <v>EDI</v>
          </cell>
          <cell r="L5666">
            <v>26</v>
          </cell>
          <cell r="N5666" t="str">
            <v>Production</v>
          </cell>
          <cell r="O5666" t="str">
            <v>No</v>
          </cell>
          <cell r="Q5666" t="str">
            <v>Cancelled</v>
          </cell>
          <cell r="R5666">
            <v>44392.528587962966</v>
          </cell>
          <cell r="S5666" t="str">
            <v>Ahmed Sami Old Account</v>
          </cell>
          <cell r="U5666" t="str">
            <v>Denise Stubenvoll</v>
          </cell>
          <cell r="V5666">
            <v>44465</v>
          </cell>
          <cell r="W5666">
            <v>44537</v>
          </cell>
        </row>
        <row r="5667">
          <cell r="I5667" t="str">
            <v>EDI</v>
          </cell>
          <cell r="L5667">
            <v>69</v>
          </cell>
          <cell r="N5667" t="str">
            <v>Production</v>
          </cell>
          <cell r="O5667" t="str">
            <v>No</v>
          </cell>
          <cell r="Q5667" t="str">
            <v>Cancelled</v>
          </cell>
          <cell r="R5667">
            <v>44392.528587962966</v>
          </cell>
          <cell r="S5667" t="str">
            <v>Mina George Old Account</v>
          </cell>
          <cell r="T5667">
            <v>44481</v>
          </cell>
          <cell r="U5667" t="str">
            <v>Denise Stubenvoll</v>
          </cell>
          <cell r="V5667">
            <v>44522</v>
          </cell>
          <cell r="W5667">
            <v>44600</v>
          </cell>
        </row>
        <row r="5668">
          <cell r="I5668" t="str">
            <v>EDI</v>
          </cell>
          <cell r="L5668">
            <v>170</v>
          </cell>
          <cell r="N5668" t="str">
            <v>Requirements Gathering</v>
          </cell>
          <cell r="O5668" t="str">
            <v>No</v>
          </cell>
          <cell r="Q5668" t="str">
            <v>Cancelled</v>
          </cell>
          <cell r="R5668">
            <v>44392.528587962966</v>
          </cell>
          <cell r="S5668" t="str">
            <v>Lourina Edmon Old Account</v>
          </cell>
          <cell r="T5668">
            <v>44888</v>
          </cell>
          <cell r="U5668" t="str">
            <v>Denise Stubenvoll</v>
          </cell>
        </row>
        <row r="5669">
          <cell r="I5669" t="str">
            <v>EDI</v>
          </cell>
          <cell r="L5669">
            <v>28</v>
          </cell>
          <cell r="N5669" t="str">
            <v>Production</v>
          </cell>
          <cell r="O5669" t="str">
            <v>No</v>
          </cell>
          <cell r="Q5669" t="str">
            <v>Cancelled</v>
          </cell>
          <cell r="R5669">
            <v>44392.514618055553</v>
          </cell>
          <cell r="S5669" t="str">
            <v>Mina George Old Account</v>
          </cell>
          <cell r="T5669">
            <v>44453</v>
          </cell>
          <cell r="U5669" t="str">
            <v>Cheryl Cabana</v>
          </cell>
          <cell r="V5669">
            <v>44454</v>
          </cell>
          <cell r="W5669">
            <v>44474</v>
          </cell>
        </row>
        <row r="5670">
          <cell r="I5670" t="str">
            <v>EDI</v>
          </cell>
          <cell r="L5670">
            <v>23</v>
          </cell>
          <cell r="N5670" t="str">
            <v>Production</v>
          </cell>
          <cell r="O5670" t="str">
            <v>No</v>
          </cell>
          <cell r="Q5670" t="str">
            <v>Cancelled</v>
          </cell>
          <cell r="R5670">
            <v>44391.701585648138</v>
          </cell>
          <cell r="S5670" t="str">
            <v>Omar Elmahalwy</v>
          </cell>
          <cell r="T5670">
            <v>44889</v>
          </cell>
          <cell r="V5670">
            <v>25569</v>
          </cell>
          <cell r="W5670">
            <v>44929</v>
          </cell>
          <cell r="AC5670">
            <v>44928</v>
          </cell>
        </row>
        <row r="5671">
          <cell r="I5671" t="str">
            <v>EDI</v>
          </cell>
          <cell r="L5671">
            <v>46</v>
          </cell>
          <cell r="N5671" t="str">
            <v>Production</v>
          </cell>
          <cell r="O5671" t="str">
            <v>No</v>
          </cell>
          <cell r="Q5671" t="str">
            <v>Cancelled</v>
          </cell>
          <cell r="R5671">
            <v>44391.523599537039</v>
          </cell>
          <cell r="S5671" t="str">
            <v>Mina George Old Account</v>
          </cell>
          <cell r="V5671">
            <v>44459</v>
          </cell>
          <cell r="W5671">
            <v>44530</v>
          </cell>
        </row>
        <row r="5672">
          <cell r="I5672" t="str">
            <v>EDI</v>
          </cell>
          <cell r="L5672">
            <v>36</v>
          </cell>
          <cell r="N5672" t="str">
            <v>Production</v>
          </cell>
          <cell r="O5672" t="str">
            <v>No</v>
          </cell>
          <cell r="Q5672" t="str">
            <v>Cancelled</v>
          </cell>
          <cell r="R5672">
            <v>44391.523599537039</v>
          </cell>
          <cell r="S5672" t="str">
            <v>Omnia Abdelaziz</v>
          </cell>
          <cell r="T5672">
            <v>44892</v>
          </cell>
          <cell r="V5672">
            <v>25569</v>
          </cell>
          <cell r="W5672">
            <v>44810</v>
          </cell>
          <cell r="AC5672">
            <v>44809</v>
          </cell>
        </row>
        <row r="5673">
          <cell r="I5673" t="str">
            <v>EDI</v>
          </cell>
          <cell r="L5673">
            <v>24</v>
          </cell>
          <cell r="N5673" t="str">
            <v>Production</v>
          </cell>
          <cell r="O5673" t="str">
            <v>No</v>
          </cell>
          <cell r="Q5673" t="str">
            <v>Live</v>
          </cell>
          <cell r="R5673">
            <v>44391.523587962962</v>
          </cell>
          <cell r="S5673" t="str">
            <v>Mina Adel Old Account</v>
          </cell>
          <cell r="T5673">
            <v>44440</v>
          </cell>
          <cell r="V5673">
            <v>44493</v>
          </cell>
          <cell r="W5673">
            <v>44663</v>
          </cell>
          <cell r="AC5673">
            <v>44656</v>
          </cell>
        </row>
        <row r="5674">
          <cell r="I5674" t="str">
            <v>EDI</v>
          </cell>
          <cell r="L5674">
            <v>100</v>
          </cell>
          <cell r="N5674" t="str">
            <v>Mapping</v>
          </cell>
          <cell r="O5674" t="str">
            <v>No</v>
          </cell>
          <cell r="Q5674" t="str">
            <v>Cancelled</v>
          </cell>
          <cell r="R5674">
            <v>44389.530219907407</v>
          </cell>
          <cell r="S5674" t="str">
            <v>Omar Elmahalwy Old Account</v>
          </cell>
          <cell r="T5674">
            <v>44508</v>
          </cell>
          <cell r="U5674" t="str">
            <v>Cheryl Cabana</v>
          </cell>
        </row>
        <row r="5675">
          <cell r="I5675" t="str">
            <v>EDI</v>
          </cell>
          <cell r="L5675">
            <v>22</v>
          </cell>
          <cell r="N5675" t="str">
            <v>Production</v>
          </cell>
          <cell r="O5675" t="str">
            <v>No</v>
          </cell>
          <cell r="Q5675" t="str">
            <v>Cancelled</v>
          </cell>
          <cell r="R5675">
            <v>44389.530219907407</v>
          </cell>
          <cell r="S5675" t="str">
            <v>Mina George Old Account</v>
          </cell>
          <cell r="U5675" t="str">
            <v>Cheryl Cabana</v>
          </cell>
          <cell r="V5675">
            <v>44424</v>
          </cell>
          <cell r="W5675">
            <v>44467</v>
          </cell>
        </row>
        <row r="5676">
          <cell r="I5676" t="str">
            <v>EDI</v>
          </cell>
          <cell r="L5676">
            <v>19</v>
          </cell>
          <cell r="N5676" t="str">
            <v>Production</v>
          </cell>
          <cell r="O5676" t="str">
            <v>No</v>
          </cell>
          <cell r="Q5676" t="str">
            <v>Live</v>
          </cell>
          <cell r="R5676">
            <v>44389.522141203714</v>
          </cell>
          <cell r="S5676" t="str">
            <v>Mina Adel Old Account</v>
          </cell>
          <cell r="T5676">
            <v>44500</v>
          </cell>
          <cell r="U5676" t="str">
            <v>Denise Stubenvoll</v>
          </cell>
          <cell r="V5676">
            <v>44530</v>
          </cell>
          <cell r="W5676">
            <v>44566</v>
          </cell>
        </row>
        <row r="5677">
          <cell r="I5677" t="str">
            <v>EDI</v>
          </cell>
          <cell r="N5677" t="str">
            <v>Requirements Gathering</v>
          </cell>
          <cell r="O5677" t="str">
            <v>No</v>
          </cell>
          <cell r="Q5677" t="str">
            <v>Cancelled</v>
          </cell>
          <cell r="R5677">
            <v>44389.522129629629</v>
          </cell>
          <cell r="S5677" t="str">
            <v>Lourina Edmon</v>
          </cell>
          <cell r="T5677">
            <v>44888</v>
          </cell>
          <cell r="U5677" t="str">
            <v>Denise Stubenvoll</v>
          </cell>
        </row>
        <row r="5678">
          <cell r="I5678" t="str">
            <v>EDI</v>
          </cell>
          <cell r="L5678">
            <v>20</v>
          </cell>
          <cell r="N5678" t="str">
            <v>Requirements Gathering</v>
          </cell>
          <cell r="O5678" t="str">
            <v>No</v>
          </cell>
          <cell r="Q5678" t="str">
            <v>Cancelled</v>
          </cell>
          <cell r="R5678">
            <v>44389.506284722222</v>
          </cell>
          <cell r="S5678" t="str">
            <v>Lourina Edmon Old Account</v>
          </cell>
        </row>
        <row r="5679">
          <cell r="I5679" t="str">
            <v>EDI</v>
          </cell>
          <cell r="L5679">
            <v>18</v>
          </cell>
          <cell r="N5679" t="str">
            <v>Production</v>
          </cell>
          <cell r="O5679" t="str">
            <v>No</v>
          </cell>
          <cell r="Q5679" t="str">
            <v>Live</v>
          </cell>
          <cell r="R5679">
            <v>44389.326388888891</v>
          </cell>
          <cell r="S5679" t="str">
            <v>Amira Elshora Old Account</v>
          </cell>
          <cell r="V5679">
            <v>44448</v>
          </cell>
          <cell r="W5679">
            <v>44467</v>
          </cell>
        </row>
        <row r="5680">
          <cell r="I5680" t="str">
            <v>EDI</v>
          </cell>
          <cell r="L5680">
            <v>14</v>
          </cell>
          <cell r="N5680" t="str">
            <v>Production</v>
          </cell>
          <cell r="O5680" t="str">
            <v>No</v>
          </cell>
          <cell r="Q5680" t="str">
            <v>Cancelled</v>
          </cell>
          <cell r="R5680">
            <v>44384.444988425923</v>
          </cell>
          <cell r="S5680" t="str">
            <v>Mina Adel Old Account</v>
          </cell>
          <cell r="V5680">
            <v>44417</v>
          </cell>
          <cell r="W5680">
            <v>44467</v>
          </cell>
        </row>
        <row r="5681">
          <cell r="I5681" t="str">
            <v>EDI</v>
          </cell>
          <cell r="L5681">
            <v>2</v>
          </cell>
          <cell r="N5681" t="str">
            <v>Production</v>
          </cell>
          <cell r="O5681" t="str">
            <v>No</v>
          </cell>
          <cell r="Q5681" t="str">
            <v>Cancelled</v>
          </cell>
          <cell r="R5681">
            <v>44383.371504629627</v>
          </cell>
          <cell r="S5681" t="str">
            <v>Mina Adel Old Account</v>
          </cell>
          <cell r="U5681" t="str">
            <v>Miranda Naeem</v>
          </cell>
          <cell r="V5681">
            <v>25569</v>
          </cell>
          <cell r="W5681">
            <v>44481</v>
          </cell>
        </row>
        <row r="5682">
          <cell r="I5682" t="str">
            <v>EDI</v>
          </cell>
          <cell r="L5682">
            <v>6</v>
          </cell>
          <cell r="N5682" t="str">
            <v>Production</v>
          </cell>
          <cell r="O5682" t="str">
            <v>No</v>
          </cell>
          <cell r="Q5682" t="str">
            <v>Cancelled</v>
          </cell>
          <cell r="R5682">
            <v>44369.271504629629</v>
          </cell>
          <cell r="S5682" t="str">
            <v>Mina Kamil Old Account</v>
          </cell>
          <cell r="W5682">
            <v>44411</v>
          </cell>
        </row>
        <row r="5683">
          <cell r="I5683" t="str">
            <v>EDI</v>
          </cell>
          <cell r="L5683">
            <v>5</v>
          </cell>
          <cell r="N5683" t="str">
            <v>Production</v>
          </cell>
          <cell r="O5683" t="str">
            <v>No</v>
          </cell>
          <cell r="Q5683" t="str">
            <v>Cancelled</v>
          </cell>
          <cell r="R5683">
            <v>44369.271504629629</v>
          </cell>
          <cell r="S5683" t="str">
            <v>Andrew Reda</v>
          </cell>
          <cell r="V5683">
            <v>44441</v>
          </cell>
          <cell r="W5683">
            <v>44442</v>
          </cell>
        </row>
        <row r="5684">
          <cell r="I5684" t="str">
            <v>EDI</v>
          </cell>
          <cell r="L5684">
            <v>7</v>
          </cell>
          <cell r="N5684" t="str">
            <v>Production</v>
          </cell>
          <cell r="O5684" t="str">
            <v>No</v>
          </cell>
          <cell r="Q5684" t="str">
            <v>Cancelled</v>
          </cell>
          <cell r="R5684">
            <v>44369.271504629629</v>
          </cell>
          <cell r="S5684" t="str">
            <v>Mina George Old Account</v>
          </cell>
          <cell r="V5684">
            <v>44412</v>
          </cell>
          <cell r="W5684">
            <v>44418</v>
          </cell>
        </row>
        <row r="5685">
          <cell r="I5685" t="str">
            <v>EDI</v>
          </cell>
          <cell r="N5685" t="str">
            <v>Requirements Gathering</v>
          </cell>
          <cell r="O5685" t="str">
            <v>No</v>
          </cell>
          <cell r="Q5685" t="str">
            <v>Cancelled</v>
          </cell>
          <cell r="R5685">
            <v>44368.360208333332</v>
          </cell>
        </row>
        <row r="5686">
          <cell r="I5686" t="str">
            <v>EDI</v>
          </cell>
          <cell r="N5686" t="str">
            <v>Obtain Customer Dataset</v>
          </cell>
          <cell r="O5686" t="str">
            <v>No</v>
          </cell>
          <cell r="Q5686" t="str">
            <v>Cancelled</v>
          </cell>
          <cell r="R5686">
            <v>44368.3594212963</v>
          </cell>
        </row>
        <row r="5687">
          <cell r="I5687" t="str">
            <v>EDI</v>
          </cell>
          <cell r="L5687">
            <v>41</v>
          </cell>
          <cell r="N5687" t="str">
            <v>Production</v>
          </cell>
          <cell r="O5687" t="str">
            <v>No</v>
          </cell>
          <cell r="Q5687" t="str">
            <v>Cancelled</v>
          </cell>
          <cell r="R5687">
            <v>44362.478946759264</v>
          </cell>
          <cell r="S5687" t="str">
            <v>Ahmed Sami Old Account</v>
          </cell>
          <cell r="V5687">
            <v>44468</v>
          </cell>
          <cell r="W5687">
            <v>44481</v>
          </cell>
        </row>
        <row r="5688">
          <cell r="I5688" t="str">
            <v>EDI</v>
          </cell>
          <cell r="L5688">
            <v>11</v>
          </cell>
          <cell r="N5688" t="str">
            <v>Production</v>
          </cell>
          <cell r="O5688" t="str">
            <v>No</v>
          </cell>
          <cell r="Q5688" t="str">
            <v>Cancelled</v>
          </cell>
          <cell r="R5688">
            <v>44362.478946759264</v>
          </cell>
          <cell r="S5688" t="str">
            <v>Mina Adel Old Account</v>
          </cell>
          <cell r="V5688">
            <v>44417</v>
          </cell>
          <cell r="W5688">
            <v>44467</v>
          </cell>
        </row>
        <row r="5689">
          <cell r="I5689" t="str">
            <v>EDI</v>
          </cell>
          <cell r="L5689">
            <v>10</v>
          </cell>
          <cell r="N5689" t="str">
            <v>Production</v>
          </cell>
          <cell r="O5689" t="str">
            <v>No</v>
          </cell>
          <cell r="Q5689" t="str">
            <v>Live</v>
          </cell>
          <cell r="R5689">
            <v>44362.447025462963</v>
          </cell>
          <cell r="S5689" t="str">
            <v>Omnia Abdelaziz</v>
          </cell>
          <cell r="T5689">
            <v>44892</v>
          </cell>
          <cell r="V5689">
            <v>44412</v>
          </cell>
          <cell r="W5689">
            <v>44495</v>
          </cell>
        </row>
        <row r="5690">
          <cell r="I5690" t="str">
            <v>EDI</v>
          </cell>
          <cell r="L5690">
            <v>13</v>
          </cell>
          <cell r="N5690" t="str">
            <v>Production</v>
          </cell>
          <cell r="O5690" t="str">
            <v>No</v>
          </cell>
          <cell r="Q5690" t="str">
            <v>Live</v>
          </cell>
          <cell r="R5690">
            <v>44361.695613425924</v>
          </cell>
          <cell r="S5690" t="str">
            <v>Andrew Reda</v>
          </cell>
          <cell r="V5690">
            <v>44426</v>
          </cell>
          <cell r="W5690">
            <v>44481</v>
          </cell>
        </row>
        <row r="5691">
          <cell r="I5691" t="str">
            <v>EDI</v>
          </cell>
          <cell r="L5691">
            <v>12</v>
          </cell>
          <cell r="N5691" t="str">
            <v>Production</v>
          </cell>
          <cell r="O5691" t="str">
            <v>No</v>
          </cell>
          <cell r="Q5691" t="str">
            <v>Cancelled</v>
          </cell>
          <cell r="R5691">
            <v>44361.695613425924</v>
          </cell>
          <cell r="S5691" t="str">
            <v>Mina Adel Old Account</v>
          </cell>
          <cell r="T5691">
            <v>44553</v>
          </cell>
          <cell r="V5691">
            <v>44543</v>
          </cell>
          <cell r="W5691">
            <v>44621</v>
          </cell>
          <cell r="AC5691">
            <v>44619</v>
          </cell>
        </row>
        <row r="5692">
          <cell r="I5692" t="str">
            <v>EDI</v>
          </cell>
          <cell r="L5692">
            <v>3</v>
          </cell>
          <cell r="N5692" t="str">
            <v>Production</v>
          </cell>
          <cell r="O5692" t="str">
            <v>No</v>
          </cell>
          <cell r="Q5692" t="str">
            <v>Live</v>
          </cell>
          <cell r="R5692">
            <v>44361.419351851851</v>
          </cell>
          <cell r="S5692" t="str">
            <v>Omnia Abdelaziz</v>
          </cell>
          <cell r="T5692">
            <v>44892</v>
          </cell>
          <cell r="U5692" t="str">
            <v>Denise Stubenvoll</v>
          </cell>
          <cell r="V5692">
            <v>44417</v>
          </cell>
          <cell r="W5692">
            <v>44621</v>
          </cell>
          <cell r="AC5692">
            <v>44616</v>
          </cell>
        </row>
        <row r="5693">
          <cell r="I5693" t="str">
            <v>EDI</v>
          </cell>
          <cell r="L5693">
            <v>16</v>
          </cell>
          <cell r="N5693" t="str">
            <v>Obtain Customer Dataset</v>
          </cell>
          <cell r="O5693" t="str">
            <v>No</v>
          </cell>
          <cell r="Q5693" t="str">
            <v>Cancelled</v>
          </cell>
          <cell r="R5693">
            <v>44357.608773148153</v>
          </cell>
        </row>
        <row r="5694">
          <cell r="I5694" t="str">
            <v>EDI</v>
          </cell>
          <cell r="L5694">
            <v>9</v>
          </cell>
          <cell r="N5694" t="str">
            <v>Production</v>
          </cell>
          <cell r="O5694" t="str">
            <v>No</v>
          </cell>
          <cell r="Q5694" t="str">
            <v>Live</v>
          </cell>
          <cell r="R5694">
            <v>44357.605138888888</v>
          </cell>
          <cell r="S5694" t="str">
            <v>Ahmed Sami Old Account</v>
          </cell>
          <cell r="U5694" t="str">
            <v>Denise Stubenvoll</v>
          </cell>
          <cell r="V5694">
            <v>44581</v>
          </cell>
          <cell r="W5694">
            <v>44608</v>
          </cell>
        </row>
        <row r="5695">
          <cell r="I5695" t="str">
            <v>EDI</v>
          </cell>
          <cell r="N5695" t="str">
            <v>Requirements Gathering</v>
          </cell>
          <cell r="O5695" t="str">
            <v>No</v>
          </cell>
          <cell r="Q5695" t="str">
            <v>Cancelled</v>
          </cell>
          <cell r="R5695">
            <v>44357.603668981479</v>
          </cell>
          <cell r="U5695" t="str">
            <v>Miranda Naeem</v>
          </cell>
        </row>
        <row r="5696">
          <cell r="I5696" t="str">
            <v>EDI</v>
          </cell>
          <cell r="L5696">
            <v>17</v>
          </cell>
          <cell r="N5696" t="str">
            <v>Production</v>
          </cell>
          <cell r="O5696" t="str">
            <v>No</v>
          </cell>
          <cell r="Q5696" t="str">
            <v>Cancelled</v>
          </cell>
          <cell r="R5696">
            <v>44357.60365740741</v>
          </cell>
          <cell r="S5696" t="str">
            <v>Ahmed Sami Old Account</v>
          </cell>
          <cell r="U5696" t="str">
            <v>Miranda Naeem</v>
          </cell>
          <cell r="V5696">
            <v>44432</v>
          </cell>
          <cell r="W5696">
            <v>44454</v>
          </cell>
        </row>
        <row r="5697">
          <cell r="I5697" t="str">
            <v>EDI</v>
          </cell>
          <cell r="L5697">
            <v>8</v>
          </cell>
          <cell r="N5697" t="str">
            <v>Production</v>
          </cell>
          <cell r="O5697" t="str">
            <v>No</v>
          </cell>
          <cell r="Q5697" t="str">
            <v>Cancelled</v>
          </cell>
          <cell r="R5697">
            <v>44357.60365740741</v>
          </cell>
          <cell r="S5697" t="str">
            <v>Amira Elshora Old Account</v>
          </cell>
          <cell r="U5697" t="str">
            <v>Miranda Naeem</v>
          </cell>
          <cell r="V5697">
            <v>44468</v>
          </cell>
          <cell r="W5697">
            <v>44601</v>
          </cell>
          <cell r="AC5697">
            <v>44599</v>
          </cell>
        </row>
        <row r="5698">
          <cell r="I5698" t="str">
            <v>EDI</v>
          </cell>
          <cell r="L5698">
            <v>1</v>
          </cell>
          <cell r="N5698" t="str">
            <v>Production</v>
          </cell>
          <cell r="O5698" t="str">
            <v>No</v>
          </cell>
          <cell r="Q5698" t="str">
            <v>Cancelled</v>
          </cell>
          <cell r="R5698">
            <v>44357.60365740741</v>
          </cell>
          <cell r="S5698" t="str">
            <v>Mina Adel Old Account</v>
          </cell>
          <cell r="U5698" t="str">
            <v>Miranda Naeem</v>
          </cell>
          <cell r="W5698">
            <v>44481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sha Wadea" id="{72DA242B-25F6-4103-A1FA-2936CA335D97}" userId="S-1-5-21-818802574-481317610-1466287690-1143" providerId="AD"/>
  <person displayName="Wadie, Rasha" id="{D76C9ED7-F32F-44BA-B0A8-36377F47DE82}" userId="S::rwadie@isolvedhcm.com::dc79eb1c-8254-4a0d-98d9-77d1a2498ff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6-03-11T12:57:12.46" personId="{D76C9ED7-F32F-44BA-B0A8-36377F47DE82}" id="{7140DA5E-8767-4B48-862D-F63BB896F5CB}">
    <text>Santeon is done &amp; iSolved testing with the Client</text>
  </threadedComment>
  <threadedComment ref="C6" dT="2025-10-23T06:44:15.86" personId="{72DA242B-25F6-4103-A1FA-2936CA335D97}" id="{B5C44C99-EBD4-4D8D-A4BA-038536D26CB1}">
    <text>On Maternity Leave since mid September 2025</text>
  </threadedComment>
  <threadedComment ref="C6" dT="2026-02-03T10:16:19.33" personId="{72DA242B-25F6-4103-A1FA-2936CA335D97}" id="{FA635D6D-23C2-4DD0-8190-0F25C4BFDE4C}" parentId="{B5C44C99-EBD4-4D8D-A4BA-038536D26CB1}">
    <text>Back from Leave on 1/18/2026</text>
  </threadedComment>
  <threadedComment ref="D54" dT="2026-04-02T10:39:44.77" personId="{D76C9ED7-F32F-44BA-B0A8-36377F47DE82}" id="{DCB09D38-4482-4B2A-B0AC-8D6477B7E6F9}">
    <text>Q1 - 2025</text>
  </threadedComment>
  <threadedComment ref="F54" dT="2026-04-02T10:39:59.57" personId="{D76C9ED7-F32F-44BA-B0A8-36377F47DE82}" id="{BECE8343-31DD-462E-B19A-F3F4D268ACE8}">
    <text>Q2 - 2025</text>
  </threadedComment>
  <threadedComment ref="H54" dT="2026-04-02T10:40:14.25" personId="{D76C9ED7-F32F-44BA-B0A8-36377F47DE82}" id="{33C562F5-9E69-4399-9E5E-CEB32321158F}">
    <text>Q3 - 2025</text>
  </threadedComment>
  <threadedComment ref="K54" dT="2026-04-02T10:40:26.21" personId="{D76C9ED7-F32F-44BA-B0A8-36377F47DE82}" id="{1F7E932A-BF3A-4D02-8BC6-75DEC660828D}">
    <text>Q4 - 2025</text>
  </threadedComment>
  <threadedComment ref="M54" dT="2026-04-02T10:40:39.48" personId="{D76C9ED7-F32F-44BA-B0A8-36377F47DE82}" id="{8BDC82C6-8C0F-4564-A08E-BB547937F587}">
    <text>Q1 - 2026</text>
  </threadedComment>
  <threadedComment ref="O54" dT="2026-04-16T08:39:04.42" personId="{D76C9ED7-F32F-44BA-B0A8-36377F47DE82}" id="{B912FDAC-75E6-4857-9A67-6C66CABEE77A}">
    <text>Q2 - 2026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4F0C8-83E2-42DE-A3AE-9BCB95ED7C66}">
  <dimension ref="A1:BZ5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S7" sqref="S7"/>
    </sheetView>
  </sheetViews>
  <sheetFormatPr defaultRowHeight="15" x14ac:dyDescent="0.25"/>
  <cols>
    <col min="1" max="1" width="20.42578125" customWidth="1"/>
    <col min="2" max="2" width="3" bestFit="1" customWidth="1"/>
    <col min="3" max="3" width="14.7109375" customWidth="1"/>
    <col min="4" max="4" width="12.140625" customWidth="1"/>
    <col min="5" max="6" width="11" customWidth="1"/>
    <col min="8" max="8" width="11.7109375" customWidth="1"/>
    <col min="9" max="9" width="12.5703125" style="9" customWidth="1"/>
    <col min="10" max="10" width="2.28515625" style="9" hidden="1" customWidth="1"/>
    <col min="11" max="11" width="9.5703125" bestFit="1" customWidth="1"/>
    <col min="12" max="12" width="10.42578125" customWidth="1"/>
    <col min="13" max="13" width="11.42578125" bestFit="1" customWidth="1"/>
    <col min="14" max="14" width="14.7109375" customWidth="1"/>
    <col min="15" max="15" width="10.7109375" customWidth="1"/>
    <col min="16" max="17" width="11.7109375" customWidth="1"/>
    <col min="18" max="18" width="8.7109375" customWidth="1"/>
    <col min="19" max="19" width="8" customWidth="1"/>
    <col min="20" max="20" width="7.7109375" customWidth="1"/>
    <col min="22" max="22" width="11" customWidth="1"/>
    <col min="23" max="24" width="10.5703125" style="9" bestFit="1" customWidth="1"/>
    <col min="25" max="25" width="11.7109375" style="9" bestFit="1" customWidth="1"/>
    <col min="26" max="34" width="10.5703125" style="9" bestFit="1" customWidth="1"/>
    <col min="35" max="40" width="8.85546875" style="9"/>
  </cols>
  <sheetData>
    <row r="1" spans="1:78" ht="75" x14ac:dyDescent="0.25">
      <c r="A1" s="1" t="s">
        <v>0</v>
      </c>
      <c r="B1" s="2"/>
      <c r="C1" s="2" t="s">
        <v>9</v>
      </c>
      <c r="D1" s="7" t="s">
        <v>5</v>
      </c>
      <c r="E1" s="2" t="s">
        <v>10</v>
      </c>
      <c r="F1" s="2" t="s">
        <v>11</v>
      </c>
      <c r="G1" s="2" t="s">
        <v>1</v>
      </c>
      <c r="H1" s="2" t="s">
        <v>20</v>
      </c>
      <c r="I1" s="17" t="s">
        <v>2</v>
      </c>
      <c r="J1" s="18"/>
      <c r="K1" s="36" t="s">
        <v>6</v>
      </c>
      <c r="L1" s="36" t="s">
        <v>43</v>
      </c>
      <c r="M1" s="36" t="s">
        <v>44</v>
      </c>
      <c r="N1" s="36" t="s">
        <v>74</v>
      </c>
      <c r="O1" s="36" t="s">
        <v>58</v>
      </c>
      <c r="P1" s="17" t="s">
        <v>2</v>
      </c>
      <c r="Q1" s="45" t="s">
        <v>55</v>
      </c>
      <c r="R1" s="62" t="s">
        <v>69</v>
      </c>
      <c r="S1" s="62" t="s">
        <v>71</v>
      </c>
      <c r="AO1" s="9"/>
    </row>
    <row r="2" spans="1:78" x14ac:dyDescent="0.25">
      <c r="A2" s="10" t="s">
        <v>7</v>
      </c>
      <c r="B2" s="5"/>
      <c r="C2" s="11">
        <v>20</v>
      </c>
      <c r="D2" s="10"/>
      <c r="E2" s="10"/>
      <c r="F2" s="10"/>
      <c r="G2" s="10"/>
      <c r="H2" s="10"/>
      <c r="I2" s="10"/>
      <c r="J2" s="19"/>
      <c r="K2" s="6"/>
      <c r="L2" s="6"/>
      <c r="M2" s="6"/>
      <c r="N2" s="6"/>
      <c r="O2" s="44"/>
      <c r="P2" s="44"/>
      <c r="Q2" s="88"/>
      <c r="R2" s="44"/>
      <c r="S2" s="44"/>
      <c r="AO2" s="9"/>
    </row>
    <row r="3" spans="1:78" x14ac:dyDescent="0.25">
      <c r="A3" s="4" t="s">
        <v>12</v>
      </c>
      <c r="B3" s="3"/>
      <c r="C3" s="3">
        <f t="shared" ref="C3:C17" si="0">SUM(D3:G3)</f>
        <v>25</v>
      </c>
      <c r="D3" s="3">
        <f>COUNTIFS([1]EDI!$S$2:$S$10000,"Ahmed Ali",
[1]EDI!$Q$2:$Q$10000, "In Progress",
 [1]EDI!$N$2:$N$10000,"DataSet Validation",
 [1]EDI!$L$2:$L$10000,"",
[1]EDI!$I$2:$I$10000,"EDI")</f>
        <v>0</v>
      </c>
      <c r="E3" s="3">
        <f>COUNTIFS([1]EDI!$S$2:$S$10000,"Ahmed Ali",
[1]EDI!$Q$2:$Q$10000, "In Progress",
 [1]EDI!$N$2:$N$10000,"Dataset Validation",
 [1]EDI!$L$2:$L$10000, "&lt;&gt;",
[1]EDI!$I$2:$I$10000,"EDI")</f>
        <v>1</v>
      </c>
      <c r="F3" s="3">
        <f>COUNTIFS([1]EDI!$S$2:$S$10000,"Ahmed Ali",
[1]EDI!$Q$2:$Q$10000, "In Progress",
 [1]EDI!$N$2:$N$10000,"Mapping",
[1]EDI!$I$2:$I$10000,"EDI")</f>
        <v>5</v>
      </c>
      <c r="G3" s="3">
        <f>COUNTIFS([1]EDI!$S$2:$S$10000,"Ahmed Ali",
[1]EDI!$Q$2:$Q$10000, "In Progress",
 [1]EDI!$N$2:$N$10000,"Testing",
 [1]EDI!$I$2:$I$10000,"EDI")</f>
        <v>19</v>
      </c>
      <c r="H3" s="3">
        <f>COUNTIFS([1]EDI!$S$2:$S$10000,"Ahmed Ali",
[1]EDI!$Q$2:$Q$10000, "In Progress",
 [1]EDI!$N$2:$N$10000,"Ready For Production",
[1]EDI!$I$2:$I$10000,"EDI")</f>
        <v>0</v>
      </c>
      <c r="I3" s="8">
        <f>LARGE(Dates!A4:A50,1)</f>
        <v>46215</v>
      </c>
      <c r="J3" s="15"/>
      <c r="K3" s="3">
        <f>COUNTIFS([1]EDI!$S$2:$S$10000,"Ahmed Ali",
[1]EDI!$Q$2:$Q$10000, "In Progress",
 [1]EDI!$I$2:$I$10000,"Forms")</f>
        <v>0</v>
      </c>
      <c r="L3" s="3" cm="1">
        <f t="array" ref="L3">SUM(COUNTIFS([1]EDI!$S$2:$S$10000,"Ahmed Ali",
[1]EDI!$Q$2:$Q$10000,"In Progress",
[1]EDI!$N$2:$N$10000,{"Mapping","Dataset Validation"},
[1]EDI!$I$2:$I$10000,"Forms"))</f>
        <v>0</v>
      </c>
      <c r="M3" s="3">
        <f>COUNTIFS([1]EDI!$S$2:$S$10000,"Ahmed Ali",
[1]EDI!$Q$2:$Q$10000, "In Progress",
 [1]EDI!$N$2:$N$10000,"Testing",
 [1]EDI!$I$2:$I$10000,"Forms")</f>
        <v>0</v>
      </c>
      <c r="N3" s="3">
        <f>COUNTIFS([1]EDI!$S$2:$S$10000,"Ahmed Ali",
[1]EDI!$Q$2:$Q$10000, "In Progress",
 [1]EDI!$P$2:$P$10000,"Migration Testing",
[1]EDI!$I$2:$I$10000,"Forms")</f>
        <v>0</v>
      </c>
      <c r="O3" s="3">
        <f>COUNTIFS([1]EDI!$S$2:$S$10000,"Ahmed Ali",
[1]EDI!$Q$2:$Q$10000, "Live",
 [1]EDI!$P$2:$P$10000,"Production",
[1]EDI!$I$2:$I$10000,"Forms")</f>
        <v>1</v>
      </c>
      <c r="P3" s="25"/>
      <c r="Q3" s="3">
        <f t="shared" ref="Q3:Q15" si="1">C3+K3</f>
        <v>25</v>
      </c>
      <c r="R3" s="3">
        <f>COUNTIFS(
[1]EDI!$S$2:$S$10000,"Ahmed Ali",
[1]EDI!$L$2:$L$10000,"&lt;&gt;",
[1]EDI!$R$2:$R$10000,"&gt;="&amp;DATE(2025,1,1),
[1]EDI!$R$2:$R$10000,"&lt;"&amp;DATE(2026,1,1),
[1]EDI!$I$2:$I$10000,"EDI"
)</f>
        <v>49</v>
      </c>
      <c r="S3" s="3">
        <f>COUNTIFS(
[1]EDI!$S$2:$S$10000,"Ahmed Ali",
[1]EDI!$L$2:$L$10000,"&lt;&gt;",
[1]EDI!$R$2:$R$10000,"&gt;="&amp;DATE(2026,1,1),
[1]EDI!$I$2:$I$10000,"EDI"
)</f>
        <v>33</v>
      </c>
    </row>
    <row r="4" spans="1:78" x14ac:dyDescent="0.25">
      <c r="A4" s="4" t="s">
        <v>14</v>
      </c>
      <c r="B4" s="3"/>
      <c r="C4" s="3">
        <f t="shared" si="0"/>
        <v>20</v>
      </c>
      <c r="D4" s="3">
        <f>COUNTIFS([1]EDI!$S$2:$S$10000,"Alaa Yehia",
[1]EDI!$Q$2:$Q$10000, "In Progress",
 [1]EDI!$N$2:$N$10000,"DataSet Validation",
 [1]EDI!$L$2:$L$10000,"",
[1]EDI!$I$2:$I$10000,"EDI")</f>
        <v>1</v>
      </c>
      <c r="E4" s="3">
        <f>COUNTIFS([1]EDI!$S$2:$S$10000,"Alaa Yehia",
[1]EDI!$Q$2:$Q$10000, "In Progress",
 [1]EDI!$N$2:$N$10000,"Dataset Validation",
 [1]EDI!$L$2:$L$10000, "&lt;&gt;",
[1]EDI!$I$2:$I$10000,"EDI")</f>
        <v>0</v>
      </c>
      <c r="F4" s="3">
        <f>COUNTIFS([1]EDI!$S$2:$S$10000,"Alaa Yehia",
[1]EDI!$Q$2:$Q$10000, "In Progress",
 [1]EDI!$N$2:$N$10000,"Mapping",
[1]EDI!$I$2:$I$10000,"EDI")</f>
        <v>3</v>
      </c>
      <c r="G4" s="3">
        <f>COUNTIFS([1]EDI!$S$2:$S$10000,"Alaa Yehia",
[1]EDI!$Q$2:$Q$10000, "In Progress",
 [1]EDI!$N$2:$N$10000,"Testing",
 [1]EDI!$I$2:$I$10000,"EDI")</f>
        <v>16</v>
      </c>
      <c r="H4" s="3">
        <f>COUNTIFS([1]EDI!$S$2:$S$10000,"Alaa Yehia",
[1]EDI!$Q$2:$Q$10000, "In Progress",
 [1]EDI!$N$2:$N$10000,"Ready For Production",
[1]EDI!$I$2:$I$10000,"EDI")</f>
        <v>0</v>
      </c>
      <c r="I4" s="8">
        <f>LARGE(Dates!B4:B50,1)</f>
        <v>46215</v>
      </c>
      <c r="J4" s="15"/>
      <c r="K4" s="3">
        <f>COUNTIFS([1]EDI!$S$2:$S$10000,"Alaa Yehia",
[1]EDI!$Q$2:$Q$10000, "In Progress",
 [1]EDI!$I$2:$I$10000,"Forms")</f>
        <v>3</v>
      </c>
      <c r="L4" s="3" cm="1">
        <f t="array" ref="L4">SUM(COUNTIFS([1]EDI!$S$2:$S$10000,"Alaa Yehia",
[1]EDI!$Q$2:$Q$10000,"In Progress",
[1]EDI!$N$2:$N$10000,{"Mapping","Dataset Validation"},
[1]EDI!$I$2:$I$10000,"Forms"))</f>
        <v>2</v>
      </c>
      <c r="M4" s="3">
        <f>COUNTIFS([1]EDI!$S$2:$S$10000,"Alaa Yehia",
[1]EDI!$Q$2:$Q$10000, "In Progress",
 [1]EDI!$N$2:$N$10000,"Testing",
 [1]EDI!$I$2:$I$10000,"Forms")</f>
        <v>1</v>
      </c>
      <c r="N4" s="3">
        <f>COUNTIFS([1]EDI!$S$2:$S$10000,"Alaa Yehia",
[1]EDI!$Q$2:$Q$10000, "In Progress",
 [1]EDI!$P$2:$P$10000,"Migration Testing",
[1]EDI!$I$2:$I$10000,"Forms")</f>
        <v>0</v>
      </c>
      <c r="O4" s="82">
        <f>COUNTIFS([1]EDI!$S$2:$S$10000,"Alaa Yehia",
[1]EDI!$Q$2:$Q$10000, "Live",
 [1]EDI!$P$2:$P$10000,"Production",
[1]EDI!$I$2:$I$10000,"Forms")</f>
        <v>1</v>
      </c>
      <c r="P4" s="83">
        <f>LARGE('Dates-Forms'!B4:B50,1)</f>
        <v>46210</v>
      </c>
      <c r="Q4" s="3">
        <f t="shared" si="1"/>
        <v>23</v>
      </c>
      <c r="R4" s="3">
        <f>COUNTIFS(
[1]EDI!$S$2:$S$10000,"Alaa Yehia",
[1]EDI!$L$2:$L$10000,"&lt;&gt;",
[1]EDI!$R$2:$R$10000,"&gt;="&amp;DATE(2025,1,1),
[1]EDI!$R$2:$R$10000,"&lt;"&amp;DATE(2026,1,1),
[1]EDI!$I$2:$I$10000,"EDI"
)</f>
        <v>60</v>
      </c>
      <c r="S4" s="3">
        <f>COUNTIFS(
[1]EDI!$S$2:$S$10000,"Alaa Yehia",
[1]EDI!$L$2:$L$10000,"&lt;&gt;",
[1]EDI!$R$2:$R$10000,"&gt;="&amp;DATE(2026,1,1),
[1]EDI!$I$2:$I$10000,"EDI"
)</f>
        <v>53</v>
      </c>
      <c r="Z4" s="91"/>
      <c r="AA4" s="91"/>
      <c r="AB4" s="91"/>
      <c r="AC4" s="91"/>
      <c r="AD4" s="91"/>
      <c r="AE4" s="91"/>
      <c r="AF4" s="91"/>
      <c r="AG4" s="91"/>
    </row>
    <row r="5" spans="1:78" x14ac:dyDescent="0.25">
      <c r="A5" s="4" t="s">
        <v>15</v>
      </c>
      <c r="B5" s="3"/>
      <c r="C5" s="3">
        <f t="shared" si="0"/>
        <v>27</v>
      </c>
      <c r="D5" s="3">
        <f>COUNTIFS([1]EDI!$S$2:$S$10000,"Andrew Ramy",
[1]EDI!$Q$2:$Q$10000, "In Progress",
 [1]EDI!$N$2:$N$10000,"DataSet Validation",
 [1]EDI!$L$2:$L$10000,"",
[1]EDI!$I$2:$I$10000,"EDI")</f>
        <v>1</v>
      </c>
      <c r="E5" s="3">
        <f>COUNTIFS([1]EDI!$S$2:$S$10000,"Andrew Ramy",
[1]EDI!$Q$2:$Q$10000, "In Progress",
 [1]EDI!$N$2:$N$10000,"Dataset Validation",
 [1]EDI!$L$2:$L$10000, "&lt;&gt;",
[1]EDI!$I$2:$I$10000,"EDI")</f>
        <v>0</v>
      </c>
      <c r="F5" s="3">
        <f>COUNTIFS([1]EDI!$S$2:$S$10000,"Andrew Ramy",
[1]EDI!$Q$2:$Q$10000, "In Progress",
 [1]EDI!$N$2:$N$10000,"Mapping",
[1]EDI!$I$2:$I$10000,"EDI")</f>
        <v>0</v>
      </c>
      <c r="G5" s="3">
        <f>COUNTIFS([1]EDI!$S$2:$S$10000,"Andrew Ramy",
[1]EDI!$Q$2:$Q$10000, "In Progress",
 [1]EDI!$N$2:$N$10000,"Testing",
 [1]EDI!$I$2:$I$10000,"EDI")</f>
        <v>26</v>
      </c>
      <c r="H5" s="3">
        <f>COUNTIFS([1]EDI!$S$2:$S$10000,"Andrew Ramy",
[1]EDI!$Q$2:$Q$10000, "In Progress",
 [1]EDI!$N$2:$N$10000,"Ready For Production",
[1]EDI!$I$2:$I$10000,"EDI")</f>
        <v>0</v>
      </c>
      <c r="I5" s="8">
        <f>LARGE(Dates!D4:D50,1)</f>
        <v>46215</v>
      </c>
      <c r="J5" s="15"/>
      <c r="K5" s="3">
        <f>COUNTIFS([1]EDI!$S$2:$S$10000,"Andrew Ramy",
[1]EDI!$Q$2:$Q$10000, "In Progress",
 [1]EDI!$I$2:$I$10000,"Forms")</f>
        <v>0</v>
      </c>
      <c r="L5" s="3" cm="1">
        <f t="array" ref="L5">SUM(COUNTIFS([1]EDI!$S$2:$S$10000,"Andrew Ramy",
[1]EDI!$Q$2:$Q$10000,"In Progress",
[1]EDI!$N$2:$N$10000,{"Mapping","Dataset Validation"},
[1]EDI!$I$2:$I$10000,"Forms"))</f>
        <v>0</v>
      </c>
      <c r="M5" s="3">
        <f>COUNTIFS([1]EDI!$S$2:$S$10000,"Andrew Ramy",
[1]EDI!$Q$2:$Q$10000, "In Progress",
 [1]EDI!$N$2:$N$10000,"Testing",
 [1]EDI!$I$2:$I$10000,"Forms")</f>
        <v>0</v>
      </c>
      <c r="N5" s="3">
        <f>COUNTIFS([1]EDI!$S$2:$S$10000,"Andrew Ramy",
[1]EDI!$Q$2:$Q$10000, "In Progress",
 [1]EDI!$P$2:$P$10000,"Migration Testing",
[1]EDI!$I$2:$I$10000,"Forms")</f>
        <v>0</v>
      </c>
      <c r="O5" s="3">
        <f>COUNTIFS([1]EDI!$S$2:$S$10000,"Andrew Ramy",
[1]EDI!$Q$2:$Q$10000, "Live",
 [1]EDI!$P$2:$P$10000,"Production",
[1]EDI!$I$2:$I$10000,"Forms")</f>
        <v>0</v>
      </c>
      <c r="P5" s="8"/>
      <c r="Q5" s="3">
        <f t="shared" si="1"/>
        <v>27</v>
      </c>
      <c r="R5" s="3">
        <f>COUNTIFS(
[1]EDI!$S$2:$S$10000,"Andrew Ramy",
[1]EDI!$L$2:$L$10000,"&lt;&gt;",
[1]EDI!$R$2:$R$10000,"&gt;="&amp;DATE(2025,1,1),
[1]EDI!$R$2:$R$10000,"&lt;"&amp;DATE(2026,1,1),
[1]EDI!$I$2:$I$10000,"EDI"
)</f>
        <v>56</v>
      </c>
      <c r="S5" s="3">
        <f>COUNTIFS(
[1]EDI!$S$2:$S$10000,"Andrew Ramy",
[1]EDI!$L$2:$L$10000,"&lt;&gt;",
[1]EDI!$R$2:$R$10000,"&gt;="&amp;DATE(2026,1,1),
[1]EDI!$I$2:$I$10000,"EDI"
)</f>
        <v>49</v>
      </c>
      <c r="AE5"/>
      <c r="AF5"/>
      <c r="AG5"/>
    </row>
    <row r="6" spans="1:78" x14ac:dyDescent="0.25">
      <c r="A6" s="4" t="s">
        <v>16</v>
      </c>
      <c r="B6" s="3"/>
      <c r="C6" s="3">
        <f t="shared" si="0"/>
        <v>21</v>
      </c>
      <c r="D6" s="3">
        <f>COUNTIFS([1]EDI!$S$2:$S$10000,"Aya Fathy",
[1]EDI!$Q$2:$Q$10000, "In Progress",
 [1]EDI!$N$2:$N$10000,"DataSet Validation",
 [1]EDI!$L$2:$L$10000,"",
[1]EDI!$I$2:$I$10000,"EDI")</f>
        <v>0</v>
      </c>
      <c r="E6" s="3">
        <f>COUNTIFS([1]EDI!$S$2:$S$10000,"Aya Fathy",
[1]EDI!$Q$2:$Q$10000, "In Progress",
 [1]EDI!$N$2:$N$10000,"Dataset Validation",
 [1]EDI!$L$2:$L$10000, "&lt;&gt;",
[1]EDI!$I$2:$I$10000,"EDI")</f>
        <v>0</v>
      </c>
      <c r="F6" s="3">
        <f>COUNTIFS([1]EDI!$S$2:$S$10000,"Aya Fathy",
[1]EDI!$Q$2:$Q$10000, "In Progress",
 [1]EDI!$N$2:$N$10000,"Mapping",
[1]EDI!$I$2:$I$10000,"EDI")</f>
        <v>2</v>
      </c>
      <c r="G6" s="3">
        <f>COUNTIFS([1]EDI!$S$2:$S$10000,"Aya Fathy",
[1]EDI!$Q$2:$Q$10000, "In Progress",
 [1]EDI!$N$2:$N$10000,"Testing",
 [1]EDI!$I$2:$I$10000,"EDI")</f>
        <v>19</v>
      </c>
      <c r="H6" s="3">
        <f>COUNTIFS([1]EDI!$S$2:$S$10000,"Aya Fathy",
[1]EDI!$Q$2:$Q$10000, "In Progress",
 [1]EDI!$N$2:$N$10000,"Ready For Production",
[1]EDI!$I$2:$I$10000,"EDI")</f>
        <v>0</v>
      </c>
      <c r="I6" s="8">
        <f>LARGE(Dates!E4:E50,1)</f>
        <v>46204</v>
      </c>
      <c r="J6" s="15"/>
      <c r="K6" s="3">
        <f>COUNTIFS([1]EDI!$S$2:$S$10000,"Aya Fathy",
[1]EDI!$Q$2:$Q$10000, "In Progress",
 [1]EDI!$I$2:$I$10000,"Forms")</f>
        <v>1</v>
      </c>
      <c r="L6" s="3" cm="1">
        <f t="array" ref="L6">SUM(COUNTIFS([1]EDI!$S$2:$S$10000,"Aya Fathy",
[1]EDI!$Q$2:$Q$10000,"In Progress",
[1]EDI!$N$2:$N$10000,{"Mapping","Dataset Validation"},
[1]EDI!$I$2:$I$10000,"Forms"))</f>
        <v>0</v>
      </c>
      <c r="M6" s="3">
        <f>COUNTIFS([1]EDI!$S$2:$S$10000,"Aya Fathy",
[1]EDI!$Q$2:$Q$10000, "In Progress",
 [1]EDI!$N$2:$N$10000,"Testing",
 [1]EDI!$I$2:$I$10000,"Forms")</f>
        <v>1</v>
      </c>
      <c r="N6" s="3">
        <f>COUNTIFS([1]EDI!$S$2:$S$10000,"Aya Fathy",
[1]EDI!$Q$2:$Q$10000, "In Progress",
 [1]EDI!$P$2:$P$10000,"Migration Testing",
[1]EDI!$I$2:$I$10000,"Forms")</f>
        <v>0</v>
      </c>
      <c r="O6" s="3">
        <f>COUNTIFS([1]EDI!$S$2:$S$10000,"Aya Fathy",
[1]EDI!$Q$2:$Q$10000, "Live",
 [1]EDI!$P$2:$P$10000,"Production",
[1]EDI!$I$2:$I$10000,"Forms")</f>
        <v>1</v>
      </c>
      <c r="P6" s="8">
        <f>LARGE('Dates-Forms'!E4:E50,1)</f>
        <v>46210</v>
      </c>
      <c r="Q6" s="3">
        <f t="shared" si="1"/>
        <v>22</v>
      </c>
      <c r="R6" s="3">
        <f>COUNTIFS(
[1]EDI!$S$2:$S$10000,"Aya Fathy",
[1]EDI!$L$2:$L$10000,"&lt;&gt;",
[1]EDI!$R$2:$R$10000,"&gt;="&amp;DATE(2025,1,1),
[1]EDI!$R$2:$R$10000,"&lt;"&amp;DATE(2026,1,1),
[1]EDI!$I$2:$I$10000,"EDI"
)</f>
        <v>37</v>
      </c>
      <c r="S6" s="3">
        <f>COUNTIFS(
[1]EDI!$S$2:$S$10000,"Aya Fathy",
[1]EDI!$L$2:$L$10000,"&lt;&gt;",
[1]EDI!$R$2:$R$10000,"&gt;="&amp;DATE(2026,1,1),
[1]EDI!$I$2:$I$10000,"EDI"
)</f>
        <v>60</v>
      </c>
      <c r="AE6"/>
      <c r="AF6"/>
      <c r="AG6"/>
    </row>
    <row r="7" spans="1:78" x14ac:dyDescent="0.25">
      <c r="A7" s="4" t="s">
        <v>62</v>
      </c>
      <c r="B7" s="3"/>
      <c r="C7" s="3">
        <f t="shared" si="0"/>
        <v>22</v>
      </c>
      <c r="D7" s="3">
        <f>COUNTIFS([1]EDI!$S$2:$S$10000,"Josephine Ossama",
[1]EDI!$Q$2:$Q$10000, "In Progress",
 [1]EDI!$N$2:$N$10000,"DataSet Validation",
 [1]EDI!$L$2:$L$10000,"",
[1]EDI!$I$2:$I$10000,"EDI")</f>
        <v>0</v>
      </c>
      <c r="E7" s="3">
        <f>COUNTIFS([1]EDI!$S$2:$S$10000,"Josephine Ossama",
[1]EDI!$Q$2:$Q$10000, "In Progress",
 [1]EDI!$N$2:$N$10000,"Dataset Validation",
 [1]EDI!$L$2:$L$10000, "&lt;&gt;",
[1]EDI!$I$2:$I$10000,"EDI")</f>
        <v>0</v>
      </c>
      <c r="F7" s="3">
        <f>COUNTIFS([1]EDI!$S$2:$S$10000,"Josephine Ossama",
[1]EDI!$Q$2:$Q$10000, "In Progress",
 [1]EDI!$N$2:$N$10000,"Mapping",
[1]EDI!$I$2:$I$10000,"EDI")</f>
        <v>8</v>
      </c>
      <c r="G7" s="3">
        <f>COUNTIFS([1]EDI!$S$2:$S$10000,"Josephine Ossama",
[1]EDI!$Q$2:$Q$10000, "In Progress",
 [1]EDI!$N$2:$N$10000,"Testing",
 [1]EDI!$I$2:$I$10000,"EDI")</f>
        <v>14</v>
      </c>
      <c r="H7" s="3">
        <f>COUNTIFS([1]EDI!$S$2:$S$10000,"Josephine Ossama",
[1]EDI!$Q$2:$Q$10000, "In Progress",
 [1]EDI!$N$2:$N$10000,"Ready For Production",
[1]EDI!$I$2:$I$10000,"EDI")</f>
        <v>1</v>
      </c>
      <c r="I7" s="8">
        <f>LARGE(Dates!Y4:Y50,1)</f>
        <v>46215</v>
      </c>
      <c r="J7" s="15"/>
      <c r="K7" s="3">
        <f>COUNTIFS([1]EDI!$S$2:$S$10000,"Josephine Ossama",
[1]EDI!$Q$2:$Q$10000, "In Progress",
 [1]EDI!$I$2:$I$10000,"Forms")</f>
        <v>0</v>
      </c>
      <c r="L7" s="3" cm="1">
        <f t="array" ref="L7">SUM(COUNTIFS([1]EDI!$S$2:$S$10000,"Josephine Ossama",
[1]EDI!$Q$2:$Q$10000,"In Progress",
[1]EDI!$N$2:$N$10000,{"Mapping","Dataset Validation"},
[1]EDI!$I$2:$I$10000,"Forms"))</f>
        <v>0</v>
      </c>
      <c r="M7" s="3">
        <f>COUNTIFS([1]EDI!$S$2:$S$10000,"Josephine Ossama",
[1]EDI!$Q$2:$Q$10000, "In Progress",
 [1]EDI!$N$2:$N$10000,"Testing",
 [1]EDI!$I$2:$I$10000,"Forms")</f>
        <v>0</v>
      </c>
      <c r="N7" s="3">
        <f>COUNTIFS([1]EDI!$S$2:$S$10000,"Josephine Ossama",
[1]EDI!$Q$2:$Q$10000, "In Progress",
 [1]EDI!$P$2:$P$10000,"Migration Testing",
[1]EDI!$I$2:$I$10000,"Forms")</f>
        <v>0</v>
      </c>
      <c r="O7" s="3">
        <f>COUNTIFS([1]EDI!$S$2:$S$10000,"Josephine Ossama",
[1]EDI!$Q$2:$Q$10000, "Live",
 [1]EDI!$P$2:$P$10000,"Production",
[1]EDI!$I$2:$I$10000,"Forms")</f>
        <v>0</v>
      </c>
      <c r="P7" s="8"/>
      <c r="Q7" s="3">
        <f t="shared" si="1"/>
        <v>22</v>
      </c>
      <c r="R7" s="3">
        <f>COUNTIFS(
[1]EDI!$S$2:$S$10000,"Josephine Ossama",
[1]EDI!$L$2:$L$10000,"&lt;&gt;",
[1]EDI!$R$2:$R$10000,"&gt;="&amp;DATE(2025,1,1),
[1]EDI!$R$2:$R$10000,"&lt;"&amp;DATE(2026,1,1),
[1]EDI!$I$2:$I$10000,"EDI"
)</f>
        <v>44</v>
      </c>
      <c r="S7" s="3">
        <f>COUNTIFS(
[1]EDI!$S$2:$S$10000,"Josephine Ossama",
[1]EDI!$L$2:$L$10000,"&lt;&gt;",
[1]EDI!$R$2:$R$10000,"&gt;="&amp;DATE(2026,1,1),
[1]EDI!$I$2:$I$10000,"EDI"
)</f>
        <v>29</v>
      </c>
      <c r="AE7"/>
      <c r="AF7"/>
      <c r="AG7"/>
    </row>
    <row r="8" spans="1:78" x14ac:dyDescent="0.25">
      <c r="A8" s="4" t="s">
        <v>34</v>
      </c>
      <c r="B8" s="3"/>
      <c r="C8" s="3">
        <f t="shared" si="0"/>
        <v>16</v>
      </c>
      <c r="D8" s="3">
        <f>COUNTIFS([1]EDI!$S$2:$S$10000,"Karen Ramy",
[1]EDI!$Q$2:$Q$10000, "In Progress",
 [1]EDI!$N$2:$N$10000,"DataSet Validation",
 [1]EDI!$L$2:$L$10000,"",
[1]EDI!$I$2:$I$10000,"EDI")</f>
        <v>0</v>
      </c>
      <c r="E8" s="3">
        <f>COUNTIFS([1]EDI!$S$2:$S$10000,"Karen Ramy",
[1]EDI!$Q$2:$Q$10000, "In Progress",
 [1]EDI!$N$2:$N$10000,"Dataset Validation",
 [1]EDI!$L$2:$L$10000, "&lt;&gt;",
[1]EDI!$I$2:$I$10000,"EDI")</f>
        <v>0</v>
      </c>
      <c r="F8" s="3">
        <f>COUNTIFS([1]EDI!$S$2:$S$10000,"Karen Ramy",
[1]EDI!$Q$2:$Q$10000, "In Progress",
 [1]EDI!$N$2:$N$10000,"Mapping",
[1]EDI!$I$2:$I$10000,"EDI")</f>
        <v>11</v>
      </c>
      <c r="G8" s="3">
        <f>COUNTIFS([1]EDI!$S$2:$S$10000,"Karen Ramy",
[1]EDI!$Q$2:$Q$10000, "In Progress",
 [1]EDI!$N$2:$N$10000,"Testing",
 [1]EDI!$I$2:$I$10000,"EDI")</f>
        <v>5</v>
      </c>
      <c r="H8" s="3">
        <f>COUNTIFS([1]EDI!$S$2:$S$10000,"Karen Ramy",
[1]EDI!$Q$2:$Q$10000, "In Progress",
 [1]EDI!$N$2:$N$10000,"Ready For Production",
[1]EDI!$I$2:$I$10000,"EDI")</f>
        <v>1</v>
      </c>
      <c r="I8" s="8">
        <f>LARGE(Dates!R4:R50,1)</f>
        <v>46211</v>
      </c>
      <c r="J8" s="15"/>
      <c r="K8" s="3">
        <f>COUNTIFS([1]EDI!$S$2:$S$10000,"Karen Ramy",
[1]EDI!$Q$2:$Q$10000, "In Progress",
 [1]EDI!$I$2:$I$10000,"Forms")</f>
        <v>0</v>
      </c>
      <c r="L8" s="3" cm="1">
        <f t="array" ref="L8">SUM(COUNTIFS([1]EDI!$S$2:$S$10000,"Karen Ramy",
[1]EDI!$Q$2:$Q$10000,"In Progress",
[1]EDI!$N$2:$N$10000,{"Mapping","Dataset Validation"},
[1]EDI!$I$2:$I$10000,"Forms"))</f>
        <v>0</v>
      </c>
      <c r="M8" s="3">
        <f>COUNTIFS([1]EDI!$S$2:$S$10000,"Karen Ramy",
[1]EDI!$Q$2:$Q$10000, "In Progress",
 [1]EDI!$N$2:$N$10000,"Testing",
 [1]EDI!$I$2:$I$10000,"Forms")</f>
        <v>0</v>
      </c>
      <c r="N8" s="3">
        <f>COUNTIFS([1]EDI!$S$2:$S$10000,"Karen Ramy",
[1]EDI!$Q$2:$Q$10000, "In Progress",
 [1]EDI!$P$2:$P$10000,"Migration Testing",
[1]EDI!$I$2:$I$10000,"Forms")</f>
        <v>0</v>
      </c>
      <c r="O8" s="3">
        <f>COUNTIFS([1]EDI!$S$2:$S$10000,"Karen Ramy",
[1]EDI!$Q$2:$Q$10000, "Live",
 [1]EDI!$P$2:$P$10000,"Production",
[1]EDI!$I$2:$I$10000,"Forms")</f>
        <v>2</v>
      </c>
      <c r="P8" s="8"/>
      <c r="Q8" s="3">
        <f t="shared" si="1"/>
        <v>16</v>
      </c>
      <c r="R8" s="3">
        <f>COUNTIFS(
[1]EDI!$S$2:$S$10000,"Karen Ramy",
[1]EDI!$L$2:$L$10000,"&lt;&gt;",
[1]EDI!$R$2:$R$10000,"&gt;="&amp;DATE(2025,1,1),
[1]EDI!$R$2:$R$10000,"&lt;"&amp;DATE(2026,1,1),
[1]EDI!$I$2:$I$10000,"EDI"
)</f>
        <v>52</v>
      </c>
      <c r="S8" s="3">
        <f>COUNTIFS(
[1]EDI!$S$2:$S$10000,"Karen Ramy",
[1]EDI!$L$2:$L$10000,"&lt;&gt;",
[1]EDI!$R$2:$R$10000,"&gt;="&amp;DATE(2026,1,1),
[1]EDI!$I$2:$I$10000,"EDI"
)</f>
        <v>41</v>
      </c>
      <c r="AE8"/>
      <c r="AF8"/>
      <c r="AG8"/>
    </row>
    <row r="9" spans="1:78" x14ac:dyDescent="0.25">
      <c r="A9" s="4" t="s">
        <v>63</v>
      </c>
      <c r="B9" s="3"/>
      <c r="C9" s="3">
        <f t="shared" si="0"/>
        <v>22</v>
      </c>
      <c r="D9" s="3">
        <f>COUNTIFS([1]EDI!$S$2:$S$10000,"Mark Albert",
[1]EDI!$Q$2:$Q$10000, "In Progress",
 [1]EDI!$N$2:$N$10000,"DataSet Validation",
 [1]EDI!$L$2:$L$10000,"",
[1]EDI!$I$2:$I$10000,"EDI")</f>
        <v>0</v>
      </c>
      <c r="E9" s="3">
        <f>COUNTIFS([1]EDI!$S$2:$S$10000,"Mark Albert",
[1]EDI!$Q$2:$Q$10000, "In Progress",
 [1]EDI!$N$2:$N$10000,"Dataset Validation",
 [1]EDI!$L$2:$L$10000, "&lt;&gt;",
[1]EDI!$I$2:$I$10000,"EDI")</f>
        <v>0</v>
      </c>
      <c r="F9" s="3">
        <f>COUNTIFS([1]EDI!$S$2:$S$10000,"Mark Albert",
[1]EDI!$Q$2:$Q$10000, "In Progress",
 [1]EDI!$N$2:$N$10000,"Mapping",
[1]EDI!$I$2:$I$10000,"EDI")</f>
        <v>10</v>
      </c>
      <c r="G9" s="3">
        <f>COUNTIFS([1]EDI!$S$2:$S$10000,"Mark Albert",
[1]EDI!$Q$2:$Q$10000, "In Progress",
 [1]EDI!$N$2:$N$10000,"Testing",
 [1]EDI!$I$2:$I$10000,"EDI")</f>
        <v>12</v>
      </c>
      <c r="H9" s="3">
        <f>COUNTIFS([1]EDI!$S$2:$S$10000,"Mark Albert",
[1]EDI!$Q$2:$Q$10000, "In Progress",
 [1]EDI!$N$2:$N$10000,"Ready For Production",
[1]EDI!$I$2:$I$10000,"EDI")</f>
        <v>0</v>
      </c>
      <c r="I9" s="8">
        <f>LARGE(Dates!X4:X50,1)</f>
        <v>46215</v>
      </c>
      <c r="J9" s="15"/>
      <c r="K9" s="3">
        <f>COUNTIFS([1]EDI!$S$2:$S$10000,"Mark Albert",
[1]EDI!$Q$2:$Q$10000, "In Progress",
 [1]EDI!$I$2:$I$10000,"Forms")</f>
        <v>2</v>
      </c>
      <c r="L9" s="3" cm="1">
        <f t="array" ref="L9">SUM(COUNTIFS([1]EDI!$S$2:$S$10000,"Mark Albert",
[1]EDI!$Q$2:$Q$10000,"In Progress",
[1]EDI!$N$2:$N$10000,{"Mapping","Dataset Validation"},
[1]EDI!$I$2:$I$10000,"Forms"))</f>
        <v>0</v>
      </c>
      <c r="M9" s="3">
        <f>COUNTIFS([1]EDI!$S$2:$S$10000,"Mark Albert",
[1]EDI!$Q$2:$Q$10000, "In Progress",
 [1]EDI!$N$2:$N$10000,"Testing",
 [1]EDI!$I$2:$I$10000,"Forms")</f>
        <v>0</v>
      </c>
      <c r="N9" s="3">
        <f>COUNTIFS([1]EDI!$S$2:$S$10000,"Mark Albert",
[1]EDI!$Q$2:$Q$10000, "In Progress",
 [1]EDI!$P$2:$P$10000,"Migration Testing",
[1]EDI!$I$2:$I$10000,"Forms")</f>
        <v>0</v>
      </c>
      <c r="O9" s="3">
        <f>COUNTIFS([1]EDI!$S$2:$S$10000,"Mark Albert",
[1]EDI!$Q$2:$Q$10000, "Live",
 [1]EDI!$P$2:$P$10000,"Production",
[1]EDI!$I$2:$I$10000,"Forms")</f>
        <v>1</v>
      </c>
      <c r="P9" s="8">
        <f>LARGE('Dates-Forms'!X4:X50,1)</f>
        <v>46176</v>
      </c>
      <c r="Q9" s="3">
        <f t="shared" si="1"/>
        <v>24</v>
      </c>
      <c r="R9" s="3">
        <f>COUNTIFS(
[1]EDI!$S$2:$S$10000,"Mark Albert",
[1]EDI!$L$2:$L$10000,"&lt;&gt;",
[1]EDI!$R$2:$R$10000,"&gt;="&amp;DATE(2025,1,1),
[1]EDI!$R$2:$R$10000,"&lt;"&amp;DATE(2026,1,1),
[1]EDI!$I$2:$I$10000,"EDI"
)</f>
        <v>38</v>
      </c>
      <c r="S9" s="3">
        <f>COUNTIFS(
[1]EDI!$S$2:$S$10000,"Mark Albert",
[1]EDI!$L$2:$L$10000,"&lt;&gt;",
[1]EDI!$R$2:$R$10000,"&gt;="&amp;DATE(2026,1,1),
[1]EDI!$I$2:$I$10000,"EDI"
)</f>
        <v>43</v>
      </c>
      <c r="AE9"/>
      <c r="AF9"/>
      <c r="AG9"/>
    </row>
    <row r="10" spans="1:78" x14ac:dyDescent="0.25">
      <c r="A10" s="4" t="s">
        <v>22</v>
      </c>
      <c r="B10" s="3"/>
      <c r="C10" s="3">
        <f t="shared" si="0"/>
        <v>6</v>
      </c>
      <c r="D10" s="3">
        <f>COUNTIFS([1]EDI!$S$2:$S$10000,"Marwan Tawfik",
[1]EDI!$Q$2:$Q$10000, "In Progress",
 [1]EDI!$N$2:$N$10000,"DataSet Validation",
 [1]EDI!$L$2:$L$10000,"",
[1]EDI!$I$2:$I$10000,"EDI")</f>
        <v>0</v>
      </c>
      <c r="E10" s="3">
        <f>COUNTIFS([1]EDI!$S$2:$S$10000,"Marwan Tawfik",
[1]EDI!$Q$2:$Q$10000, "In Progress",
 [1]EDI!$N$2:$N$10000,"Dataset Validation",
 [1]EDI!$L$2:$L$10000, "&lt;&gt;",
[1]EDI!$I$2:$I$10000,"EDI")</f>
        <v>0</v>
      </c>
      <c r="F10" s="3">
        <f>COUNTIFS([1]EDI!$S$2:$S$10000,"Marwan Tawfik",
[1]EDI!$Q$2:$Q$10000, "In Progress",
 [1]EDI!$N$2:$N$10000,"Mapping",
[1]EDI!$I$2:$I$10000,"EDI")</f>
        <v>0</v>
      </c>
      <c r="G10" s="3">
        <f>COUNTIFS([1]EDI!$S$2:$S$10000,"Marwan Tawfik",
[1]EDI!$Q$2:$Q$10000, "In Progress",
 [1]EDI!$N$2:$N$10000,"Testing",
 [1]EDI!$I$2:$I$10000,"EDI")</f>
        <v>6</v>
      </c>
      <c r="H10" s="3">
        <f>COUNTIFS([1]EDI!$S$2:$S$10000,"Marwan Tawfik",
[1]EDI!$Q$2:$Q$10000, "In Progress",
 [1]EDI!$N$2:$N$10000,"Ready For Production",
[1]EDI!$I$2:$I$10000,"EDI")</f>
        <v>0</v>
      </c>
      <c r="I10" s="8">
        <f>LARGE(Dates!I4:I50,1)</f>
        <v>46132</v>
      </c>
      <c r="J10" s="15"/>
      <c r="K10" s="3">
        <f>COUNTIFS([1]EDI!$S$2:$S$10000,"Marwan Tawfik",
[1]EDI!$Q$2:$Q$10000, "In Progress",
 [1]EDI!$I$2:$I$10000,"Forms")</f>
        <v>0</v>
      </c>
      <c r="L10" s="3" cm="1">
        <f t="array" ref="L10">SUM(COUNTIFS([1]EDI!$S$2:$S$10000,"Marwan Tawfik",
[1]EDI!$Q$2:$Q$10000,"In Progress",
[1]EDI!$N$2:$N$10000,{"Mapping","Dataset Validation"},
[1]EDI!$I$2:$I$10000,"Forms"))</f>
        <v>0</v>
      </c>
      <c r="M10" s="3">
        <f>COUNTIFS([1]EDI!$S$2:$S$10000,"Marwan Tawfik",
[1]EDI!$Q$2:$Q$10000, "In Progress",
 [1]EDI!$N$2:$N$10000,"Testing",
 [1]EDI!$I$2:$I$10000,"Forms")</f>
        <v>0</v>
      </c>
      <c r="N10" s="3">
        <f>COUNTIFS([1]EDI!$S$2:$S$10000,"Marwan Tawfik",
[1]EDI!$Q$2:$Q$10000, "In Progress",
 [1]EDI!$P$2:$P$10000,"Migration Testing",
[1]EDI!$I$2:$I$10000,"Forms")</f>
        <v>0</v>
      </c>
      <c r="O10" s="3">
        <f>COUNTIFS([1]EDI!$S$2:$S$10000,"Marwan Tawfik",
[1]EDI!$Q$2:$Q$10000, "Live",
 [1]EDI!$P$2:$P$10000,"Production",
[1]EDI!$I$2:$I$10000,"Forms")</f>
        <v>0</v>
      </c>
      <c r="P10" s="86"/>
      <c r="Q10" s="3">
        <f t="shared" si="1"/>
        <v>6</v>
      </c>
      <c r="R10" s="3">
        <f>COUNTIFS(
[1]EDI!$S$2:$S$10000,"Marwan Tawfik",
[1]EDI!$L$2:$L$10000,"&lt;&gt;",
[1]EDI!$R$2:$R$10000,"&gt;="&amp;DATE(2025,1,1),
[1]EDI!$R$2:$R$10000,"&lt;"&amp;DATE(2026,1,1),
[1]EDI!$I$2:$I$10000,"EDI"
)</f>
        <v>46</v>
      </c>
      <c r="S10" s="3">
        <f>COUNTIFS(
[1]EDI!$S$2:$S$10000,"Marwan Tawfik",
[1]EDI!$L$2:$L$10000,"&lt;&gt;",
[1]EDI!$R$2:$R$10000,"&gt;="&amp;DATE(2026,1,1),
[1]EDI!$I$2:$I$10000,"EDI"
)</f>
        <v>17</v>
      </c>
      <c r="AE10"/>
      <c r="AF10"/>
      <c r="AG10"/>
    </row>
    <row r="11" spans="1:78" x14ac:dyDescent="0.25">
      <c r="A11" s="33" t="s">
        <v>3</v>
      </c>
      <c r="B11" s="3"/>
      <c r="C11" s="42">
        <f t="shared" si="0"/>
        <v>1</v>
      </c>
      <c r="D11" s="42">
        <f>COUNTIFS([1]EDI!$S$2:$S$10000,"Mina Adel",
[1]EDI!$Q$2:$Q$10000, "In Progress",
 [1]EDI!$N$2:$N$10000,"DataSet Validation",
 [1]EDI!$L$2:$L$10000,"",
[1]EDI!$I$2:$I$10000,"EDI")</f>
        <v>0</v>
      </c>
      <c r="E11" s="42">
        <f>COUNTIFS([1]EDI!$S$2:$S$10000,"Mina Adel",
[1]EDI!$Q$2:$Q$10000, "In Progress",
 [1]EDI!$N$2:$N$10000,"Dataset Validation",
 [1]EDI!$L$2:$L$10000, "&lt;&gt;",
[1]EDI!$I$2:$I$10000,"EDI")</f>
        <v>0</v>
      </c>
      <c r="F11" s="42">
        <f>COUNTIFS([1]EDI!$S$2:$S$10000,"Mina Adel",
[1]EDI!$Q$2:$Q$10000, "In Progress",
 [1]EDI!$N$2:$N$10000,"Mapping",
[1]EDI!$I$2:$I$10000,"EDI")</f>
        <v>1</v>
      </c>
      <c r="G11" s="42">
        <f>COUNTIFS([1]EDI!$S$2:$S$10000,"Mina Adel",
[1]EDI!$Q$2:$Q$10000, "In Progress",
 [1]EDI!$N$2:$N$10000,"Testing",
 [1]EDI!$I$2:$I$10000,"EDI")</f>
        <v>0</v>
      </c>
      <c r="H11" s="42">
        <f>COUNTIFS([1]EDI!$S$2:$S$10000,"Mina Adel",
[1]EDI!$Q$2:$Q$10000, "In Progress",
 [1]EDI!$N$2:$N$10000,"Ready For Production",
[1]EDI!$I$2:$I$10000,"EDI")</f>
        <v>0</v>
      </c>
      <c r="I11" s="43">
        <f>LARGE(Dates!J4:J50,1)</f>
        <v>45249</v>
      </c>
      <c r="J11" s="61"/>
      <c r="K11" s="42">
        <f>COUNTIFS([1]EDI!$S$2:$S$10000,"Mina Adel",
[1]EDI!$Q$2:$Q$10000, "In Progress",
 [1]EDI!$I$2:$I$10000,"Forms")</f>
        <v>0</v>
      </c>
      <c r="L11" s="42" cm="1">
        <f t="array" ref="L11">SUM(COUNTIFS([1]EDI!$S$2:$S$10000,"Mina Adel",
[1]EDI!$Q$2:$Q$10000,"In Progress",
[1]EDI!$N$2:$N$10000,{"Mapping","Dataset Validation"},
[1]EDI!$I$2:$I$10000,"Forms"))</f>
        <v>0</v>
      </c>
      <c r="M11" s="42">
        <f>COUNTIFS([1]EDI!$S$2:$S$10000,"Mina Adel",
[1]EDI!$Q$2:$Q$10000, "In Progress",
 [1]EDI!$N$2:$N$10000,"Testing",
 [1]EDI!$I$2:$I$10000,"Forms")</f>
        <v>0</v>
      </c>
      <c r="N11" s="42">
        <f>COUNTIFS([1]EDI!$S$2:$S$10000,"Mina Adel",
[1]EDI!$Q$2:$Q$10000, "In Progress",
 [1]EDI!$P$2:$P$10000,"Migration Testing",
[1]EDI!$I$2:$I$10000,"Forms")</f>
        <v>0</v>
      </c>
      <c r="O11" s="42">
        <f>COUNTIFS([1]EDI!$S$2:$S$10000,"Mina Adel",
[1]EDI!$Q$2:$Q$10000, "Live",
 [1]EDI!$P$2:$P$10000,"Production",
[1]EDI!$I$2:$I$10000,"Forms")</f>
        <v>0</v>
      </c>
      <c r="P11" s="87"/>
      <c r="Q11" s="42">
        <f t="shared" si="1"/>
        <v>1</v>
      </c>
      <c r="R11" s="42">
        <f>COUNTIFS(
[1]EDI!$S$2:$S$10000,"Mina Adel",
[1]EDI!$L$2:$L$10000,"&lt;&gt;",
[1]EDI!$R$2:$R$10000,"&gt;="&amp;DATE(2025,1,1),
[1]EDI!$R$2:$R$10000,"&lt;"&amp;DATE(2026,1,1),
[1]EDI!$I$2:$I$10000,"EDI"
)</f>
        <v>14</v>
      </c>
      <c r="S11" s="42">
        <f>COUNTIFS(
[1]EDI!$S$2:$S$10000,"Mina Adel",
[1]EDI!$L$2:$L$10000,"&lt;&gt;",
[1]EDI!$R$2:$R$10000,"&gt;="&amp;DATE(2026,1,1),
[1]EDI!$I$2:$I$10000,"EDI"
)</f>
        <v>0</v>
      </c>
      <c r="AE11"/>
      <c r="AF11"/>
      <c r="AG11"/>
    </row>
    <row r="12" spans="1:78" x14ac:dyDescent="0.25">
      <c r="A12" s="33" t="s">
        <v>4</v>
      </c>
      <c r="B12" s="3"/>
      <c r="C12" s="42">
        <f t="shared" si="0"/>
        <v>0</v>
      </c>
      <c r="D12" s="42">
        <f>COUNTIFS([1]EDI!$S$2:$S$10000,"Mina George",
[1]EDI!$Q$2:$Q$10000, "In Progress",
 [1]EDI!$N$2:$N$10000,"DataSet Validation",
 [1]EDI!$L$2:$L$10000,"",
[1]EDI!$I$2:$I$10000,"EDI")</f>
        <v>0</v>
      </c>
      <c r="E12" s="42">
        <f>COUNTIFS([1]EDI!$S$2:$S$10000,"Mina George",
[1]EDI!$Q$2:$Q$10000, "In Progress",
 [1]EDI!$N$2:$N$10000,"Dataset Validation",
 [1]EDI!$L$2:$L$10000, "&lt;&gt;",
[1]EDI!$I$2:$I$10000,"EDI")</f>
        <v>0</v>
      </c>
      <c r="F12" s="42">
        <f>COUNTIFS([1]EDI!$S$2:$S$10000,"Mina George",
[1]EDI!$Q$2:$Q$10000, "In Progress",
 [1]EDI!$N$2:$N$10000,"Mapping",
[1]EDI!$I$2:$I$10000,"EDI")</f>
        <v>0</v>
      </c>
      <c r="G12" s="42">
        <f>COUNTIFS([1]EDI!$S$2:$S$10000,"Mina George",
[1]EDI!$Q$2:$Q$10000, "In Progress",
 [1]EDI!$N$2:$N$10000,"Testing",
 [1]EDI!$I$2:$I$10000,"EDI")</f>
        <v>0</v>
      </c>
      <c r="H12" s="42">
        <f>COUNTIFS([1]EDI!$S$2:$S$10000,"Mina George",
[1]EDI!$Q$2:$Q$10000, "In Progress",
 [1]EDI!$N$2:$N$10000,"Ready For Production",
[1]EDI!$I$2:$I$10000,"EDI")</f>
        <v>0</v>
      </c>
      <c r="I12" s="43" t="e">
        <f>LARGE(Dates!K4:K50,1)</f>
        <v>#NUM!</v>
      </c>
      <c r="J12" s="61"/>
      <c r="K12" s="42">
        <f>COUNTIFS([1]EDI!$S$2:$S$10000,"Mina George",
[1]EDI!$Q$2:$Q$10000, "In Progress",
 [1]EDI!$I$2:$I$10000,"Forms")</f>
        <v>0</v>
      </c>
      <c r="L12" s="42" cm="1">
        <f t="array" ref="L12">SUM(COUNTIFS([1]EDI!$S$2:$S$10000,"Mina George",
[1]EDI!$Q$2:$Q$10000,"In Progress",
[1]EDI!$N$2:$N$10000,{"Mapping","Dataset Validation"},
[1]EDI!$I$2:$I$10000,"Forms"))</f>
        <v>0</v>
      </c>
      <c r="M12" s="42">
        <f>COUNTIFS([1]EDI!$S$2:$S$10000,"Mina George",
[1]EDI!$Q$2:$Q$10000, "In Progress",
 [1]EDI!$N$2:$N$10000,"Testing",
 [1]EDI!$I$2:$I$10000,"Forms")</f>
        <v>0</v>
      </c>
      <c r="N12" s="42">
        <f>COUNTIFS([1]EDI!$S$2:$S$10000,"Mina George",
[1]EDI!$Q$2:$Q$10000, "In Progress",
 [1]EDI!$P$2:$P$10000,"Migration Testing",
[1]EDI!$I$2:$I$10000,"Forms")</f>
        <v>0</v>
      </c>
      <c r="O12" s="42">
        <f>COUNTIFS([1]EDI!$S$2:$S$10000,"Mina George",
[1]EDI!$Q$2:$Q$10000, "Live",
 [1]EDI!$P$2:$P$10000,"Production",
[1]EDI!$I$2:$I$10000,"Forms")</f>
        <v>0</v>
      </c>
      <c r="P12" s="87"/>
      <c r="Q12" s="42">
        <f t="shared" si="1"/>
        <v>0</v>
      </c>
      <c r="R12" s="42">
        <f>COUNTIFS(
[1]EDI!$S$2:$S$10000,"Mina George",
[1]EDI!$L$2:$L$10000,"&lt;&gt;",
[1]EDI!$R$2:$R$10000,"&gt;="&amp;DATE(2025,1,1),
[1]EDI!$R$2:$R$10000,"&lt;"&amp;DATE(2026,1,1),
[1]EDI!$I$2:$I$10000,"EDI"
)</f>
        <v>16</v>
      </c>
      <c r="S12" s="42">
        <f>COUNTIFS(
[1]EDI!$S$2:$S$10000,"Mina George",
[1]EDI!$L$2:$L$10000,"&lt;&gt;",
[1]EDI!$R$2:$R$10000,"&gt;="&amp;DATE(2026,1,1),
[1]EDI!$I$2:$I$10000,"EDI"
)</f>
        <v>0</v>
      </c>
      <c r="AE12"/>
      <c r="AF12"/>
      <c r="AG12"/>
    </row>
    <row r="13" spans="1:78" s="79" customFormat="1" x14ac:dyDescent="0.25">
      <c r="A13" s="33" t="s">
        <v>35</v>
      </c>
      <c r="B13" s="3"/>
      <c r="C13" s="42">
        <f t="shared" si="0"/>
        <v>0</v>
      </c>
      <c r="D13" s="42">
        <f>COUNTIFS([1]EDI!$S$2:$S$10000,"Karim Tarek",
[1]EDI!$Q$2:$Q$10000, "In Progress",
 [1]EDI!$N$2:$N$10000,"DataSet Validation",
 [1]EDI!$L$2:$L$10000,"",
[1]EDI!$I$2:$I$10000,"EDI")</f>
        <v>0</v>
      </c>
      <c r="E13" s="42">
        <f>COUNTIFS([1]EDI!$S$2:$S$10000,"Karim Tarek",
[1]EDI!$Q$2:$Q$10000, "In Progress",
 [1]EDI!$N$2:$N$10000,"Dataset Validation",
 [1]EDI!$L$2:$L$10000, "&lt;&gt;",
[1]EDI!$I$2:$I$10000,"EDI")</f>
        <v>0</v>
      </c>
      <c r="F13" s="42">
        <f>COUNTIFS([1]EDI!$S$2:$S$10000,"Karim Tarek",
[1]EDI!$Q$2:$Q$10000, "In Progress",
 [1]EDI!$N$2:$N$10000,"Mapping",
[1]EDI!$I$2:$I$10000,"EDI")</f>
        <v>0</v>
      </c>
      <c r="G13" s="42">
        <f>COUNTIFS([1]EDI!$S$2:$S$10000,"Karim Tarek",
[1]EDI!$Q$2:$Q$10000, "In Progress",
 [1]EDI!$N$2:$N$10000,"Testing",
 [1]EDI!$I$2:$I$10000,"EDI")</f>
        <v>0</v>
      </c>
      <c r="H13" s="42">
        <f>COUNTIFS([1]EDI!$S$2:$S$10000,"Karim Tarek",
[1]EDI!$Q$2:$Q$10000, "In Progress",
 [1]EDI!$N$2:$N$10000,"Ready For Production",
[1]EDI!$I$2:$I$10000,"EDI")</f>
        <v>0</v>
      </c>
      <c r="I13" s="43">
        <f>LARGE(Dates!S4:S50,1)</f>
        <v>46198</v>
      </c>
      <c r="J13" s="61"/>
      <c r="K13" s="42">
        <f>COUNTIFS([1]EDI!$S$2:$S$10000,"Karim Tarek",
[1]EDI!$Q$2:$Q$10000, "In Progress",
 [1]EDI!$I$2:$I$10000,"Forms")</f>
        <v>1</v>
      </c>
      <c r="L13" s="42" cm="1">
        <f t="array" ref="L13">SUM(COUNTIFS([1]EDI!$S$2:$S$10000,"Karim Tarek",
[1]EDI!$Q$2:$Q$10000,"In Progress",
[1]EDI!$N$2:$N$10000,{"Mapping","Dataset Validation"},
[1]EDI!$I$2:$I$10000,"Forms"))</f>
        <v>0</v>
      </c>
      <c r="M13" s="42">
        <f>COUNTIFS([1]EDI!$S$2:$S$10000,"Karim Tarek",
[1]EDI!$Q$2:$Q$10000, "In Progress",
 [1]EDI!$N$2:$N$10000,"Testing",
 [1]EDI!$I$2:$I$10000,"Forms")</f>
        <v>0</v>
      </c>
      <c r="N13" s="42">
        <f>COUNTIFS([1]EDI!$S$2:$S$10000,"Karim Tarek",
[1]EDI!$Q$2:$Q$10000, "In Progress",
 [1]EDI!$P$2:$P$10000,"Migration Testing",
[1]EDI!$I$2:$I$10000,"Forms")</f>
        <v>1</v>
      </c>
      <c r="O13" s="42">
        <f>COUNTIFS([1]EDI!$S$2:$S$10000,"Karim Tarek",
[1]EDI!$Q$2:$Q$10000, "Live",
 [1]EDI!$P$2:$P$10000,"Production",
[1]EDI!$I$2:$I$10000,"Forms")</f>
        <v>0</v>
      </c>
      <c r="P13" s="43">
        <f>LARGE('Dates-Forms'!S4:S50,1)</f>
        <v>46033</v>
      </c>
      <c r="Q13" s="42">
        <f t="shared" si="1"/>
        <v>1</v>
      </c>
      <c r="R13" s="42">
        <f>COUNTIFS(
[1]EDI!$S$2:$S$10000,"Karim Tarek",
[1]EDI!$L$2:$L$10000,"&lt;&gt;",
[1]EDI!$R$2:$R$10000,"&gt;="&amp;DATE(2025,1,1),
[1]EDI!$R$2:$R$10000,"&lt;"&amp;DATE(2026,1,1),
[1]EDI!$I$2:$I$10000,"EDI"
)</f>
        <v>40</v>
      </c>
      <c r="S13" s="42">
        <f>COUNTIFS(
[1]EDI!$S$2:$S$10000,"Karim Tarek",
[1]EDI!$L$2:$L$10000,"&lt;&gt;",
[1]EDI!$R$2:$R$10000,"&gt;="&amp;DATE(2026,1,1),
[1]EDI!$I$2:$I$10000,"EDI"
)</f>
        <v>1</v>
      </c>
      <c r="T13"/>
      <c r="U13"/>
      <c r="V13"/>
      <c r="W13" s="9"/>
      <c r="X13" s="9"/>
      <c r="Y13" s="9"/>
      <c r="Z13" s="9"/>
      <c r="AA13"/>
      <c r="AB13"/>
      <c r="AC13"/>
      <c r="AD13"/>
      <c r="AE13"/>
      <c r="AF13"/>
      <c r="AG13"/>
      <c r="AH13"/>
      <c r="AI13" s="9"/>
      <c r="AJ13" s="9"/>
      <c r="AK13" s="9"/>
      <c r="AL13" s="9"/>
      <c r="AM13" s="9"/>
      <c r="AN13" s="9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</row>
    <row r="14" spans="1:78" x14ac:dyDescent="0.25">
      <c r="A14" s="4" t="s">
        <v>23</v>
      </c>
      <c r="B14" s="3"/>
      <c r="C14" s="3">
        <f t="shared" si="0"/>
        <v>25</v>
      </c>
      <c r="D14" s="3">
        <f>COUNTIFS([1]EDI!$S$2:$S$10000,"Mirna Azmy",
[1]EDI!$Q$2:$Q$10000, "In Progress",
 [1]EDI!$N$2:$N$10000,"DataSet Validation",
 [1]EDI!$L$2:$L$10000,"",
[1]EDI!$I$2:$I$10000,"EDI")</f>
        <v>1</v>
      </c>
      <c r="E14" s="3">
        <f>COUNTIFS([1]EDI!$S$2:$S$10000,"Mirna Azmy",
[1]EDI!$Q$2:$Q$10000, "In Progress",
 [1]EDI!$N$2:$N$10000,"Dataset Validation",
 [1]EDI!$L$2:$L$10000, "&lt;&gt;",
[1]EDI!$I$2:$I$10000,"EDI")</f>
        <v>1</v>
      </c>
      <c r="F14" s="3">
        <f>COUNTIFS([1]EDI!$S$2:$S$10000,"Mirna Azmy",
[1]EDI!$Q$2:$Q$10000, "In Progress",
 [1]EDI!$N$2:$N$10000,"Mapping",
[1]EDI!$I$2:$I$10000,"EDI")</f>
        <v>6</v>
      </c>
      <c r="G14" s="3">
        <f>COUNTIFS([1]EDI!$S$2:$S$10000,"Mirna Azmy",
[1]EDI!$Q$2:$Q$10000, "In Progress",
 [1]EDI!$N$2:$N$10000,"Testing",
 [1]EDI!$I$2:$I$10000,"EDI")</f>
        <v>17</v>
      </c>
      <c r="H14" s="3">
        <f>COUNTIFS([1]EDI!$S$2:$S$10000,"Mirna Azmy",
[1]EDI!$Q$2:$Q$10000, "In Progress",
 [1]EDI!$N$2:$N$10000,"Ready For Production",
[1]EDI!$I$2:$I$10000,"EDI")</f>
        <v>3</v>
      </c>
      <c r="I14" s="8">
        <f>LARGE(Dates!M4:M50,1)</f>
        <v>46215</v>
      </c>
      <c r="J14" s="15"/>
      <c r="K14" s="3">
        <f>COUNTIFS([1]EDI!$S$2:$S$10000,"Mirna Azmy",
[1]EDI!$Q$2:$Q$10000, "In Progress",
 [1]EDI!$I$2:$I$10000,"Forms")</f>
        <v>0</v>
      </c>
      <c r="L14" s="3" cm="1">
        <f t="array" ref="L14">SUM(COUNTIFS([1]EDI!$S$2:$S$10000,"Mirna Azmy",
[1]EDI!$Q$2:$Q$10000,"In Progress",
[1]EDI!$N$2:$N$10000,{"Mapping","Dataset Validation"},
[1]EDI!$I$2:$I$10000,"Forms"))</f>
        <v>0</v>
      </c>
      <c r="M14" s="3">
        <f>COUNTIFS([1]EDI!$S$2:$S$10000,"Mirna Azmy",
[1]EDI!$Q$2:$Q$10000, "In Progress",
 [1]EDI!$N$2:$N$10000,"Testing",
 [1]EDI!$I$2:$I$10000,"Forms")</f>
        <v>0</v>
      </c>
      <c r="N14" s="3">
        <f>COUNTIFS([1]EDI!$S$2:$S$10000,"Mirna Azmy",
[1]EDI!$Q$2:$Q$10000, "In Progress",
 [1]EDI!$P$2:$P$10000,"Migration Testing",
[1]EDI!$I$2:$I$10000,"Forms")</f>
        <v>0</v>
      </c>
      <c r="O14" s="3">
        <f>COUNTIFS([1]EDI!$S$2:$S$10000,"Mirna Azmy",
[1]EDI!$Q$2:$Q$10000, "Live",
 [1]EDI!$P$2:$P$10000,"Production",
[1]EDI!$I$2:$I$10000,"Forms")</f>
        <v>2</v>
      </c>
      <c r="P14" s="86"/>
      <c r="Q14" s="3">
        <f t="shared" si="1"/>
        <v>25</v>
      </c>
      <c r="R14" s="3">
        <f>COUNTIFS(
[1]EDI!$S$2:$S$10000,"Mirna Azmy",
[1]EDI!$L$2:$L$10000,"&lt;&gt;",
[1]EDI!$R$2:$R$10000,"&gt;="&amp;DATE(2025,1,1),
[1]EDI!$R$2:$R$10000,"&lt;"&amp;DATE(2026,1,1),
[1]EDI!$I$2:$I$10000,"EDI"
)</f>
        <v>68</v>
      </c>
      <c r="S14" s="3">
        <f>COUNTIFS(
[1]EDI!$S$2:$S$10000,"Mirna Azmy",
[1]EDI!$L$2:$L$10000,"&lt;&gt;",
[1]EDI!$R$2:$R$10000,"&gt;="&amp;DATE(2026,1,1),
[1]EDI!$I$2:$I$10000,"EDI"
)</f>
        <v>56</v>
      </c>
      <c r="AE14"/>
      <c r="AF14"/>
      <c r="AG14"/>
    </row>
    <row r="15" spans="1:78" x14ac:dyDescent="0.25">
      <c r="A15" s="4" t="s">
        <v>26</v>
      </c>
      <c r="B15" s="3"/>
      <c r="C15" s="3">
        <f t="shared" si="0"/>
        <v>21</v>
      </c>
      <c r="D15" s="3">
        <f>COUNTIFS([1]EDI!$S$2:$S$10000,"Omnia Abdelaziz",
[1]EDI!$Q$2:$Q$10000, "In Progress",
 [1]EDI!$N$2:$N$10000,"DataSet Validation",
 [1]EDI!$L$2:$L$10000,"",
[1]EDI!$I$2:$I$10000,"EDI")</f>
        <v>0</v>
      </c>
      <c r="E15" s="3">
        <f>COUNTIFS([1]EDI!$S$2:$S$10000,"Omnia Abdelaziz",
[1]EDI!$Q$2:$Q$10000, "In Progress",
 [1]EDI!$N$2:$N$10000,"Dataset Validation",
 [1]EDI!$L$2:$L$10000, "&lt;&gt;",
[1]EDI!$I$2:$I$10000,"EDI")</f>
        <v>0</v>
      </c>
      <c r="F15" s="3">
        <f>COUNTIFS([1]EDI!$S$2:$S$10000,"Omnia Abdelaziz",
[1]EDI!$Q$2:$Q$10000, "In Progress",
 [1]EDI!$N$2:$N$10000,"Mapping",
[1]EDI!$I$2:$I$10000,"EDI")</f>
        <v>7</v>
      </c>
      <c r="G15" s="3">
        <f>COUNTIFS([1]EDI!$S$2:$S$10000,"Omnia Abdelaziz",
[1]EDI!$Q$2:$Q$10000, "In Progress",
 [1]EDI!$N$2:$N$10000,"Testing",
 [1]EDI!$I$2:$I$10000,"EDI")</f>
        <v>14</v>
      </c>
      <c r="H15" s="3">
        <f>COUNTIFS([1]EDI!$S$2:$S$10000,"Omnia Abdelaziz",
[1]EDI!$Q$2:$Q$10000, "In Progress",
 [1]EDI!$N$2:$N$10000,"Ready For Production",
[1]EDI!$I$2:$I$10000,"EDI")</f>
        <v>3</v>
      </c>
      <c r="I15" s="8">
        <f>LARGE(Dates!P4:P50,1)</f>
        <v>46215</v>
      </c>
      <c r="J15" s="15"/>
      <c r="K15" s="3">
        <f>COUNTIFS([1]EDI!$S$2:$S$10000,"Omnia Abdelaziz",
[1]EDI!$Q$2:$Q$10000, "In Progress",
 [1]EDI!$I$2:$I$10000,"Forms")</f>
        <v>0</v>
      </c>
      <c r="L15" s="3" cm="1">
        <f t="array" ref="L15">SUM(COUNTIFS([1]EDI!$S$2:$S$10000,"Omnia Abdelaziz",
[1]EDI!$Q$2:$Q$10000,"In Progress",
[1]EDI!$N$2:$N$10000,{"Mapping","Dataset Validation"},
[1]EDI!$I$2:$I$10000,"Forms"))</f>
        <v>0</v>
      </c>
      <c r="M15" s="3">
        <f>COUNTIFS([1]EDI!$S$2:$S$10000,"Omnia Abdelaziz",
[1]EDI!$Q$2:$Q$10000, "In Progress",
 [1]EDI!$N$2:$N$10000,"Testing",
 [1]EDI!$I$2:$I$10000,"Forms")</f>
        <v>0</v>
      </c>
      <c r="N15" s="3">
        <f>COUNTIFS([1]EDI!$S$2:$S$10000,"Omnia Abdelaziz",
[1]EDI!$Q$2:$Q$10000, "In Progress",
 [1]EDI!$P$2:$P$10000,"Migration Testing",
[1]EDI!$I$2:$I$10000,"Forms")</f>
        <v>0</v>
      </c>
      <c r="O15" s="3">
        <f>COUNTIFS([1]EDI!$S$2:$S$10000,"Omnia Abdelaziz",
[1]EDI!$Q$2:$Q$10000, "Live",
 [1]EDI!$P$2:$P$10000,"Production",
[1]EDI!$I$2:$I$10000,"Forms")</f>
        <v>3</v>
      </c>
      <c r="P15" s="86"/>
      <c r="Q15" s="3">
        <f t="shared" si="1"/>
        <v>21</v>
      </c>
      <c r="R15" s="3">
        <f>COUNTIFS(
[1]EDI!$S$2:$S$10000,"Omnia Abdelaziz",
[1]EDI!$L$2:$L$10000,"&lt;&gt;",
[1]EDI!$R$2:$R$10000,"&gt;="&amp;DATE(2025,1,1),
[1]EDI!$R$2:$R$10000,"&lt;"&amp;DATE(2026,1,1),
[1]EDI!$I$2:$I$10000,"EDI"
)</f>
        <v>61</v>
      </c>
      <c r="S15" s="3">
        <f>COUNTIFS(
[1]EDI!$S$2:$S$10000,"Omnia Abdelaziz",
[1]EDI!$L$2:$L$10000,"&lt;&gt;",
[1]EDI!$R$2:$R$10000,"&gt;="&amp;DATE(2026,1,1),
[1]EDI!$I$2:$I$10000,"EDI"
)</f>
        <v>57</v>
      </c>
      <c r="AE15"/>
      <c r="AF15"/>
      <c r="AG15"/>
      <c r="AH15"/>
    </row>
    <row r="16" spans="1:78" x14ac:dyDescent="0.25">
      <c r="A16" s="4" t="s">
        <v>27</v>
      </c>
      <c r="B16" s="3"/>
      <c r="C16" s="3">
        <f t="shared" si="0"/>
        <v>23</v>
      </c>
      <c r="D16" s="3">
        <f>COUNTIFS([1]EDI!$S$2:$S$10000,"Reem Radwan",
[1]EDI!$Q$2:$Q$10000, "In Progress",
 [1]EDI!$N$2:$N$10000,"DataSet Validation",
 [1]EDI!$L$2:$L$10000,"",
[1]EDI!$I$2:$I$10000,"EDI")</f>
        <v>1</v>
      </c>
      <c r="E16" s="3">
        <f>COUNTIFS([1]EDI!$S$2:$S$10000,"Reem Radwan",
[1]EDI!$Q$2:$Q$10000, "In Progress",
 [1]EDI!$N$2:$N$10000,"Dataset Validation",
 [1]EDI!$L$2:$L$10000, "&lt;&gt;",
[1]EDI!$I$2:$I$10000,"EDI")</f>
        <v>0</v>
      </c>
      <c r="F16" s="3">
        <f>COUNTIFS([1]EDI!$S$2:$S$10000,"Reem Radwan",
[1]EDI!$Q$2:$Q$10000, "In Progress",
 [1]EDI!$N$2:$N$10000,"Mapping",
[1]EDI!$I$2:$I$10000,"EDI")</f>
        <v>6</v>
      </c>
      <c r="G16" s="3">
        <f>COUNTIFS([1]EDI!$S$2:$S$10000,"Reem Radwan",
[1]EDI!$Q$2:$Q$10000, "In Progress",
 [1]EDI!$N$2:$N$10000,"Testing",
 [1]EDI!$I$2:$I$10000,"EDI")</f>
        <v>16</v>
      </c>
      <c r="H16" s="3">
        <f>COUNTIFS([1]EDI!$S$2:$S$10000,"Reem Radwan",
[1]EDI!$Q$2:$Q$10000, "In Progress",
 [1]EDI!$N$2:$N$10000,"Ready For Production",
[1]EDI!$I$2:$I$10000,"EDI")</f>
        <v>0</v>
      </c>
      <c r="I16" s="8">
        <f>LARGE(Dates!Q4:Q50,1)</f>
        <v>46215</v>
      </c>
      <c r="J16" s="15"/>
      <c r="K16" s="3">
        <f>COUNTIFS([1]EDI!$S$2:$S$10000,"Reem Radwan",
[1]EDI!$Q$2:$Q$10000, "In Progress",
 [1]EDI!$I$2:$I$10000,"Forms")</f>
        <v>4</v>
      </c>
      <c r="L16" s="3" cm="1">
        <f t="array" ref="L16">SUM(COUNTIFS([1]EDI!$S$2:$S$10000,"Reem Radwan",
[1]EDI!$Q$2:$Q$10000,"In Progress",
[1]EDI!$N$2:$N$10000,{"Mapping","Dataset Validation"},
[1]EDI!$I$2:$I$10000,"Forms"))</f>
        <v>1</v>
      </c>
      <c r="M16" s="3">
        <f>COUNTIFS([1]EDI!$S$2:$S$10000,"Reem Radwan",
[1]EDI!$Q$2:$Q$10000, "In Progress",
 [1]EDI!$N$2:$N$10000,"Testing",
 [1]EDI!$I$2:$I$10000,"Forms")</f>
        <v>1</v>
      </c>
      <c r="N16" s="3">
        <f>COUNTIFS([1]EDI!$S$2:$S$10000,"Reem Radwan",
[1]EDI!$Q$2:$Q$10000, "In Progress",
 [1]EDI!$P$2:$P$10000,"Migration Testing",
[1]EDI!$I$2:$I$10000,"Forms")</f>
        <v>1</v>
      </c>
      <c r="O16" s="3">
        <f>COUNTIFS([1]EDI!$S$2:$S$10000,"Reem Radwan",
[1]EDI!$Q$2:$Q$10000, "Live",
 [1]EDI!$P$2:$P$10000,"Production",
[1]EDI!$I$2:$I$10000,"Forms")</f>
        <v>4</v>
      </c>
      <c r="P16" s="8">
        <f>LARGE('Dates-Forms'!Q4:Q50,1)</f>
        <v>46188</v>
      </c>
      <c r="Q16" s="3">
        <f t="shared" ref="Q16" si="2">C16+K16</f>
        <v>27</v>
      </c>
      <c r="R16" s="3">
        <f>COUNTIFS(
[1]EDI!$S$2:$S$10000,"Reem Radwan",
[1]EDI!$L$2:$L$10000,"&lt;&gt;",
[1]EDI!$R$2:$R$10000,"&gt;="&amp;DATE(2025,1,1),
[1]EDI!$R$2:$R$10000,"&lt;"&amp;DATE(2026,1,1),
[1]EDI!$I$2:$I$10000,"EDI"
)</f>
        <v>51</v>
      </c>
      <c r="S16" s="3">
        <f>COUNTIFS(
[1]EDI!$S$2:$S$10000,"Reem Radwan",
[1]EDI!$L$2:$L$10000,"&lt;&gt;",
[1]EDI!$R$2:$R$10000,"&gt;="&amp;DATE(2026,1,1),
[1]EDI!$I$2:$I$10000,"EDI"
)</f>
        <v>44</v>
      </c>
      <c r="AE16"/>
      <c r="AF16"/>
      <c r="AG16"/>
      <c r="AH16"/>
    </row>
    <row r="17" spans="1:40" x14ac:dyDescent="0.25">
      <c r="A17" s="4" t="s">
        <v>29</v>
      </c>
      <c r="B17" s="3"/>
      <c r="C17" s="3">
        <f t="shared" si="0"/>
        <v>22</v>
      </c>
      <c r="D17" s="3">
        <f>COUNTIFS([1]EDI!$S$2:$S$10000,"Zeyad khaled",
[1]EDI!$Q$2:$Q$10000, "In Progress",
 [1]EDI!$N$2:$N$10000,"DataSet Validation",
 [1]EDI!$L$2:$L$10000,"",
[1]EDI!$I$2:$I$10000,"EDI")</f>
        <v>1</v>
      </c>
      <c r="E17" s="3">
        <f>COUNTIFS([1]EDI!$S$2:$S$10000,"Zeyad khaled",
[1]EDI!$Q$2:$Q$10000, "In Progress",
 [1]EDI!$N$2:$N$10000,"Dataset Validation",
 [1]EDI!$L$2:$L$10000, "&lt;&gt;",
[1]EDI!$I$2:$I$10000,"EDI")</f>
        <v>0</v>
      </c>
      <c r="F17" s="3">
        <f>COUNTIFS([1]EDI!$S$2:$S$10000,"Zeyad khaled",
[1]EDI!$Q$2:$Q$10000, "In Progress",
 [1]EDI!$N$2:$N$10000,"Mapping",
[1]EDI!$I$2:$I$10000,"EDI")</f>
        <v>4</v>
      </c>
      <c r="G17" s="3">
        <f>COUNTIFS([1]EDI!$S$2:$S$10000,"Zeyad khaled",
[1]EDI!$Q$2:$Q$10000, "In Progress",
 [1]EDI!$N$2:$N$10000,"Testing",
 [1]EDI!$I$2:$I$10000,"EDI")</f>
        <v>17</v>
      </c>
      <c r="H17" s="3">
        <f>COUNTIFS([1]EDI!$S$2:$S$10000,"Zeyad khaled",
[1]EDI!$Q$2:$Q$10000, "In Progress",
 [1]EDI!$N$2:$N$10000,"Ready For Production",
[1]EDI!$I$2:$I$10000,"EDI")</f>
        <v>2</v>
      </c>
      <c r="I17" s="8">
        <f>LARGE(Dates!T4:T50,1)</f>
        <v>46215</v>
      </c>
      <c r="J17" s="15"/>
      <c r="K17" s="3">
        <f>COUNTIFS([1]EDI!$S$2:$S$10000,"Zeyad khaled",
[1]EDI!$Q$2:$Q$10000, "In Progress",
 [1]EDI!$I$2:$I$10000,"Forms")</f>
        <v>0</v>
      </c>
      <c r="L17" s="3" cm="1">
        <f t="array" ref="L17">SUM(COUNTIFS([1]EDI!$S$2:$S$10000,"Zeyad khaled",
[1]EDI!$Q$2:$Q$10000,"In Progress",
[1]EDI!$N$2:$N$10000,{"Mapping","Dataset Validation"},
[1]EDI!$I$2:$I$10000,"Forms"))</f>
        <v>0</v>
      </c>
      <c r="M17" s="3">
        <f>COUNTIFS([1]EDI!$S$2:$S$10000,"Zeyad khaled",
[1]EDI!$Q$2:$Q$10000, "In Progress",
 [1]EDI!$N$2:$N$10000,"Testing",
 [1]EDI!$I$2:$I$10000,"Forms")</f>
        <v>0</v>
      </c>
      <c r="N17" s="3">
        <f>COUNTIFS([1]EDI!$S$2:$S$10000,"Zeyad khaled",
[1]EDI!$Q$2:$Q$10000, "In Progress",
 [1]EDI!$P$2:$P$10000,"Migration Testing",
[1]EDI!$I$2:$I$10000,"Forms")</f>
        <v>0</v>
      </c>
      <c r="O17" s="3">
        <f>COUNTIFS([1]EDI!$S$2:$S$10000,"Zeyad khaled",
[1]EDI!$Q$2:$Q$10000, "Live",
 [1]EDI!$P$2:$P$10000,"Production",
[1]EDI!$I$2:$I$10000,"Forms")</f>
        <v>0</v>
      </c>
      <c r="P17" s="8"/>
      <c r="Q17" s="3">
        <f t="shared" ref="Q17" si="3">C17+K17</f>
        <v>22</v>
      </c>
      <c r="R17" s="3">
        <f>COUNTIFS(
[1]EDI!$S$2:$S$10000,"Zeyad khaled",
[1]EDI!$L$2:$L$10000,"&lt;&gt;",
[1]EDI!$R$2:$R$10000,"&gt;="&amp;DATE(2025,1,1),
[1]EDI!$R$2:$R$10000,"&lt;"&amp;DATE(2026,1,1),
[1]EDI!$I$2:$I$10000,"EDI"
)</f>
        <v>51</v>
      </c>
      <c r="S17" s="3">
        <f>COUNTIFS(
[1]EDI!$S$2:$S$10000,"Zeyad khaled",
[1]EDI!$L$2:$L$10000,"&lt;&gt;",
[1]EDI!$R$2:$R$10000,"&gt;="&amp;DATE(2026,1,1),
[1]EDI!$I$2:$I$10000,"EDI"
)</f>
        <v>48</v>
      </c>
      <c r="AA17"/>
      <c r="AB17"/>
      <c r="AC17"/>
      <c r="AD17"/>
      <c r="AE17"/>
      <c r="AF17"/>
      <c r="AG17"/>
      <c r="AH17"/>
    </row>
    <row r="18" spans="1:40" x14ac:dyDescent="0.25">
      <c r="A18" s="4" t="s">
        <v>81</v>
      </c>
      <c r="B18" s="3"/>
      <c r="C18" s="3">
        <f t="shared" ref="C18" si="4">SUM(D18:G18)</f>
        <v>12</v>
      </c>
      <c r="D18" s="3">
        <f>COUNTIFS([1]EDI!$S$2:$S$10000,"Giulie Alaa",
[1]EDI!$Q$2:$Q$10000, "In Progress",
 [1]EDI!$N$2:$N$10000,"DataSet Validation",
 [1]EDI!$L$2:$L$10000,"",
[1]EDI!$I$2:$I$10000,"EDI")</f>
        <v>0</v>
      </c>
      <c r="E18" s="3">
        <f>COUNTIFS([1]EDI!$S$2:$S$10000,"Giulie Alaa",
[1]EDI!$Q$2:$Q$10000, "In Progress",
 [1]EDI!$N$2:$N$10000,"Dataset Validation",
 [1]EDI!$L$2:$L$10000, "&lt;&gt;",
[1]EDI!$I$2:$I$10000,"EDI")</f>
        <v>0</v>
      </c>
      <c r="F18" s="3">
        <f>COUNTIFS([1]EDI!$S$2:$S$10000,"Giulie Alaa",
[1]EDI!$Q$2:$Q$10000, "In Progress",
 [1]EDI!$N$2:$N$10000,"Mapping",
[1]EDI!$I$2:$I$10000,"EDI")</f>
        <v>3</v>
      </c>
      <c r="G18" s="3">
        <f>COUNTIFS([1]EDI!$S$2:$S$10000,"Giulie Alaa",
[1]EDI!$Q$2:$Q$10000, "In Progress",
 [1]EDI!$N$2:$N$10000,"Testing",
 [1]EDI!$I$2:$I$10000,"EDI")</f>
        <v>9</v>
      </c>
      <c r="H18" s="3">
        <f>COUNTIFS([1]EDI!$S$2:$S$10000,"Giulie Alaa",
[1]EDI!$Q$2:$Q$10000, "In Progress",
 [1]EDI!$N$2:$N$10000,"Ready For Production",
[1]EDI!$I$2:$I$10000,"EDI")</f>
        <v>0</v>
      </c>
      <c r="I18" s="8">
        <f>LARGE(Dates!AB4:AB50,1)</f>
        <v>46215</v>
      </c>
      <c r="J18" s="15"/>
      <c r="K18" s="3">
        <f>COUNTIFS([1]EDI!$S$2:$S$10000,"Giulie Alaa",
[1]EDI!$Q$2:$Q$10000, "In Progress",
 [1]EDI!$I$2:$I$10000,"Forms")</f>
        <v>0</v>
      </c>
      <c r="L18" s="3" cm="1">
        <f t="array" ref="L18">SUM(COUNTIFS([1]EDI!$S$2:$S$10000,"Giulie Alaa",
[1]EDI!$Q$2:$Q$10000,"In Progress",
[1]EDI!$N$2:$N$10000,{"Mapping","Dataset Validation"},
[1]EDI!$I$2:$I$10000,"Forms"))</f>
        <v>0</v>
      </c>
      <c r="M18" s="3">
        <f>COUNTIFS([1]EDI!$S$2:$S$10000,"Giulie Alaa",
[1]EDI!$Q$2:$Q$10000, "In Progress",
 [1]EDI!$N$2:$N$10000,"Testing",
 [1]EDI!$I$2:$I$10000,"Forms")</f>
        <v>0</v>
      </c>
      <c r="N18" s="3">
        <f>COUNTIFS([1]EDI!$S$2:$S$10000,"Giulie Alaa",
[1]EDI!$Q$2:$Q$10000, "In Progress",
 [1]EDI!$P$2:$P$10000,"Migration Testing",
[1]EDI!$I$2:$I$10000,"Forms")</f>
        <v>0</v>
      </c>
      <c r="O18" s="84">
        <f>COUNTIFS([1]EDI!$S$2:$S$10000,"Giulie Alaa",
[1]EDI!$Q$2:$Q$10000, "Live",
 [1]EDI!$P$2:$P$10000,"Production",
[1]EDI!$I$2:$I$10000,"Forms")</f>
        <v>0</v>
      </c>
      <c r="P18" s="85"/>
      <c r="Q18" s="3">
        <f t="shared" ref="Q18" si="5">C18+K18</f>
        <v>12</v>
      </c>
      <c r="R18" s="3">
        <f>COUNTIFS(
[1]EDI!$S$2:$S$10000,"Giulie Alaa",
[1]EDI!$L$2:$L$10000,"&lt;&gt;",
[1]EDI!$R$2:$R$10000,"&gt;="&amp;DATE(2025,1,1),
[1]EDI!$R$2:$R$10000,"&lt;"&amp;DATE(2026,1,1),
[1]EDI!$I$2:$I$10000,"EDI"
)</f>
        <v>0</v>
      </c>
      <c r="S18" s="3">
        <f>COUNTIFS(
[1]EDI!$S$2:$S$10000,"Giulie Alaa",
[1]EDI!$L$2:$L$10000,"&lt;&gt;",
[1]EDI!$R$2:$R$10000,"&gt;="&amp;DATE(2026,1,1),
[1]EDI!$I$2:$I$10000,"EDI"
)</f>
        <v>15</v>
      </c>
      <c r="AB18"/>
      <c r="AC18"/>
      <c r="AD18"/>
      <c r="AE18"/>
      <c r="AF18"/>
      <c r="AG18"/>
      <c r="AH18"/>
    </row>
    <row r="19" spans="1:40" x14ac:dyDescent="0.25">
      <c r="A19" s="4" t="s">
        <v>82</v>
      </c>
      <c r="B19" s="3"/>
      <c r="C19" s="3">
        <f t="shared" ref="C19:C20" si="6">SUM(D19:G19)</f>
        <v>9</v>
      </c>
      <c r="D19" s="3">
        <f>COUNTIFS([1]EDI!$S$2:$S$10000,"Poula Moheb",
[1]EDI!$Q$2:$Q$10000, "In Progress",
 [1]EDI!$N$2:$N$10000,"DataSet Validation",
 [1]EDI!$L$2:$L$10000,"",
[1]EDI!$I$2:$I$10000,"EDI")</f>
        <v>0</v>
      </c>
      <c r="E19" s="3">
        <f>COUNTIFS([1]EDI!$S$2:$S$10000,"Poula Moheb",
[1]EDI!$Q$2:$Q$10000, "In Progress",
 [1]EDI!$N$2:$N$10000,"Dataset Validation",
 [1]EDI!$L$2:$L$10000, "&lt;&gt;",
[1]EDI!$I$2:$I$10000,"EDI")</f>
        <v>0</v>
      </c>
      <c r="F19" s="3">
        <f>COUNTIFS([1]EDI!$S$2:$S$10000,"Poula Moheb",
[1]EDI!$Q$2:$Q$10000, "In Progress",
 [1]EDI!$N$2:$N$10000,"Mapping",
[1]EDI!$I$2:$I$10000,"EDI")</f>
        <v>1</v>
      </c>
      <c r="G19" s="3">
        <f>COUNTIFS([1]EDI!$S$2:$S$10000,"Poula Moheb",
[1]EDI!$Q$2:$Q$10000, "In Progress",
 [1]EDI!$N$2:$N$10000,"Testing",
 [1]EDI!$I$2:$I$10000,"EDI")</f>
        <v>8</v>
      </c>
      <c r="H19" s="3">
        <f>COUNTIFS([1]EDI!$S$2:$S$10000,"Poula Moheb",
[1]EDI!$Q$2:$Q$10000, "In Progress",
 [1]EDI!$N$2:$N$10000,"Ready For Production",
[1]EDI!$I$2:$I$10000,"EDI")</f>
        <v>0</v>
      </c>
      <c r="I19" s="8">
        <f>LARGE(Dates!AC4:AC50,1)</f>
        <v>46215</v>
      </c>
      <c r="J19" s="15"/>
      <c r="K19" s="3">
        <f>COUNTIFS([1]EDI!$S$2:$S$10000,"Poula Moheb",
[1]EDI!$Q$2:$Q$10000, "In Progress",
 [1]EDI!$I$2:$I$10000,"Forms")</f>
        <v>0</v>
      </c>
      <c r="L19" s="3" cm="1">
        <f t="array" ref="L19">SUM(COUNTIFS([1]EDI!$S$2:$S$10000,"Poula Moheb",
[1]EDI!$Q$2:$Q$10000,"In Progress",
[1]EDI!$N$2:$N$10000,{"Mapping","Dataset Validation"},
[1]EDI!$I$2:$I$10000,"Forms"))</f>
        <v>0</v>
      </c>
      <c r="M19" s="3">
        <f>COUNTIFS([1]EDI!$S$2:$S$10000,"Poula Moheb",
[1]EDI!$Q$2:$Q$10000, "In Progress",
 [1]EDI!$N$2:$N$10000,"Testing",
 [1]EDI!$I$2:$I$10000,"Forms")</f>
        <v>0</v>
      </c>
      <c r="N19" s="3">
        <f>COUNTIFS([1]EDI!$S$2:$S$10000,"Poula Moheb",
[1]EDI!$Q$2:$Q$10000, "In Progress",
 [1]EDI!$P$2:$P$10000,"Migration Testing",
[1]EDI!$I$2:$I$10000,"Forms")</f>
        <v>0</v>
      </c>
      <c r="O19" s="3">
        <f>COUNTIFS([1]EDI!$S$2:$S$10000,"Poula Moheb",
[1]EDI!$Q$2:$Q$10000, "Live",
 [1]EDI!$P$2:$P$10000,"Production",
[1]EDI!$I$2:$I$10000,"Forms")</f>
        <v>0</v>
      </c>
      <c r="P19" s="25"/>
      <c r="Q19" s="3">
        <f t="shared" ref="Q19" si="7">C19+K19</f>
        <v>9</v>
      </c>
      <c r="R19" s="3">
        <f>COUNTIFS(
[1]EDI!$S$2:$S$10000,"Poula Moheb",
[1]EDI!$L$2:$L$10000,"&lt;&gt;",
[1]EDI!$R$2:$R$10000,"&gt;="&amp;DATE(2025,1,1),
[1]EDI!$R$2:$R$10000,"&lt;"&amp;DATE(2026,1,1),
[1]EDI!$I$2:$I$10000,"EDI"
)</f>
        <v>0</v>
      </c>
      <c r="S19" s="3">
        <f>COUNTIFS(
[1]EDI!$S$2:$S$10000,"Poula Moheb",
[1]EDI!$L$2:$L$10000,"&lt;&gt;",
[1]EDI!$R$2:$R$10000,"&gt;="&amp;DATE(2026,1,1),
[1]EDI!$I$2:$I$10000,"EDI"
)</f>
        <v>10</v>
      </c>
      <c r="AB19"/>
      <c r="AC19"/>
      <c r="AD19"/>
      <c r="AE19"/>
      <c r="AF19"/>
      <c r="AG19"/>
      <c r="AH19"/>
    </row>
    <row r="20" spans="1:40" x14ac:dyDescent="0.25">
      <c r="A20" s="4" t="s">
        <v>83</v>
      </c>
      <c r="B20" s="3"/>
      <c r="C20" s="3">
        <f t="shared" si="6"/>
        <v>10</v>
      </c>
      <c r="D20" s="3">
        <f>COUNTIFS([1]EDI!$S$2:$S$10000,"Adham Akram",
[1]EDI!$Q$2:$Q$10000, "In Progress",
 [1]EDI!$N$2:$N$10000,"DataSet Validation",
 [1]EDI!$L$2:$L$10000,"",
[1]EDI!$I$2:$I$10000,"EDI")</f>
        <v>1</v>
      </c>
      <c r="E20" s="3">
        <f>COUNTIFS([1]EDI!$S$2:$S$10000,"Adham Akram",
[1]EDI!$Q$2:$Q$10000, "In Progress",
 [1]EDI!$N$2:$N$10000,"Dataset Validation",
 [1]EDI!$L$2:$L$10000, "&lt;&gt;",
[1]EDI!$I$2:$I$10000,"EDI")</f>
        <v>0</v>
      </c>
      <c r="F20" s="3">
        <f>COUNTIFS([1]EDI!$S$2:$S$10000,"Adham Akram",
[1]EDI!$Q$2:$Q$10000, "In Progress",
 [1]EDI!$N$2:$N$10000,"Mapping",
[1]EDI!$I$2:$I$10000,"EDI")</f>
        <v>5</v>
      </c>
      <c r="G20" s="3">
        <f>COUNTIFS([1]EDI!$S$2:$S$10000,"Adham Akram",
[1]EDI!$Q$2:$Q$10000, "In Progress",
 [1]EDI!$N$2:$N$10000,"Testing",
 [1]EDI!$I$2:$I$10000,"EDI")</f>
        <v>4</v>
      </c>
      <c r="H20" s="3">
        <f>COUNTIFS([1]EDI!$S$2:$S$10000,"Adham Akram",
[1]EDI!$Q$2:$Q$10000, "In Progress",
 [1]EDI!$N$2:$N$10000,"Ready For Production",
[1]EDI!$I$2:$I$10000,"EDI")</f>
        <v>0</v>
      </c>
      <c r="I20" s="8">
        <f>LARGE(Dates!AD4:AD50,1)</f>
        <v>46215</v>
      </c>
      <c r="J20" s="15"/>
      <c r="K20" s="3">
        <f>COUNTIFS([1]EDI!$S$2:$S$10000,"Adham Akram",
[1]EDI!$Q$2:$Q$10000, "In Progress",
 [1]EDI!$I$2:$I$10000,"Forms")</f>
        <v>0</v>
      </c>
      <c r="L20" s="3" cm="1">
        <f t="array" ref="L20">SUM(COUNTIFS([1]EDI!$S$2:$S$10000,"Adham Akram",
[1]EDI!$Q$2:$Q$10000,"In Progress",
[1]EDI!$N$2:$N$10000,{"Mapping","Dataset Validation"},
[1]EDI!$I$2:$I$10000,"Forms"))</f>
        <v>0</v>
      </c>
      <c r="M20" s="3">
        <f>COUNTIFS([1]EDI!$S$2:$S$10000,"Adham Akram",
[1]EDI!$Q$2:$Q$10000, "In Progress",
 [1]EDI!$N$2:$N$10000,"Testing",
 [1]EDI!$I$2:$I$10000,"Forms")</f>
        <v>0</v>
      </c>
      <c r="N20" s="3">
        <f>COUNTIFS([1]EDI!$S$2:$S$10000,"Adham Akram",
[1]EDI!$Q$2:$Q$10000, "In Progress",
 [1]EDI!$P$2:$P$10000,"Migration Testing",
[1]EDI!$I$2:$I$10000,"Forms")</f>
        <v>0</v>
      </c>
      <c r="O20" s="3">
        <f>COUNTIFS([1]EDI!$S$2:$S$10000,"Adham Akram",
[1]EDI!$Q$2:$Q$10000, "Live",
 [1]EDI!$P$2:$P$10000,"Production",
[1]EDI!$I$2:$I$10000,"Forms")</f>
        <v>0</v>
      </c>
      <c r="P20" s="25"/>
      <c r="Q20" s="3">
        <f t="shared" ref="Q20" si="8">C20+K20</f>
        <v>10</v>
      </c>
      <c r="R20" s="3">
        <f>COUNTIFS(
[1]EDI!$S$2:$S$10000,"Adham Akram",
[1]EDI!$L$2:$L$10000,"&lt;&gt;",
[1]EDI!$R$2:$R$10000,"&gt;="&amp;DATE(2025,1,1),
[1]EDI!$R$2:$R$10000,"&lt;"&amp;DATE(2026,1,1),
[1]EDI!$I$2:$I$10000,"EDI"
)</f>
        <v>0</v>
      </c>
      <c r="S20" s="3">
        <f>COUNTIFS(
[1]EDI!$S$2:$S$10000,"Adham Akram",
[1]EDI!$L$2:$L$10000,"&lt;&gt;",
[1]EDI!$R$2:$R$10000,"&gt;="&amp;DATE(2026,1,1),
[1]EDI!$I$2:$I$10000,"EDI"
)</f>
        <v>9</v>
      </c>
      <c r="AB20"/>
      <c r="AC20"/>
      <c r="AD20"/>
      <c r="AE20"/>
      <c r="AF20"/>
      <c r="AG20"/>
      <c r="AH20"/>
    </row>
    <row r="21" spans="1:40" x14ac:dyDescent="0.25">
      <c r="A21" s="4"/>
      <c r="B21" s="3"/>
      <c r="C21" s="3"/>
      <c r="D21" s="3"/>
      <c r="E21" s="3"/>
      <c r="F21" s="3"/>
      <c r="G21" s="3"/>
      <c r="H21" s="3"/>
      <c r="I21" s="8"/>
      <c r="J21" s="15"/>
      <c r="K21" s="3"/>
      <c r="L21" s="3"/>
      <c r="M21" s="3"/>
      <c r="N21" s="3"/>
      <c r="O21" s="3"/>
      <c r="P21" s="25"/>
      <c r="Q21" s="3"/>
      <c r="R21" s="3"/>
      <c r="S21" s="3"/>
      <c r="AB21"/>
      <c r="AC21"/>
      <c r="AD21"/>
      <c r="AE21"/>
      <c r="AF21"/>
      <c r="AG21"/>
      <c r="AH21"/>
    </row>
    <row r="22" spans="1:40" s="21" customFormat="1" ht="20.45" customHeight="1" x14ac:dyDescent="0.25">
      <c r="A22" s="23" t="s">
        <v>17</v>
      </c>
      <c r="B22" s="23"/>
      <c r="C22" s="23">
        <f t="shared" ref="C22:H22" si="9">SUM(C3:C17)</f>
        <v>251</v>
      </c>
      <c r="D22" s="31">
        <f t="shared" si="9"/>
        <v>5</v>
      </c>
      <c r="E22" s="23">
        <f t="shared" si="9"/>
        <v>2</v>
      </c>
      <c r="F22" s="23">
        <f t="shared" si="9"/>
        <v>63</v>
      </c>
      <c r="G22" s="23">
        <f t="shared" si="9"/>
        <v>181</v>
      </c>
      <c r="H22" s="23">
        <f t="shared" si="9"/>
        <v>10</v>
      </c>
      <c r="I22" s="24" t="e">
        <f>LARGE(I3:I17,1)</f>
        <v>#NUM!</v>
      </c>
      <c r="J22" s="20"/>
      <c r="K22" s="23">
        <f>SUM(K3:K17)</f>
        <v>11</v>
      </c>
      <c r="L22" s="23">
        <f>SUM(L3:L17)</f>
        <v>3</v>
      </c>
      <c r="M22" s="23">
        <f>SUM(M3:M17)</f>
        <v>3</v>
      </c>
      <c r="N22" s="23">
        <f>SUM(N3:N17)</f>
        <v>2</v>
      </c>
      <c r="O22" s="23">
        <f>SUM(O3:O17)</f>
        <v>15</v>
      </c>
      <c r="P22" s="24">
        <f>LARGE(P3:P21,1)</f>
        <v>46210</v>
      </c>
      <c r="Q22" s="23">
        <f>SUM(Q3:Q17)</f>
        <v>262</v>
      </c>
      <c r="R22" s="23">
        <f t="shared" ref="R22:S22" si="10">SUM(R3:R17)</f>
        <v>683</v>
      </c>
      <c r="S22" s="23">
        <f t="shared" si="10"/>
        <v>531</v>
      </c>
      <c r="AA22" s="22"/>
      <c r="AD22"/>
      <c r="AE22"/>
      <c r="AF22"/>
      <c r="AG22"/>
      <c r="AH22"/>
      <c r="AI22" s="22"/>
      <c r="AJ22" s="22"/>
      <c r="AK22" s="22"/>
      <c r="AL22" s="22"/>
      <c r="AM22" s="22"/>
      <c r="AN22" s="22"/>
    </row>
    <row r="23" spans="1:40" ht="34.5" x14ac:dyDescent="0.25">
      <c r="A23" s="46" t="s">
        <v>49</v>
      </c>
      <c r="C23" s="23">
        <f>Q22+H22+B54+'RG CRs'!B8</f>
        <v>375</v>
      </c>
      <c r="D23" s="54" t="s">
        <v>60</v>
      </c>
      <c r="E23" s="55" cm="1">
        <f t="array" ref="E23">SUMPRODUCT(
  (--([1]EDI!$S$2:$S$10000="Dina Medhat") *
   --([1]EDI!$Q$2:$Q$10000="In Progress") *
   --([1]EDI!$I$2:$I$10000="EDI")
  )
)</f>
        <v>21</v>
      </c>
      <c r="M23" s="34">
        <f>M22-N22</f>
        <v>1</v>
      </c>
      <c r="AB23"/>
      <c r="AC23"/>
      <c r="AD23"/>
      <c r="AE23"/>
      <c r="AF23"/>
      <c r="AG23"/>
      <c r="AH23"/>
    </row>
    <row r="25" spans="1:40" x14ac:dyDescent="0.25">
      <c r="A25" s="35" t="s">
        <v>36</v>
      </c>
      <c r="B25" s="35"/>
      <c r="C25" s="35">
        <v>45658</v>
      </c>
      <c r="D25" s="35">
        <v>45689</v>
      </c>
      <c r="E25" s="35">
        <v>45717</v>
      </c>
      <c r="F25" s="35">
        <v>45748</v>
      </c>
      <c r="G25" s="35">
        <v>45778</v>
      </c>
      <c r="H25" s="35">
        <v>45809</v>
      </c>
      <c r="I25" s="35">
        <v>45839</v>
      </c>
      <c r="K25" s="35">
        <v>45870</v>
      </c>
      <c r="L25" s="35">
        <v>45901</v>
      </c>
      <c r="M25" s="35">
        <v>45931</v>
      </c>
      <c r="N25" s="35">
        <v>45962</v>
      </c>
      <c r="O25" s="35">
        <v>45992</v>
      </c>
      <c r="P25" s="35">
        <v>46023</v>
      </c>
      <c r="Q25" s="35">
        <v>46054</v>
      </c>
      <c r="R25" s="35">
        <v>46082</v>
      </c>
      <c r="S25" s="35">
        <v>46113</v>
      </c>
      <c r="T25" s="35">
        <v>46143</v>
      </c>
      <c r="U25" s="35">
        <v>46174</v>
      </c>
    </row>
    <row r="26" spans="1:40" x14ac:dyDescent="0.25">
      <c r="A26" t="s">
        <v>42</v>
      </c>
      <c r="C26" s="34" cm="1">
        <f t="array" ref="C26">SUMPRODUCT((MONTH([1]EDI!$R$2:$R$10000)=1)*
(YEAR([1]EDI!$R$2:$R$10000)=2025))</f>
        <v>123</v>
      </c>
      <c r="D26" s="34" cm="1">
        <f t="array" ref="D26">SUMPRODUCT((MONTH([1]EDI!$R$2:$R$10000)=2)*
(YEAR([1]EDI!$R$2:$R$10000)=2025))</f>
        <v>102</v>
      </c>
      <c r="E26" s="34" cm="1">
        <f t="array" ref="E26">SUMPRODUCT((MONTH([1]EDI!$R$2:$R$10000)=3)*
(YEAR([1]EDI!$R$2:$R$10000)=2025))</f>
        <v>71</v>
      </c>
      <c r="F26" s="34" cm="1">
        <f t="array" ref="F26">SUMPRODUCT((MONTH([1]EDI!$R$2:$R$10000)=4)*
(YEAR([1]EDI!$R$2:$R$10000)=2025))</f>
        <v>82</v>
      </c>
      <c r="G26" s="34" cm="1">
        <f t="array" ref="G26">SUMPRODUCT((MONTH([1]EDI!$R$2:$R$10000)=5)*
(YEAR([1]EDI!$R$2:$R$10000)=2025))</f>
        <v>44</v>
      </c>
      <c r="H26" s="34" cm="1">
        <f t="array" ref="H26">SUMPRODUCT((MONTH([1]EDI!$R$2:$R$10000)=6)*
(YEAR([1]EDI!$R$2:$R$10000)=2025))</f>
        <v>64</v>
      </c>
      <c r="I26" s="34" cm="1">
        <f t="array" ref="I26">SUMPRODUCT((MONTH([1]EDI!$R$2:$R$10000)=7)*
(YEAR([1]EDI!$R$2:$R$10000)=2025))</f>
        <v>56</v>
      </c>
      <c r="J26" s="34" cm="1">
        <f t="array" ref="J26">SUMPRODUCT((MONTH([1]EDI!$R$2:$R$10000)=1)*
(YEAR([1]EDI!$R$2:$R$10000)=2025))</f>
        <v>123</v>
      </c>
      <c r="K26" s="34" cm="1">
        <f t="array" ref="K26">SUMPRODUCT((MONTH([1]EDI!$R$2:$R$10000)=8)*
(YEAR([1]EDI!$R$2:$R$10000)=2025))</f>
        <v>50</v>
      </c>
      <c r="L26" s="34" cm="1">
        <f t="array" ref="L26">SUMPRODUCT((MONTH([1]EDI!$R$2:$R$10000)=9)*
(YEAR([1]EDI!$R$2:$R$10000)=2025))</f>
        <v>77</v>
      </c>
      <c r="M26" s="34" cm="1">
        <f t="array" ref="M26">SUMPRODUCT((MONTH([1]EDI!$R$2:$R$10000)=10)*
(YEAR([1]EDI!$R$2:$R$10000)=2025))</f>
        <v>60</v>
      </c>
      <c r="N26" s="34" cm="1">
        <f t="array" ref="N26">SUMPRODUCT((MONTH([1]EDI!$R$2:$R$10000)=11)*
(YEAR([1]EDI!$R$2:$R$10000)=2025))</f>
        <v>98</v>
      </c>
      <c r="O26" s="34" cm="1">
        <f t="array" ref="O26">SUMPRODUCT((MONTH([1]EDI!$R$2:$R$10000)=12)*
(YEAR([1]EDI!$R$2:$R$10000)=2025))</f>
        <v>150</v>
      </c>
      <c r="P26" s="34" cm="1">
        <f t="array" ref="P26">SUMPRODUCT((MONTH([1]EDI!$R$2:$R$10000)=1)*
(YEAR([1]EDI!$R$2:$R$10000)=2026))</f>
        <v>165</v>
      </c>
      <c r="Q26" s="34" cm="1">
        <f t="array" ref="Q26">SUMPRODUCT((MONTH([1]EDI!$R$2:$R$10000)=2)*
(YEAR([1]EDI!$R$2:$R$10000)=2026))</f>
        <v>124</v>
      </c>
      <c r="R26" s="34" cm="1">
        <f t="array" ref="R26">SUMPRODUCT((MONTH([1]EDI!$R$2:$R$10000)=3)*
(YEAR([1]EDI!$R$2:$R$10000)=2026))</f>
        <v>103</v>
      </c>
      <c r="S26" s="34" cm="1">
        <f t="array" ref="S26">SUMPRODUCT((MONTH([1]EDI!$R$2:$R$10000)=4)*
(YEAR([1]EDI!$R$2:$R$10000)=2026))</f>
        <v>136</v>
      </c>
      <c r="T26" s="34" cm="1">
        <f t="array" ref="T26">SUMPRODUCT((MONTH([1]EDI!$R$2:$R$10000)=5)*
(YEAR([1]EDI!$R$2:$R$10000)=2026))</f>
        <v>107</v>
      </c>
      <c r="U26" s="34" cm="1">
        <f t="array" ref="U26">SUMPRODUCT((MONTH([1]EDI!$R$2:$R$10000)=6)*
(YEAR([1]EDI!$R$2:$R$10000)=2026))</f>
        <v>135</v>
      </c>
    </row>
    <row r="27" spans="1:40" x14ac:dyDescent="0.25">
      <c r="A27" t="s">
        <v>5</v>
      </c>
      <c r="C27" s="34" cm="1">
        <f t="array" ref="C27">SUMPRODUCT(
(--(INT([1]EDI!$R$2:$R$10000)&gt;=DATE(2025,1,1))),
(--(INT([1]EDI!$R$2:$R$10000)&lt;=DATE(2025,1,31))),
(--([1]EDI!$Q$2:$Q$10000="Not Started")))</f>
        <v>0</v>
      </c>
      <c r="D27" s="34" cm="1">
        <f t="array" ref="D27">SUMPRODUCT(
(--(INT([1]EDI!$R$2:$R$10000)&gt;=DATE(2025,2,1))),
(--(INT([1]EDI!$R$2:$R$10000)&lt;=DATE(2025,2,29))),
(--([1]EDI!$Q$2:$Q$10000="Not Started")))</f>
        <v>0</v>
      </c>
      <c r="E27" s="34" cm="1">
        <f t="array" ref="E27">SUMPRODUCT(
(--(INT([1]EDI!$R$2:$R$10000)&gt;=DATE(2025,3,1))),
(--(INT([1]EDI!$R$2:$R$10000)&lt;=DATE(2025,3,31))),
(--([1]EDI!$Q$2:$Q$10000="Not Started")))</f>
        <v>0</v>
      </c>
      <c r="F27" s="34" cm="1">
        <f t="array" ref="F27">SUMPRODUCT(
(--(INT([1]EDI!$R$2:$R$10000)&gt;=DATE(2025,4,1))),
(--(INT([1]EDI!$R$2:$R$10000)&lt;=DATE(2025,4,30))),
(--([1]EDI!$Q$2:$Q$10000="Not Started")))</f>
        <v>0</v>
      </c>
      <c r="G27" s="34" cm="1">
        <f t="array" ref="G27">SUMPRODUCT(
(--(INT([1]EDI!$R$2:$R$10000)&gt;=DATE(2025,5,1))),
(--(INT([1]EDI!$R$2:$R$10000)&lt;=DATE(2025,5,31))),
(--([1]EDI!$Q$2:$Q$10000="Not Started")))</f>
        <v>0</v>
      </c>
      <c r="H27" s="34" cm="1">
        <f t="array" ref="H27">SUMPRODUCT(
(--(INT([1]EDI!$R$2:$R$10000)&gt;=DATE(2025,6,1))),
(--(INT([1]EDI!$R$2:$R$10000)&lt;=DATE(2025,6,30))),
(--([1]EDI!$Q$2:$Q$10000="Not Started")))</f>
        <v>0</v>
      </c>
      <c r="I27" s="34" cm="1">
        <f t="array" ref="I27">SUMPRODUCT(
(--(INT([1]EDI!$R$2:$R$10000)&gt;=DATE(2025,7,1))),
(--(INT([1]EDI!$R$2:$R$10000)&lt;=DATE(2025,7,31))),
(--([1]EDI!$Q$2:$Q$10000="Not Started")))</f>
        <v>0</v>
      </c>
      <c r="J27" s="34" cm="1">
        <f t="array" ref="J27">SUMPRODUCT(
(--(INT([1]EDI!$R$2:$R$10000)&gt;=DATE(2025,1,1))),
(--(INT([1]EDI!$R$2:$R$10000)&lt;=DATE(2025,1,31))),
(--([1]EDI!$Q$2:$Q$10000="Not Started")))</f>
        <v>0</v>
      </c>
      <c r="K27" s="34" cm="1">
        <f t="array" ref="K27">SUMPRODUCT(
(--(INT([1]EDI!$R$2:$R$10000)&gt;=DATE(2025,8,1))),
(--(INT([1]EDI!$R$2:$R$10000)&lt;=DATE(2025,8,31))),
(--([1]EDI!$Q$2:$Q$10000="Not Started")))</f>
        <v>0</v>
      </c>
      <c r="L27" s="34" cm="1">
        <f t="array" ref="L27">SUMPRODUCT(
(--(INT([1]EDI!$R$2:$R$10000)&gt;=DATE(2025,9,1))),
(--(INT([1]EDI!$R$2:$R$10000)&lt;=DATE(2025,9,30))),
(--([1]EDI!$Q$2:$Q$10000="Not Started")))</f>
        <v>0</v>
      </c>
      <c r="M27" s="34" cm="1">
        <f t="array" ref="M27">SUMPRODUCT(
(--(INT([1]EDI!$R$2:$R$10000)&gt;=DATE(2025,10,1))),
(--(INT([1]EDI!$R$2:$R$10000)&lt;=DATE(2025,10,31))),
(--([1]EDI!$Q$2:$Q$10000="Not Started")))</f>
        <v>0</v>
      </c>
      <c r="N27" s="34" cm="1">
        <f t="array" ref="N27">SUMPRODUCT(
(--(INT([1]EDI!$R$2:$R$10000)&gt;=DATE(2025,11,1))),
(--(INT([1]EDI!$R$2:$R$10000)&lt;=DATE(2025,11,30))),
(--([1]EDI!$Q$2:$Q$10000="Not Started")))</f>
        <v>0</v>
      </c>
      <c r="O27" s="34" cm="1">
        <f t="array" ref="O27">SUMPRODUCT(
(--(INT([1]EDI!$R$2:$R$10000)&gt;=DATE(2025,12,1))),
(--(INT([1]EDI!$R$2:$R$10000)&lt;=DATE(2025,12,31))),
(--([1]EDI!$Q$2:$Q$10000="Not Started")))</f>
        <v>0</v>
      </c>
      <c r="P27" s="34" cm="1">
        <f t="array" ref="P27">SUMPRODUCT(
(--(INT([1]EDI!$R$2:$R$10000)&gt;=DATE(2026,1,1))),
(--(INT([1]EDI!$R$2:$R$10000)&lt;=DATE(2026,1,31))),
(--([1]EDI!$Q$2:$Q$10000="Not Started")))</f>
        <v>0</v>
      </c>
      <c r="Q27" s="34" cm="1">
        <f t="array" ref="Q27">SUMPRODUCT(
(--(INT([1]EDI!$R$2:$R$10000)&gt;=DATE(2026,2,1))),
(--(INT([1]EDI!$R$2:$R$10000)&lt;=DATE(2026,2,29))),
(--([1]EDI!$Q$2:$Q$10000="Not Started")))</f>
        <v>0</v>
      </c>
      <c r="R27" s="34" cm="1">
        <f t="array" ref="R27">SUMPRODUCT(
(--(INT([1]EDI!$R$2:$R$10000)&gt;=DATE(2026,3,1))),
(--(INT([1]EDI!$R$2:$R$10000)&lt;=DATE(2026,3,31))),
(--([1]EDI!$Q$2:$Q$10000="Not Started")))</f>
        <v>0</v>
      </c>
      <c r="S27" s="34" cm="1">
        <f t="array" ref="S27">SUMPRODUCT(
(--(INT([1]EDI!$R$2:$R$10000)&gt;=DATE(2026,4,1))),
(--(INT([1]EDI!$R$2:$R$10000)&lt;=DATE(2026,4,30))),
(--([1]EDI!$Q$2:$Q$10000="Not Started")))</f>
        <v>0</v>
      </c>
      <c r="T27" s="34" cm="1">
        <f t="array" ref="T27">SUMPRODUCT(
(--(INT([1]EDI!$R$2:$R$10000)&gt;=DATE(2026,5,1))),
(--(INT([1]EDI!$R$2:$R$10000)&lt;=DATE(2026,5,31))),
(--([1]EDI!$Q$2:$Q$10000="Not Started")))</f>
        <v>0</v>
      </c>
      <c r="U27" s="34" cm="1">
        <f t="array" ref="U27">SUMPRODUCT(
(--(INT([1]EDI!$R$2:$R$10000)&gt;=DATE(2026,6,1))),
(--(INT([1]EDI!$R$2:$R$10000)&lt;=DATE(2026,6,30))),
(--([1]EDI!$Q$2:$Q$10000="Not Started")))</f>
        <v>1</v>
      </c>
    </row>
    <row r="28" spans="1:40" x14ac:dyDescent="0.25">
      <c r="A28" t="s">
        <v>37</v>
      </c>
      <c r="C28" s="34" cm="1">
        <f t="array" ref="C28">SUMPRODUCT(
(--(INT([1]EDI!$R$2:$R$10000)&gt;=DATE(2025,1,1))),
(--(INT([1]EDI!$R$2:$R$10000)&lt;=DATE(2025,1,31))),
(--([1]EDI!$Q$2:$Q$10000="In Progress")))</f>
        <v>1</v>
      </c>
      <c r="D28" s="34" cm="1">
        <f t="array" ref="D28">SUMPRODUCT(
(--(INT([1]EDI!$R$2:$R$10000)&gt;=DATE(2025,2,1))),
(--(INT([1]EDI!$R$2:$R$10000)&lt;=DATE(2025,2,29))),
(--([1]EDI!$Q$2:$Q$10000="In Progress")))</f>
        <v>1</v>
      </c>
      <c r="E28" s="34" cm="1">
        <f t="array" ref="E28">SUMPRODUCT(
(--(INT([1]EDI!$R$2:$R$10000)&gt;=DATE(2025,3,1))),
(--(INT([1]EDI!$R$2:$R$10000)&lt;=DATE(2025,3,31))),
(--([1]EDI!$Q$2:$Q$10000="In Progress")))</f>
        <v>0</v>
      </c>
      <c r="F28" s="34" cm="1">
        <f t="array" ref="F28">SUMPRODUCT(
(--(INT([1]EDI!$R$2:$R$10000)&gt;=DATE(2025,4,1))),
(--(INT([1]EDI!$R$2:$R$10000)&lt;=DATE(2025,4,30))),
(--([1]EDI!$Q$2:$Q$10000="In Progress")))</f>
        <v>1</v>
      </c>
      <c r="G28" s="34" cm="1">
        <f t="array" ref="G28">SUMPRODUCT(
(--(INT([1]EDI!$R$2:$R$10000)&gt;=DATE(2025,5,1))),
(--(INT([1]EDI!$R$2:$R$10000)&lt;=DATE(2025,5,30))),
(--([1]EDI!$Q$2:$Q$10000="In Progress")))</f>
        <v>1</v>
      </c>
      <c r="H28" s="34" cm="1">
        <f t="array" ref="H28">SUMPRODUCT(
(--(INT([1]EDI!$R$2:$R$10000)&gt;=DATE(2025,6,1))),
(--(INT([1]EDI!$R$2:$R$10000)&lt;=DATE(2025,6,30))),
(--([1]EDI!$Q$2:$Q$10000="In Progress")))</f>
        <v>0</v>
      </c>
      <c r="I28" s="34" cm="1">
        <f t="array" ref="I28">SUMPRODUCT(
(--(INT([1]EDI!$R$2:$R$10000)&gt;=DATE(2025,7,1))),
(--(INT([1]EDI!$R$2:$R$10000)&lt;=DATE(2025,7,31))),
(--([1]EDI!$Q$2:$Q$10000="In Progress")))</f>
        <v>1</v>
      </c>
      <c r="J28" s="34" cm="1">
        <f t="array" ref="J28">SUMPRODUCT(
(--(INT([1]EDI!$R$2:$R$10000)&gt;=DATE(2025,1,1))),
(--(INT([1]EDI!$R$2:$R$10000)&lt;=DATE(2025,1,31))),
(--([1]EDI!$Q$2:$Q$10000="In Progress")))</f>
        <v>1</v>
      </c>
      <c r="K28" s="34" cm="1">
        <f t="array" ref="K28">SUMPRODUCT(
(--(INT([1]EDI!$R$2:$R$10000)&gt;=DATE(2025,8,1))),
(--(INT([1]EDI!$R$2:$R$10000)&lt;=DATE(2025,8,31))),
(--([1]EDI!$Q$2:$Q$10000="In Progress")))</f>
        <v>1</v>
      </c>
      <c r="L28" s="34" cm="1">
        <f t="array" ref="L28">SUMPRODUCT(
(--(INT([1]EDI!$R$2:$R$10000)&gt;=DATE(2025,9,1))),
(--(INT([1]EDI!$R$2:$R$10000)&lt;=DATE(2025,9,30))),
(--([1]EDI!$Q$2:$Q$10000="In Progress")))</f>
        <v>1</v>
      </c>
      <c r="M28" s="34" cm="1">
        <f t="array" ref="M28">SUMPRODUCT(
(--(INT([1]EDI!$R$2:$R$10000)&gt;=DATE(2025,10,1))),
(--(INT([1]EDI!$R$2:$R$10000)&lt;=DATE(2025,10,31))),
(--([1]EDI!$Q$2:$Q$10000="In Progress")))</f>
        <v>4</v>
      </c>
      <c r="N28" s="34" cm="1">
        <f t="array" ref="N28">SUMPRODUCT(
(--(INT([1]EDI!$R$2:$R$10000)&gt;=DATE(2025,11,1))),
(--(INT([1]EDI!$R$2:$R$10000)&lt;=DATE(2025,11,30))),
(--([1]EDI!$Q$2:$Q$10000="In Progress")))</f>
        <v>6</v>
      </c>
      <c r="O28" s="34" cm="1">
        <f t="array" ref="O28">SUMPRODUCT(
(--(INT([1]EDI!$R$2:$R$10000)&gt;=DATE(2025,12,1))),
(--(INT([1]EDI!$R$2:$R$10000)&lt;=DATE(2025,12,31))),
(--([1]EDI!$Q$2:$Q$10000="In Progress")))</f>
        <v>10</v>
      </c>
      <c r="P28" s="34" cm="1">
        <f t="array" ref="P28">SUMPRODUCT(
(--(INT([1]EDI!$R$2:$R$10000)&gt;=DATE(2026,1,1))),
(--(INT([1]EDI!$R$2:$R$10000)&lt;=DATE(2026,1,31))),
(--([1]EDI!$Q$2:$Q$10000="In Progress")))</f>
        <v>14</v>
      </c>
      <c r="Q28" s="34" cm="1">
        <f t="array" ref="Q28">SUMPRODUCT(
(--(INT([1]EDI!$R$2:$R$10000)&gt;=DATE(2026,2,1))),
(--(INT([1]EDI!$R$2:$R$10000)&lt;=DATE(2026,2,29))),
(--([1]EDI!$Q$2:$Q$10000="In Progress")))</f>
        <v>25</v>
      </c>
      <c r="R28" s="34" cm="1">
        <f t="array" ref="R28">SUMPRODUCT(
(--(INT([1]EDI!$R$2:$R$10000)&gt;=DATE(2026,3,1))),
(--(INT([1]EDI!$R$2:$R$10000)&lt;=DATE(2026,3,31))),
(--([1]EDI!$Q$2:$Q$10000="In Progress")))</f>
        <v>31</v>
      </c>
      <c r="S28" s="34" cm="1">
        <f t="array" ref="S28">SUMPRODUCT(
(--(INT([1]EDI!$R$2:$R$10000)&gt;=DATE(2026,4,1))),
(--(INT([1]EDI!$R$2:$R$10000)&lt;=DATE(2026,4,30))),
(--([1]EDI!$Q$2:$Q$10000="In Progress")))</f>
        <v>80</v>
      </c>
      <c r="T28" s="34" cm="1">
        <f t="array" ref="T28">SUMPRODUCT(
(--(INT([1]EDI!$R$2:$R$10000)&gt;=DATE(2026,5,1))),
(--(INT([1]EDI!$R$2:$R$10000)&lt;=DATE(2026,5,31))),
(--([1]EDI!$Q$2:$Q$10000="In Progress")))</f>
        <v>83</v>
      </c>
      <c r="U28" s="34" cm="1">
        <f t="array" ref="U28">SUMPRODUCT(
(--(INT([1]EDI!$R$2:$R$10000)&gt;=DATE(2026,6,1))),
(--(INT([1]EDI!$R$2:$R$10000)&lt;=DATE(2026,6,30))),
(--([1]EDI!$Q$2:$Q$10000="In Progress")))</f>
        <v>114</v>
      </c>
      <c r="W28"/>
    </row>
    <row r="29" spans="1:40" x14ac:dyDescent="0.25">
      <c r="A29" t="s">
        <v>59</v>
      </c>
      <c r="C29" s="34" cm="1">
        <f t="array" ref="C29">SUMPRODUCT(
  (--(INT([1]EDI!$R$2:$R$10000) &gt;= DATE(2025,1,1))),
  (--(INT([1]EDI!$R$2:$R$10000) &lt;= DATE(2025,1,31))),
  (--([1]EDI!$Q$2:$Q$10000 = "Live"))
)</f>
        <v>87</v>
      </c>
      <c r="D29" s="34" cm="1">
        <f t="array" ref="D29">SUMPRODUCT(
  (--(INT([1]EDI!$R$2:$R$10000) &gt;= DATE(2025,2,1))),
  (--(INT([1]EDI!$R$2:$R$10000) &lt;= DATE(2025,2,29))),
  (--([1]EDI!$Q$2:$Q$10000 = "Live"))
)</f>
        <v>51</v>
      </c>
      <c r="E29" s="34" cm="1">
        <f t="array" ref="E29">SUMPRODUCT(
  (--(INT([1]EDI!$R$2:$R$10000) &gt;= DATE(2025,3,1))),
  (--(INT([1]EDI!$R$2:$R$10000) &lt;= DATE(2025,3,31))),
  (--([1]EDI!$Q$2:$Q$10000 = "Live"))
)</f>
        <v>48</v>
      </c>
      <c r="F29" s="34" cm="1">
        <f t="array" ref="F29">SUMPRODUCT(
  (--(INT([1]EDI!$R$2:$R$10000) &gt;= DATE(2025,4,1))),
  (--(INT([1]EDI!$R$2:$R$10000) &lt;= DATE(2025,4,30))),
  (--([1]EDI!$Q$2:$Q$10000 = "Live"))
)</f>
        <v>58</v>
      </c>
      <c r="G29" s="34" cm="1">
        <f t="array" ref="G29">SUMPRODUCT(
  (--(INT([1]EDI!$R$2:$R$10000) &gt;= DATE(2025,5,1))),
  (--(INT([1]EDI!$R$2:$R$10000) &lt;= DATE(2025,5,31))),
  (--([1]EDI!$Q$2:$Q$10000 = "Live"))
)</f>
        <v>25</v>
      </c>
      <c r="H29" s="34" cm="1">
        <f t="array" ref="H29">SUMPRODUCT(
  (--(INT([1]EDI!$R$2:$R$10000) &gt;= DATE(2025,6,1))),
  (--(INT([1]EDI!$R$2:$R$10000) &lt;= DATE(2025,6,30))),
  (--([1]EDI!$Q$2:$Q$10000 = "Live"))
)</f>
        <v>47</v>
      </c>
      <c r="I29" s="34" cm="1">
        <f t="array" ref="I29">SUMPRODUCT(
  (--(INT([1]EDI!$R$2:$R$10000) &gt;= DATE(2025,7,1))),
  (--(INT([1]EDI!$R$2:$R$10000) &lt;= DATE(2025,7,31))),
  (--([1]EDI!$Q$2:$Q$10000 = "Live"))
)</f>
        <v>42</v>
      </c>
      <c r="J29" s="34" cm="1">
        <f t="array" ref="J29">SUMPRODUCT(
  (--(INT([1]EDI!$R$2:$R$10000) &gt;= DATE(2025,1,1))),
  (--(INT([1]EDI!$R$2:$R$10000) &lt;= DATE(2025,1,31))),
  (--([1]EDI!$Q$2:$Q$10000 = "Live"))
)</f>
        <v>87</v>
      </c>
      <c r="K29" s="34" cm="1">
        <f t="array" ref="K29">SUMPRODUCT(
  (--(INT([1]EDI!$R$2:$R$10000) &gt;= DATE(2025,8,1))),
  (--(INT([1]EDI!$R$2:$R$10000) &lt;= DATE(2025,8,31))),
  (--([1]EDI!$Q$2:$Q$10000 = "Live"))
)</f>
        <v>37</v>
      </c>
      <c r="L29" s="34" cm="1">
        <f t="array" ref="L29">SUMPRODUCT(
  (--(INT([1]EDI!$R$2:$R$10000) &gt;= DATE(2025,9,1))),
  (--(INT([1]EDI!$R$2:$R$10000) &lt;= DATE(2025,9,30))),
  (--([1]EDI!$Q$2:$Q$10000 = "Live"))
)</f>
        <v>53</v>
      </c>
      <c r="M29" s="34" cm="1">
        <f t="array" ref="M29">SUMPRODUCT(
  (--(INT([1]EDI!$R$2:$R$10000) &gt;= DATE(2025,10,1))),
  (--(INT([1]EDI!$R$2:$R$10000) &lt;= DATE(2025,10,31))),
  (--([1]EDI!$Q$2:$Q$10000 = "Live"))
)</f>
        <v>50</v>
      </c>
      <c r="N29" s="34" cm="1">
        <f t="array" ref="N29">SUMPRODUCT(
  (--(INT([1]EDI!$R$2:$R$10000) &gt;= DATE(2025,11,1))),
  (--(INT([1]EDI!$R$2:$R$10000) &lt;= DATE(2025,11,30))),
  (--([1]EDI!$Q$2:$Q$10000 = "Live"))
)</f>
        <v>78</v>
      </c>
      <c r="O29" s="34" cm="1">
        <f t="array" ref="O29">SUMPRODUCT(
  (--(INT([1]EDI!$R$2:$R$10000) &gt;= DATE(2025,12,1))),
  (--(INT([1]EDI!$R$2:$R$10000) &lt;= DATE(2025,12,31))),
  (--([1]EDI!$Q$2:$Q$10000 = "Live"))
)</f>
        <v>118</v>
      </c>
      <c r="P29" s="34" cm="1">
        <f t="array" ref="P29">SUMPRODUCT(
  (--(INT([1]EDI!$R$2:$R$10000) &gt;= DATE(2026,1,1))),
  (--(INT([1]EDI!$R$2:$R$10000) &lt;= DATE(2026,1,31))),
  (--([1]EDI!$Q$2:$Q$10000 = "Live"))
)</f>
        <v>119</v>
      </c>
      <c r="Q29" s="34" cm="1">
        <f t="array" ref="Q29">SUMPRODUCT(
  (--(INT([1]EDI!$R$2:$R$10000) &gt;= DATE(2026,2,1))),
  (--(INT([1]EDI!$R$2:$R$10000) &lt;= DATE(2026,2,29))),
  (--([1]EDI!$Q$2:$Q$10000 = "Live"))
)</f>
        <v>91</v>
      </c>
      <c r="R29" s="34" cm="1">
        <f t="array" ref="R29">SUMPRODUCT(
  (--(INT([1]EDI!$R$2:$R$10000) &gt;= DATE(2026,3,1))),
  (--(INT([1]EDI!$R$2:$R$10000) &lt;= DATE(2026,3,31))),
  (--([1]EDI!$Q$2:$Q$10000 = "Live"))
)</f>
        <v>63</v>
      </c>
      <c r="S29" s="34" cm="1">
        <f t="array" ref="S29">SUMPRODUCT(
  (--(INT([1]EDI!$R$2:$R$10000) &gt;= DATE(2026,4,1))),
  (--(INT([1]EDI!$R$2:$R$10000) &lt;= DATE(2026,4,30))),
  (--([1]EDI!$Q$2:$Q$10000 = "Live"))
)</f>
        <v>48</v>
      </c>
      <c r="T29" s="34" cm="1">
        <f t="array" ref="T29">SUMPRODUCT(
  (--(INT([1]EDI!$R$2:$R$10000) &gt;= DATE(2026,5,1))),
  (--(INT([1]EDI!$R$2:$R$10000) &lt;= DATE(2026,5,31))),
  (--([1]EDI!$Q$2:$Q$10000 = "Live"))
)</f>
        <v>15</v>
      </c>
      <c r="U29" s="34" cm="1">
        <f t="array" ref="U29">SUMPRODUCT(
  (--(INT([1]EDI!$R$2:$R$10000) &gt;= DATE(2026,6,1))),
  (--(INT([1]EDI!$R$2:$R$10000) &lt;= DATE(2026,6,30))),
  (--([1]EDI!$Q$2:$Q$10000 = "Live"))
)</f>
        <v>8</v>
      </c>
    </row>
    <row r="30" spans="1:40" x14ac:dyDescent="0.25">
      <c r="A30" t="s">
        <v>39</v>
      </c>
      <c r="C30" s="34" cm="1">
        <f t="array" ref="C30">SUMPRODUCT(
(--(INT([1]EDI!$R$2:$R$10000)&gt;=DATE(2025,1,1))),
(--(INT([1]EDI!$R$2:$R$10000)&lt;=DATE(2025,1,31))),
(--([1]EDI!$Q$2:$Q$10000="Cancelled")))</f>
        <v>35</v>
      </c>
      <c r="D30" s="34" cm="1">
        <f t="array" ref="D30">SUMPRODUCT(
(--(INT([1]EDI!$R$2:$R$10000)&gt;=DATE(2025,2,1))),
(--(INT([1]EDI!$R$2:$R$10000)&lt;=DATE(2025,2,29))),
(--([1]EDI!$Q$2:$Q$10000="Cancelled")))</f>
        <v>50</v>
      </c>
      <c r="E30" s="34" cm="1">
        <f t="array" ref="E30">SUMPRODUCT(
(--(INT([1]EDI!$R$2:$R$10000)&gt;=DATE(2025,3,1))),
(--(INT([1]EDI!$R$2:$R$10000)&lt;=DATE(2025,3,31))),
(--([1]EDI!$Q$2:$Q$10000="Cancelled")))</f>
        <v>23</v>
      </c>
      <c r="F30" s="34" cm="1">
        <f t="array" ref="F30">SUMPRODUCT(
(--(INT([1]EDI!$R$2:$R$10000)&gt;=DATE(2025,4,1))),
(--(INT([1]EDI!$R$2:$R$10000)&lt;=DATE(2025,4,30))),
(--([1]EDI!$Q$2:$Q$10000="Cancelled")))</f>
        <v>22</v>
      </c>
      <c r="G30" s="34" cm="1">
        <f t="array" ref="G30">SUMPRODUCT(
(--(INT([1]EDI!$R$2:$R$10000)&gt;=DATE(2025,5,1))),
(--(INT([1]EDI!$R$2:$R$10000)&lt;=DATE(2025,5,31))),
(--([1]EDI!$Q$2:$Q$10000="Cancelled")))</f>
        <v>18</v>
      </c>
      <c r="H30" s="34" cm="1">
        <f t="array" ref="H30">SUMPRODUCT(
(--(INT([1]EDI!$R$2:$R$10000)&gt;=DATE(2025,6,1))),
(--(INT([1]EDI!$R$2:$R$10000)&lt;=DATE(2025,6,30))),
(--([1]EDI!$Q$2:$Q$10000="Cancelled")))</f>
        <v>17</v>
      </c>
      <c r="I30" s="34" cm="1">
        <f t="array" ref="I30">SUMPRODUCT(
(--(INT([1]EDI!$R$2:$R$10000)&gt;=DATE(2025,7,1))),
(--(INT([1]EDI!$R$2:$R$10000)&lt;=DATE(2025,7,31))),
(--([1]EDI!$Q$2:$Q$10000="Cancelled")))</f>
        <v>13</v>
      </c>
      <c r="J30" s="34" cm="1">
        <f t="array" ref="J30">SUMPRODUCT(
(--(INT([1]EDI!$R$2:$R$10000)&gt;=DATE(2025,1,1))),
(--(INT([1]EDI!$R$2:$R$10000)&lt;=DATE(2025,1,31))),
(--([1]EDI!$Q$2:$Q$10000="Cancelled")))</f>
        <v>35</v>
      </c>
      <c r="K30" s="34" cm="1">
        <f t="array" ref="K30">SUMPRODUCT(
(--(INT([1]EDI!$R$2:$R$10000)&gt;=DATE(2025,8,1))),
(--(INT([1]EDI!$R$2:$R$10000)&lt;=DATE(2025,8,31))),
(--([1]EDI!$Q$2:$Q$10000="Cancelled")))</f>
        <v>12</v>
      </c>
      <c r="L30" s="34" cm="1">
        <f t="array" ref="L30">SUMPRODUCT(
(--(INT([1]EDI!$R$2:$R$10000)&gt;=DATE(2025,9,1))),
(--(INT([1]EDI!$R$2:$R$10000)&lt;=DATE(2025,9,30))),
(--([1]EDI!$Q$2:$Q$10000="Cancelled")))</f>
        <v>23</v>
      </c>
      <c r="M30" s="34" cm="1">
        <f t="array" ref="M30">SUMPRODUCT(
(--(INT([1]EDI!$R$2:$R$10000)&gt;=DATE(2025,10,1))),
(--(INT([1]EDI!$R$2:$R$10000)&lt;=DATE(2025,10,31))),
(--([1]EDI!$Q$2:$Q$10000="Cancelled")))</f>
        <v>6</v>
      </c>
      <c r="N30" s="34" cm="1">
        <f t="array" ref="N30">SUMPRODUCT(
(--(INT([1]EDI!$R$2:$R$10000)&gt;=DATE(2025,11,1))),
(--(INT([1]EDI!$R$2:$R$10000)&lt;=DATE(2025,11,30))),
(--([1]EDI!$Q$2:$Q$10000="Cancelled")))</f>
        <v>14</v>
      </c>
      <c r="O30" s="34" cm="1">
        <f t="array" ref="O30">SUMPRODUCT(
(--(INT([1]EDI!$R$2:$R$10000)&gt;=DATE(2025,12,1))),
(--(INT([1]EDI!$R$2:$R$10000)&lt;=DATE(2025,12,31))),
(--([1]EDI!$Q$2:$Q$10000="Cancelled")))</f>
        <v>22</v>
      </c>
      <c r="P30" s="34" cm="1">
        <f t="array" ref="P30">SUMPRODUCT(
(--(INT([1]EDI!$R$2:$R$10000)&gt;=DATE(2026,1,1))),
(--(INT([1]EDI!$R$2:$R$10000)&lt;=DATE(2026,1,31))),
(--([1]EDI!$Q$2:$Q$10000="Cancelled")))</f>
        <v>31</v>
      </c>
      <c r="Q30" s="34" cm="1">
        <f t="array" ref="Q30">SUMPRODUCT(
(--(INT([1]EDI!$R$2:$R$10000)&gt;=DATE(2026,2,1))),
(--(INT([1]EDI!$R$2:$R$10000)&lt;=DATE(2026,2,29))),
(--([1]EDI!$Q$2:$Q$10000="Cancelled")))</f>
        <v>8</v>
      </c>
      <c r="R30" s="34" cm="1">
        <f t="array" ref="R30">SUMPRODUCT(
(--(INT([1]EDI!$R$2:$R$10000)&gt;=DATE(2026,3,1))),
(--(INT([1]EDI!$R$2:$R$10000)&lt;=DATE(2026,3,31))),
(--([1]EDI!$Q$2:$Q$10000="Cancelled")))</f>
        <v>9</v>
      </c>
      <c r="S30" s="34" cm="1">
        <f t="array" ref="S30">SUMPRODUCT(
(--(INT([1]EDI!$R$2:$R$10000)&gt;=DATE(2026,4,1))),
(--(INT([1]EDI!$R$2:$R$10000)&lt;=DATE(2026,4,30))),
(--([1]EDI!$Q$2:$Q$10000="Cancelled")))</f>
        <v>8</v>
      </c>
      <c r="T30" s="34" cm="1">
        <f t="array" ref="T30">SUMPRODUCT(
(--(INT([1]EDI!$R$2:$R$10000)&gt;=DATE(2026,5,1))),
(--(INT([1]EDI!$R$2:$R$10000)&lt;=DATE(2026,5,31))),
(--([1]EDI!$Q$2:$Q$10000="Cancelled")))</f>
        <v>9</v>
      </c>
      <c r="U30" s="34" cm="1">
        <f t="array" ref="U30">SUMPRODUCT(
(--(INT([1]EDI!$R$2:$R$10000)&gt;=DATE(2026,6,1))),
(--(INT([1]EDI!$R$2:$R$10000)&lt;=DATE(2026,6,30))),
(--([1]EDI!$Q$2:$Q$10000="Cancelled")))</f>
        <v>12</v>
      </c>
    </row>
    <row r="31" spans="1:40" x14ac:dyDescent="0.25">
      <c r="A31" t="s">
        <v>40</v>
      </c>
      <c r="C31" s="34" cm="1">
        <f t="array" ref="C31">SUMPRODUCT(
(--(INT([1]EDI!$R$2:$R$10000)&gt;=DATE(2025,1,1))),
(--(INT([1]EDI!$R$2:$R$10000)&lt;=DATE(2025,1,31))),
(--([1]EDI!$Q$2:$Q$10000="On Hold")))</f>
        <v>0</v>
      </c>
      <c r="D31" s="34" cm="1">
        <f t="array" ref="D31">SUMPRODUCT(
(--(INT([1]EDI!$R$2:$R$10000)&gt;=DATE(2025,2,1))),
(--(INT([1]EDI!$R$2:$R$10000)&lt;=DATE(2025,2,29))),
(--([1]EDI!$Q$2:$Q$10000="On Hold")))</f>
        <v>0</v>
      </c>
      <c r="E31" s="34" cm="1">
        <f t="array" ref="E31">SUMPRODUCT(
(--(INT([1]EDI!$R$2:$R$10000)&gt;=DATE(2025,3,1))),
(--(INT([1]EDI!$R$2:$R$10000)&lt;=DATE(2025,3,31))),
(--([1]EDI!$Q$2:$Q$10000="On Hold")))</f>
        <v>0</v>
      </c>
      <c r="F31" s="34" cm="1">
        <f t="array" ref="F31">SUMPRODUCT(
(--(INT([1]EDI!$R$2:$R$10000)&gt;=DATE(2025,4,1))),
(--(INT([1]EDI!$R$2:$R$10000)&lt;=DATE(2025,4,30))),
(--([1]EDI!$Q$2:$Q$10000="On Hold")))</f>
        <v>1</v>
      </c>
      <c r="G31" s="34" cm="1">
        <f t="array" ref="G31">SUMPRODUCT(
(--(INT([1]EDI!$R$2:$R$10000)&gt;=DATE(2025,5,1))),
(--(INT([1]EDI!$R$2:$R$10000)&lt;=DATE(2025,5,31))),
(--([1]EDI!$Q$2:$Q$10000="On Hold")))</f>
        <v>0</v>
      </c>
      <c r="H31" s="34" cm="1">
        <f t="array" ref="H31">SUMPRODUCT(
(--(INT([1]EDI!$R$2:$R$10000)&gt;=DATE(2025,6,1))),
(--(INT([1]EDI!$R$2:$R$10000)&lt;=DATE(2025,6,30))),
(--([1]EDI!$Q$2:$Q$10000="On Hold")))</f>
        <v>0</v>
      </c>
      <c r="I31" s="34" cm="1">
        <f t="array" ref="I31">SUMPRODUCT(
(--(INT([1]EDI!$R$2:$R$10000)&gt;=DATE(2025,7,1))),
(--(INT([1]EDI!$R$2:$R$10000)&lt;=DATE(2025,7,31))),
(--([1]EDI!$Q$2:$Q$10000="On Hold")))</f>
        <v>0</v>
      </c>
      <c r="J31" s="34" cm="1">
        <f t="array" ref="J31">SUMPRODUCT(
(--(INT([1]EDI!$R$2:$R$10000)&gt;=DATE(2025,1,1))),
(--(INT([1]EDI!$R$2:$R$10000)&lt;=DATE(2025,1,31))),
(--([1]EDI!$Q$2:$Q$10000="On Hold")))</f>
        <v>0</v>
      </c>
      <c r="K31" s="34" cm="1">
        <f t="array" ref="K31">SUMPRODUCT(
(--(INT([1]EDI!$R$2:$R$10000)&gt;=DATE(2025,8,1))),
(--(INT([1]EDI!$R$2:$R$10000)&lt;=DATE(2025,8,31))),
(--([1]EDI!$Q$2:$Q$10000="On Hold")))</f>
        <v>0</v>
      </c>
      <c r="L31" s="34" cm="1">
        <f t="array" ref="L31">SUMPRODUCT(
(--(INT([1]EDI!$R$2:$R$10000)&gt;=DATE(2025,9,1))),
(--(INT([1]EDI!$R$2:$R$10000)&lt;=DATE(2025,9,30))),
(--([1]EDI!$Q$2:$Q$10000="On Hold")))</f>
        <v>0</v>
      </c>
      <c r="M31" s="34" cm="1">
        <f t="array" ref="M31">SUMPRODUCT(
(--(INT([1]EDI!$R$2:$R$10000)&gt;=DATE(2025,10,1))),
(--(INT([1]EDI!$R$2:$R$10000)&lt;=DATE(2025,10,31))),
(--([1]EDI!$Q$2:$Q$10000="On Hold")))</f>
        <v>0</v>
      </c>
      <c r="N31" s="34" cm="1">
        <f t="array" ref="N31">SUMPRODUCT(
(--(INT([1]EDI!$R$2:$R$10000)&gt;=DATE(2025,11,1))),
(--(INT([1]EDI!$R$2:$R$10000)&lt;=DATE(2025,11,30))),
(--([1]EDI!$Q$2:$Q$10000="On Hold")))</f>
        <v>0</v>
      </c>
      <c r="O31" s="34" cm="1">
        <f t="array" ref="O31">SUMPRODUCT(
(--(INT([1]EDI!$R$2:$R$10000)&gt;=DATE(2025,12,1))),
(--(INT([1]EDI!$R$2:$R$10000)&lt;=DATE(2025,12,31))),
(--([1]EDI!$Q$2:$Q$10000="On Hold")))</f>
        <v>0</v>
      </c>
      <c r="P31" s="34" cm="1">
        <f t="array" ref="P31">SUMPRODUCT(
(--(INT([1]EDI!$R$2:$R$10000)&gt;=DATE(2026,1,1))),
(--(INT([1]EDI!$R$2:$R$10000)&lt;=DATE(2026,1,31))),
(--([1]EDI!$Q$2:$Q$10000="On Hold")))</f>
        <v>1</v>
      </c>
      <c r="Q31" s="34" cm="1">
        <f t="array" ref="Q31">SUMPRODUCT(
(--(INT([1]EDI!$R$2:$R$10000)&gt;=DATE(2026,2,1))),
(--(INT([1]EDI!$R$2:$R$10000)&lt;=DATE(2026,2,29))),
(--([1]EDI!$Q$2:$Q$10000="On Hold")))</f>
        <v>0</v>
      </c>
      <c r="R31" s="34" cm="1">
        <f t="array" ref="R31">SUMPRODUCT(
(--(INT([1]EDI!$R$2:$R$10000)&gt;=DATE(2026,3,1))),
(--(INT([1]EDI!$R$2:$R$10000)&lt;=DATE(2026,3,31))),
(--([1]EDI!$Q$2:$Q$10000="On Hold")))</f>
        <v>0</v>
      </c>
      <c r="S31" s="34" cm="1">
        <f t="array" ref="S31">SUMPRODUCT(
(--(INT([1]EDI!$R$2:$R$10000)&gt;=DATE(2026,4,1))),
(--(INT([1]EDI!$R$2:$R$10000)&lt;=DATE(2026,4,30))),
(--([1]EDI!$Q$2:$Q$10000="On Hold")))</f>
        <v>0</v>
      </c>
      <c r="T31" s="34" cm="1">
        <f t="array" ref="T31">SUMPRODUCT(
(--(INT([1]EDI!$R$2:$R$10000)&gt;=DATE(2026,5,1))),
(--(INT([1]EDI!$R$2:$R$10000)&lt;=DATE(2026,5,31))),
(--([1]EDI!$Q$2:$Q$10000="On Hold")))</f>
        <v>0</v>
      </c>
      <c r="U31" s="34" cm="1">
        <f t="array" ref="U31">SUMPRODUCT(
(--(INT([1]EDI!$R$2:$R$10000)&gt;=DATE(2026,6,1))),
(--(INT([1]EDI!$R$2:$R$10000)&lt;=DATE(2026,6,30))),
(--([1]EDI!$Q$2:$Q$10000="On Hold")))</f>
        <v>0</v>
      </c>
    </row>
    <row r="32" spans="1:40" x14ac:dyDescent="0.25">
      <c r="A32" t="s">
        <v>41</v>
      </c>
      <c r="C32" s="34" cm="1">
        <f t="array" ref="C32">SUMPRODUCT(
(--(INT([1]EDI!$R$2:$R$10000)&gt;=DATE(2025,1,1))),
(--(INT([1]EDI!$R$2:$R$10000)&lt;=DATE(2025,1,31))),
(--([1]EDI!$Q$2:$Q$10000="Blocked")))</f>
        <v>0</v>
      </c>
      <c r="D32" s="34" cm="1">
        <f t="array" ref="D32">SUMPRODUCT(
(--(INT([1]EDI!$R$2:$R$10000)&gt;=DATE(2025,2,1))),
(--(INT([1]EDI!$R$2:$R$10000)&lt;=DATE(2025,2,29))),
(--([1]EDI!$Q$2:$Q$10000="Blocked")))</f>
        <v>0</v>
      </c>
      <c r="E32" s="34" cm="1">
        <f t="array" ref="E32">SUMPRODUCT(
(--(INT([1]EDI!$R$2:$R$10000)&gt;=DATE(2025,3,1))),
(--(INT([1]EDI!$R$2:$R$10000)&lt;=DATE(2025,3,31))),
(--([1]EDI!$Q$2:$Q$10000="Blocked")))</f>
        <v>0</v>
      </c>
      <c r="F32" s="34" cm="1">
        <f t="array" ref="F32">SUMPRODUCT(
(--(INT([1]EDI!$R$2:$R$10000)&gt;=DATE(2025,4,1))),
(--(INT([1]EDI!$R$2:$R$10000)&lt;=DATE(2025,4,30))),
(--([1]EDI!$Q$2:$Q$10000="Blocked")))</f>
        <v>0</v>
      </c>
      <c r="G32" s="34" cm="1">
        <f t="array" ref="G32">SUMPRODUCT(
(--(INT([1]EDI!$R$2:$R$10000)&gt;=DATE(2025,5,1))),
(--(INT([1]EDI!$R$2:$R$10000)&lt;=DATE(2025,5,31))),
(--([1]EDI!$Q$2:$Q$10000="Blocked")))</f>
        <v>0</v>
      </c>
      <c r="H32" s="34" cm="1">
        <f t="array" ref="H32">SUMPRODUCT(
(--(INT([1]EDI!$R$2:$R$10000)&gt;=DATE(2025,6,1))),
(--(INT([1]EDI!$R$2:$R$10000)&lt;=DATE(2025,6,30))),
(--([1]EDI!$Q$2:$Q$10000="Blocked")))</f>
        <v>0</v>
      </c>
      <c r="I32" s="34" cm="1">
        <f t="array" ref="I32">SUMPRODUCT(
(--(INT([1]EDI!$R$2:$R$10000)&gt;=DATE(2025,7,1))),
(--(INT([1]EDI!$R$2:$R$10000)&lt;=DATE(2025,7,31))),
(--([1]EDI!$Q$2:$Q$10000="Blocked")))</f>
        <v>0</v>
      </c>
      <c r="J32" s="34" cm="1">
        <f t="array" ref="J32">SUMPRODUCT(
(--(INT([1]EDI!$R$2:$R$10000)&gt;=DATE(2025,1,1))),
(--(INT([1]EDI!$R$2:$R$10000)&lt;=DATE(2025,1,31))),
(--([1]EDI!$Q$2:$Q$10000="Blocked")))</f>
        <v>0</v>
      </c>
      <c r="K32" s="34" cm="1">
        <f t="array" ref="K32">SUMPRODUCT(
(--(INT([1]EDI!$R$2:$R$10000)&gt;=DATE(2025,8,1))),
(--(INT([1]EDI!$R$2:$R$10000)&lt;=DATE(2025,8,31))),
(--([1]EDI!$Q$2:$Q$10000="Blocked")))</f>
        <v>0</v>
      </c>
      <c r="L32" s="34" cm="1">
        <f t="array" ref="L32">SUMPRODUCT(
(--(INT([1]EDI!$R$2:$R$10000)&gt;=DATE(2025,9,1))),
(--(INT([1]EDI!$R$2:$R$10000)&lt;=DATE(2025,9,30))),
(--([1]EDI!$Q$2:$Q$10000="Blocked")))</f>
        <v>0</v>
      </c>
      <c r="M32" s="34" cm="1">
        <f t="array" ref="M32">SUMPRODUCT(
(--(INT([1]EDI!$R$2:$R$10000)&gt;=DATE(2025,10,1))),
(--(INT([1]EDI!$R$2:$R$10000)&lt;=DATE(2025,10,31))),
(--([1]EDI!$Q$2:$Q$10000="Blocked")))</f>
        <v>0</v>
      </c>
      <c r="N32" s="34" cm="1">
        <f t="array" ref="N32">SUMPRODUCT(
(--(INT([1]EDI!$R$2:$R$10000)&gt;=DATE(2025,11,1))),
(--(INT([1]EDI!$R$2:$R$10000)&lt;=DATE(2025,11,30))),
(--([1]EDI!$Q$2:$Q$10000="Blocked")))</f>
        <v>0</v>
      </c>
      <c r="O32" s="34" cm="1">
        <f t="array" ref="O32">SUMPRODUCT(
(--(INT([1]EDI!$R$2:$R$10000)&gt;=DATE(2025,12,1))),
(--(INT([1]EDI!$R$2:$R$10000)&lt;=DATE(2025,12,31))),
(--([1]EDI!$Q$2:$Q$10000="Blocked")))</f>
        <v>0</v>
      </c>
      <c r="P32" s="34" cm="1">
        <f t="array" ref="P32">SUMPRODUCT(
(--(INT([1]EDI!$R$2:$R$10000)&gt;=DATE(2026,1,1))),
(--(INT([1]EDI!$R$2:$R$10000)&lt;=DATE(2026,1,31))),
(--([1]EDI!$Q$2:$Q$10000="Blocked")))</f>
        <v>0</v>
      </c>
      <c r="Q32" s="34" cm="1">
        <f t="array" ref="Q32">SUMPRODUCT(
(--(INT([1]EDI!$R$2:$R$10000)&gt;=DATE(2026,2,1))),
(--(INT([1]EDI!$R$2:$R$10000)&lt;=DATE(2026,2,29))),
(--([1]EDI!$Q$2:$Q$10000="Blocked")))</f>
        <v>0</v>
      </c>
      <c r="R32" s="34" cm="1">
        <f t="array" ref="R32">SUMPRODUCT(
(--(INT([1]EDI!$R$2:$R$10000)&gt;=DATE(2026,3,1))),
(--(INT([1]EDI!$R$2:$R$10000)&lt;=DATE(2026,3,31))),
(--([1]EDI!$Q$2:$Q$10000="Blocked")))</f>
        <v>0</v>
      </c>
      <c r="S32" s="34" cm="1">
        <f t="array" ref="S32">SUMPRODUCT(
(--(INT([1]EDI!$R$2:$R$10000)&gt;=DATE(2026,4,1))),
(--(INT([1]EDI!$R$2:$R$10000)&lt;=DATE(2026,4,30))),
(--([1]EDI!$Q$2:$Q$10000="Blocked")))</f>
        <v>0</v>
      </c>
      <c r="T32" s="34" cm="1">
        <f t="array" ref="T32">SUMPRODUCT(
(--(INT([1]EDI!$R$2:$R$10000)&gt;=DATE(2026,5,1))),
(--(INT([1]EDI!$R$2:$R$10000)&lt;=DATE(2026,5,31))),
(--([1]EDI!$Q$2:$Q$10000="Blocked")))</f>
        <v>0</v>
      </c>
      <c r="U32" s="34" cm="1">
        <f t="array" ref="U32">SUMPRODUCT(
(--(INT([1]EDI!$R$2:$R$10000)&gt;=DATE(2026,6,1))),
(--(INT([1]EDI!$R$2:$R$10000)&lt;=DATE(2026,6,30))),
(--([1]EDI!$Q$2:$Q$10000="Blocked")))</f>
        <v>0</v>
      </c>
    </row>
    <row r="33" spans="1:25" x14ac:dyDescent="0.25">
      <c r="A33" t="s">
        <v>45</v>
      </c>
      <c r="C33" s="34">
        <v>0</v>
      </c>
      <c r="D33" s="34">
        <v>1</v>
      </c>
      <c r="E33" s="34">
        <v>2</v>
      </c>
      <c r="F33" s="34">
        <v>3</v>
      </c>
      <c r="G33" s="34">
        <v>4</v>
      </c>
      <c r="H33" s="34">
        <v>5</v>
      </c>
      <c r="I33" s="34">
        <v>6</v>
      </c>
      <c r="J33" s="34">
        <v>7</v>
      </c>
      <c r="K33" s="34">
        <v>8</v>
      </c>
      <c r="L33" s="34">
        <v>9</v>
      </c>
      <c r="M33" s="34">
        <v>10</v>
      </c>
      <c r="N33" s="34">
        <v>11</v>
      </c>
      <c r="O33" s="34">
        <v>12</v>
      </c>
      <c r="P33" s="34">
        <v>8</v>
      </c>
      <c r="Q33" s="34">
        <v>8</v>
      </c>
      <c r="R33" s="34">
        <v>6</v>
      </c>
      <c r="S33" s="34">
        <v>4</v>
      </c>
      <c r="T33" s="34"/>
      <c r="U33" s="34"/>
    </row>
    <row r="34" spans="1:25" ht="17.25" x14ac:dyDescent="0.3">
      <c r="A34" s="67" t="s">
        <v>38</v>
      </c>
      <c r="B34" s="40"/>
      <c r="C34" s="68">
        <f>C28+C29+C31+C32-C33</f>
        <v>88</v>
      </c>
      <c r="D34" s="68">
        <f t="shared" ref="D34:I34" si="11">D27+D28+D29+D31+D32-D33</f>
        <v>51</v>
      </c>
      <c r="E34" s="68">
        <f t="shared" si="11"/>
        <v>46</v>
      </c>
      <c r="F34" s="68">
        <f t="shared" si="11"/>
        <v>57</v>
      </c>
      <c r="G34" s="68">
        <f t="shared" si="11"/>
        <v>22</v>
      </c>
      <c r="H34" s="68">
        <f t="shared" si="11"/>
        <v>42</v>
      </c>
      <c r="I34" s="68">
        <f t="shared" si="11"/>
        <v>37</v>
      </c>
      <c r="J34" s="44"/>
      <c r="K34" s="68">
        <f>K27+K28+K29+K31+K32-K33</f>
        <v>30</v>
      </c>
      <c r="L34" s="68">
        <f>L27+L28+L29+L31+L32-L33</f>
        <v>45</v>
      </c>
      <c r="M34" s="68">
        <f>M27+M28+M29+M31+M32-M33</f>
        <v>44</v>
      </c>
      <c r="N34" s="68">
        <f>N27+N28+N29+N31+N32-N33</f>
        <v>73</v>
      </c>
      <c r="O34" s="68">
        <f>O27+O28+O29+O31+O32-O33</f>
        <v>116</v>
      </c>
      <c r="P34" s="68">
        <f t="shared" ref="P34:Q34" si="12">P27+P28+P29+P31+P32-P33</f>
        <v>126</v>
      </c>
      <c r="Q34" s="68">
        <f t="shared" si="12"/>
        <v>108</v>
      </c>
      <c r="R34" s="68">
        <f t="shared" ref="R34:T34" si="13">R27+R28+R29+R31+R32-R33</f>
        <v>88</v>
      </c>
      <c r="S34" s="68">
        <f t="shared" si="13"/>
        <v>124</v>
      </c>
      <c r="T34" s="68">
        <f t="shared" si="13"/>
        <v>98</v>
      </c>
      <c r="U34" s="68">
        <f t="shared" ref="U34" si="14">U27+U28+U29+U31+U32-U33</f>
        <v>123</v>
      </c>
    </row>
    <row r="35" spans="1:25" x14ac:dyDescent="0.25">
      <c r="A35" s="14" t="s">
        <v>65</v>
      </c>
      <c r="C35" s="56" cm="1">
        <f t="array" ref="C35">SUMPRODUCT(
  --(MONTH([1]EDI!$R$2:$R$10000)=1),
  --(YEAR([1]EDI!$R$2:$R$10000)=2025),
 --([1]EDI!$I$2:$I$10000="EDI"),
  --ISNUMBER(MATCH([1]EDI!$O$2:$O$10000, {"Everything Benefits","eBenefits Network"}, 0)),
  --(LOWER([1]EDI!$Q$2:$Q$10000)&lt;&gt;"Cancelled")
)</f>
        <v>2</v>
      </c>
      <c r="D35" s="56" cm="1">
        <f t="array" ref="D35">SUMPRODUCT(
  --(MONTH([1]EDI!$R$2:$R$10000)=2),
  --(YEAR([1]EDI!$R$2:$R$10000)=2025),
 --([1]EDI!$I$2:$I$10000="EDI"),
  --ISNUMBER(MATCH([1]EDI!$O$2:$O$10000, {"Everything Benefits","eBenefits Network"}, 0)),
  --(LOWER([1]EDI!$Q$2:$Q$10000)&lt;&gt;"Cancelled")
)</f>
        <v>1</v>
      </c>
      <c r="E35" s="56" cm="1">
        <f t="array" ref="E35">SUMPRODUCT(
  --(MONTH([1]EDI!$R$2:$R$10000)=3),
  --(YEAR([1]EDI!$R$2:$R$10000)=2025),
 --([1]EDI!$I$2:$I$10000="EDI"),
  --ISNUMBER(MATCH([1]EDI!$O$2:$O$10000, {"Everything Benefits","eBenefits Network"}, 0)),
  --(LOWER([1]EDI!$Q$2:$Q$10000)&lt;&gt;"Cancelled")
)</f>
        <v>0</v>
      </c>
      <c r="F35" s="56" cm="1">
        <f t="array" ref="F35">SUMPRODUCT(
  --(MONTH([1]EDI!$R$2:$R$10000)=4),
  --(YEAR([1]EDI!$R$2:$R$10000)=2025),
 --([1]EDI!$I$2:$I$10000="EDI"),
  --ISNUMBER(MATCH([1]EDI!$O$2:$O$10000, {"Everything Benefits","eBenefits Network"}, 0)),
  --(LOWER([1]EDI!$Q$2:$Q$10000)&lt;&gt;"Cancelled")
)</f>
        <v>3</v>
      </c>
      <c r="G35" s="56" cm="1">
        <f t="array" ref="G35">SUMPRODUCT(
  --(MONTH([1]EDI!$R$2:$R$10000)=5),
  --(YEAR([1]EDI!$R$2:$R$10000)=2025),
 --([1]EDI!$I$2:$I$10000="EDI"),
  --ISNUMBER(MATCH([1]EDI!$O$2:$O$10000, {"Everything Benefits","eBenefits Network"}, 0)),
  --(LOWER([1]EDI!$Q$2:$Q$10000)&lt;&gt;"Cancelled")
)</f>
        <v>0</v>
      </c>
      <c r="H35" s="56" cm="1">
        <f t="array" ref="H35">SUMPRODUCT(
  --(MONTH([1]EDI!$R$2:$R$10000)=6),
  --(YEAR([1]EDI!$R$2:$R$10000)=2025),
 --([1]EDI!$I$2:$I$10000="EDI"),
  --ISNUMBER(MATCH([1]EDI!$O$2:$O$10000, {"Everything Benefits","eBenefits Network"}, 0)),
  --(LOWER([1]EDI!$Q$2:$Q$10000)&lt;&gt;"Cancelled")
)</f>
        <v>5</v>
      </c>
      <c r="I35" s="56" cm="1">
        <f t="array" ref="I35">SUMPRODUCT(
  --(MONTH([1]EDI!$R$2:$R$10000)=7),
  --(YEAR([1]EDI!$R$2:$R$10000)=2025),
 --([1]EDI!$I$2:$I$10000="EDI"),
  --ISNUMBER(MATCH([1]EDI!$O$2:$O$10000, {"Everything Benefits","eBenefits Network"}, 0)),
  --(LOWER([1]EDI!$Q$2:$Q$10000)&lt;&gt;"Cancelled")
)</f>
        <v>1</v>
      </c>
      <c r="J35" s="56" cm="1">
        <f t="array" ref="J35">SUMPRODUCT(
  --(MONTH([1]EDI!$R$2:$R$10000)=1),
  --(YEAR([1]EDI!$R$2:$R$10000)=2025),
 --([1]EDI!$I$2:$I$10000="EDI"),
  --ISNUMBER(MATCH([1]EDI!$O$2:$O$10000, {"Everything Benefits","eBenefits Network"}, 0)),
  --(LOWER([1]EDI!$Q$2:$Q$10000)&lt;&gt;"Cancelled")
)</f>
        <v>2</v>
      </c>
      <c r="K35" s="56" cm="1">
        <f t="array" ref="K35">SUMPRODUCT(
  --(MONTH([1]EDI!$R$2:$R$10000)=8),
  --(YEAR([1]EDI!$R$2:$R$10000)=2025),
 --([1]EDI!$I$2:$I$10000="EDI"),
  --ISNUMBER(MATCH([1]EDI!$O$2:$O$10000, {"Everything Benefits","eBenefits Network"}, 0)),
  --(LOWER([1]EDI!$Q$2:$Q$10000)&lt;&gt;"Cancelled")
)</f>
        <v>0</v>
      </c>
      <c r="L35" s="56" cm="1">
        <f t="array" ref="L35">SUMPRODUCT(
  --(MONTH([1]EDI!$R$2:$R$10000)=9),
  --(YEAR([1]EDI!$R$2:$R$10000)=2025),
 --([1]EDI!$I$2:$I$10000="EDI"),
  --ISNUMBER(MATCH([1]EDI!$O$2:$O$10000, {"Everything Benefits","eBenefits Network"}, 0)),
  --(LOWER([1]EDI!$Q$2:$Q$10000)&lt;&gt;"Cancelled")
)</f>
        <v>4</v>
      </c>
      <c r="M35" s="56" cm="1">
        <f t="array" ref="M35">SUMPRODUCT(
  --(MONTH([1]EDI!$R$2:$R$10000)=10),
  --(YEAR([1]EDI!$R$2:$R$10000)=2025),
 --([1]EDI!$I$2:$I$10000="EDI"),
  --ISNUMBER(MATCH([1]EDI!$O$2:$O$10000, {"Everything Benefits","eBenefits Network"}, 0)),
  --(LOWER([1]EDI!$Q$2:$Q$10000)&lt;&gt;"Cancelled")
)</f>
        <v>11</v>
      </c>
      <c r="N35" s="56" cm="1">
        <f t="array" ref="N35">SUMPRODUCT(
  --(MONTH([1]EDI!$R$2:$R$10000)=11),
  --(YEAR([1]EDI!$R$2:$R$10000)=2025),
 --([1]EDI!$I$2:$I$10000="EDI"),
  --ISNUMBER(MATCH([1]EDI!$O$2:$O$10000, {"Everything Benefits","eBenefits Network"}, 0)),
  --(LOWER([1]EDI!$Q$2:$Q$10000)&lt;&gt;"Cancelled")
)</f>
        <v>8</v>
      </c>
      <c r="O35" s="56" cm="1">
        <f t="array" ref="O35">SUMPRODUCT(
  --(MONTH([1]EDI!$R$2:$R$10000)=12),
  --(YEAR([1]EDI!$R$2:$R$10000)=2025),
 --([1]EDI!$I$2:$I$10000="EDI"),
  --ISNUMBER(MATCH([1]EDI!$O$2:$O$10000, {"Everything Benefits","eBenefits Network"}, 0)),
  --(LOWER([1]EDI!$Q$2:$Q$10000)&lt;&gt;"Cancelled")
)</f>
        <v>0</v>
      </c>
      <c r="P35" s="56" cm="1">
        <f t="array" ref="P35">SUMPRODUCT(
  --(MONTH([1]EDI!$R$2:$R$10000)=1),
  --(YEAR([1]EDI!$R$2:$R$10000)=2026),
 --([1]EDI!$I$2:$I$10000="EDI"),
  --ISNUMBER(MATCH([1]EDI!$O$2:$O$10000, {"Everything Benefits","eBenefits Network"}, 0)),
  --(LOWER([1]EDI!$Q$2:$Q$10000)&lt;&gt;"Cancelled")
)</f>
        <v>3</v>
      </c>
      <c r="Q35" s="56" cm="1">
        <f t="array" ref="Q35">SUMPRODUCT(
  --(MONTH([1]EDI!$R$2:$R$10000)=2),
  --(YEAR([1]EDI!$R$2:$R$10000)=2026),
 --([1]EDI!$I$2:$I$10000="EDI"),
  --ISNUMBER(MATCH([1]EDI!$O$2:$O$10000, {"Everything Benefits","eBenefits Network"}, 0)),
  --(LOWER([1]EDI!$Q$2:$Q$10000)&lt;&gt;"Cancelled")
)</f>
        <v>7</v>
      </c>
      <c r="R35" s="56" cm="1">
        <f t="array" ref="R35">SUMPRODUCT(
  --(MONTH([1]EDI!$R$2:$R$10000)=3),
  --(YEAR([1]EDI!$R$2:$R$10000)=2026),
 --([1]EDI!$I$2:$I$10000="EDI"),
  --ISNUMBER(MATCH([1]EDI!$O$2:$O$10000, {"Everything Benefits","eBenefits Network"}, 0)),
  --(LOWER([1]EDI!$Q$2:$Q$10000)&lt;&gt;"Cancelled")
)</f>
        <v>24</v>
      </c>
      <c r="S35" s="56" cm="1">
        <f t="array" ref="S35">SUMPRODUCT(
  --(MONTH([1]EDI!$R$2:$R$10000)=4),
  --(YEAR([1]EDI!$R$2:$R$10000)=2026),
 --([1]EDI!$I$2:$I$10000="EDI"),
  --ISNUMBER(MATCH([1]EDI!$O$2:$O$10000, {"Everything Benefits","eBenefits Network"}, 0)),
  --(LOWER([1]EDI!$Q$2:$Q$10000)&lt;&gt;"Cancelled")
)</f>
        <v>44</v>
      </c>
      <c r="T35" s="56" cm="1">
        <f t="array" ref="T35">SUMPRODUCT(
  --(MONTH([1]EDI!$R$2:$R$10000)=5),
  --(YEAR([1]EDI!$R$2:$R$10000)=2026),
 --([1]EDI!$I$2:$I$10000="EDI"),
  --ISNUMBER(MATCH([1]EDI!$O$2:$O$10000, {"Everything Benefits","eBenefits Network"}, 0)),
  --(LOWER([1]EDI!$Q$2:$Q$10000)&lt;&gt;"Cancelled")
)</f>
        <v>31</v>
      </c>
      <c r="U35" s="56" cm="1">
        <f t="array" ref="U35">SUMPRODUCT(
  --(MONTH([1]EDI!$R$2:$R$10000)=6),
  --(YEAR([1]EDI!$R$2:$R$10000)=2026),
 --([1]EDI!$I$2:$I$10000="EDI"),
  --ISNUMBER(MATCH([1]EDI!$O$2:$O$10000, {"Everything Benefits","eBenefits Network"}, 0)),
  --(LOWER([1]EDI!$Q$2:$Q$10000)&lt;&gt;"Cancelled")
)</f>
        <v>30</v>
      </c>
      <c r="Y35" s="64">
        <f>SUM(C35:O35)</f>
        <v>37</v>
      </c>
    </row>
    <row r="36" spans="1:25" x14ac:dyDescent="0.25">
      <c r="A36" s="14" t="s">
        <v>73</v>
      </c>
      <c r="C36" s="56" cm="1">
        <f t="array" ref="C36">SUMPRODUCT(
  --(MONTH([1]EDI!$R$2:$R$10000)=1),
  --(YEAR([1]EDI!$R$2:$R$10000)=2025),
  --([1]EDI!$I$2:$I$10000="Forms"),
  --(LOWER([1]EDI!$Q$2:$Q$10000)&lt;&gt;"cancelled")
)</f>
        <v>0</v>
      </c>
      <c r="D36" s="56" cm="1">
        <f t="array" ref="D36">SUMPRODUCT(
  --(MONTH([1]EDI!$R$2:$R$10000)=2),
  --(YEAR([1]EDI!$R$2:$R$10000)=2025),
  --([1]EDI!$I$2:$I$10000="Forms"),
  --(LOWER([1]EDI!$Q$2:$Q$10000)&lt;&gt;"cancelled")
)</f>
        <v>0</v>
      </c>
      <c r="E36" s="56" cm="1">
        <f t="array" ref="E36">SUMPRODUCT(
  --(MONTH([1]EDI!$R$2:$R$10000)=3),
  --(YEAR([1]EDI!$R$2:$R$10000)=2025),
  --([1]EDI!$I$2:$I$10000="Forms"),
  --(LOWER([1]EDI!$Q$2:$Q$10000)&lt;&gt;"cancelled")
)</f>
        <v>0</v>
      </c>
      <c r="F36" s="56" cm="1">
        <f t="array" ref="F36">SUMPRODUCT(
  --(MONTH([1]EDI!$R$2:$R$10000)=4),
  --(YEAR([1]EDI!$R$2:$R$10000)=2025),
  --([1]EDI!$I$2:$I$10000="Forms"),
  --(LOWER([1]EDI!$Q$2:$Q$10000)&lt;&gt;"cancelled")
)</f>
        <v>0</v>
      </c>
      <c r="G36" s="56" cm="1">
        <f t="array" ref="G36">SUMPRODUCT(
  --(MONTH([1]EDI!$R$2:$R$10000)=5),
  --(YEAR([1]EDI!$R$2:$R$10000)=2025),
  --([1]EDI!$I$2:$I$10000="Forms"),
  --(LOWER([1]EDI!$Q$2:$Q$10000)&lt;&gt;"cancelled")
)</f>
        <v>0</v>
      </c>
      <c r="H36" s="56" cm="1">
        <f t="array" ref="H36">SUMPRODUCT(
  --(MONTH([1]EDI!$R$2:$R$10000)=6),
  --(YEAR([1]EDI!$R$2:$R$10000)=2025),
  --([1]EDI!$I$2:$I$10000="Forms"),
  --(LOWER([1]EDI!$Q$2:$Q$10000)&lt;&gt;"cancelled")
)</f>
        <v>0</v>
      </c>
      <c r="I36" s="56" cm="1">
        <f t="array" ref="I36">SUMPRODUCT(
  --(MONTH([1]EDI!$R$2:$R$10000)=7),
  --(YEAR([1]EDI!$R$2:$R$10000)=2025),
  --([1]EDI!$I$2:$I$10000="Forms"),
  --(LOWER([1]EDI!$Q$2:$Q$10000)&lt;&gt;"cancelled")
)</f>
        <v>0</v>
      </c>
      <c r="J36" s="56" cm="1">
        <f t="array" ref="J36">SUMPRODUCT(
  --(MONTH([1]EDI!$R$2:$R$10000)=1),
  --(YEAR([1]EDI!$R$2:$R$10000)=2025),
  --([1]EDI!$I$2:$I$10000="Forms"),
  --(LOWER([1]EDI!$Q$2:$Q$10000)&lt;&gt;"cancelled")
)</f>
        <v>0</v>
      </c>
      <c r="K36" s="56" cm="1">
        <f t="array" ref="K36">SUMPRODUCT(
  --(MONTH([1]EDI!$R$2:$R$10000)=8),
  --(YEAR([1]EDI!$R$2:$R$10000)=2025),
  --([1]EDI!$I$2:$I$10000="Forms"),
  --(LOWER([1]EDI!$Q$2:$Q$10000)&lt;&gt;"cancelled")
)</f>
        <v>0</v>
      </c>
      <c r="L36" s="56" cm="1">
        <f t="array" ref="L36">SUMPRODUCT(
  --(MONTH([1]EDI!$R$2:$R$10000)=9),
  --(YEAR([1]EDI!$R$2:$R$10000)=2025),
  --([1]EDI!$I$2:$I$10000="Forms"),
  --(LOWER([1]EDI!$Q$2:$Q$10000)&lt;&gt;"cancelled")
)</f>
        <v>0</v>
      </c>
      <c r="M36" s="56" cm="1">
        <f t="array" ref="M36">SUMPRODUCT(
  --(MONTH([1]EDI!$R$2:$R$10000)=10),
  --(YEAR([1]EDI!$R$2:$R$10000)=2025),
  --([1]EDI!$I$2:$I$10000="Forms"),
  --(LOWER([1]EDI!$Q$2:$Q$10000)&lt;&gt;"cancelled")
)</f>
        <v>0</v>
      </c>
      <c r="N36" s="56" cm="1">
        <f t="array" ref="N36">SUMPRODUCT(
  --(MONTH([1]EDI!$R$2:$R$10000)=11),
  --(YEAR([1]EDI!$R$2:$R$10000)=2025),
  --([1]EDI!$I$2:$I$10000="Forms"),
  --(LOWER([1]EDI!$Q$2:$Q$10000)&lt;&gt;"cancelled")
)</f>
        <v>0</v>
      </c>
      <c r="O36" s="56" cm="1">
        <f t="array" ref="O36">SUMPRODUCT(
  --(MONTH([1]EDI!$R$2:$R$10000)=12),
  --(YEAR([1]EDI!$R$2:$R$10000)=2025),
  --([1]EDI!$I$2:$I$10000="Forms"),
  --(LOWER([1]EDI!$Q$2:$Q$10000)&lt;&gt;"cancelled")
)</f>
        <v>0</v>
      </c>
      <c r="P36" s="56" cm="1">
        <f t="array" ref="P36">SUMPRODUCT(
  --(MONTH([1]EDI!$R$2:$R$10000)=1),
  --(YEAR([1]EDI!$R$2:$R$10000)=2026),
  --([1]EDI!$I$2:$I$10000="Forms"),
  --(LOWER([1]EDI!$Q$2:$Q$10000)&lt;&gt;"cancelled")
)</f>
        <v>11</v>
      </c>
      <c r="Q36" s="56" cm="1">
        <f t="array" ref="Q36">SUMPRODUCT(
  --(MONTH([1]EDI!$R$2:$R$10000)=2),
  --(YEAR([1]EDI!$R$2:$R$10000)=2026),
  --([1]EDI!$I$2:$I$10000="Forms"),
  --(LOWER([1]EDI!$Q$2:$Q$10000)&lt;&gt;"cancelled")
)</f>
        <v>1</v>
      </c>
      <c r="R36" s="56" cm="1">
        <f t="array" ref="R36">SUMPRODUCT(
  --(MONTH([1]EDI!$R$2:$R$10000)=3),
  --(YEAR([1]EDI!$R$2:$R$10000)=2026),
  --([1]EDI!$I$2:$I$10000="Forms"),
  --(LOWER([1]EDI!$Q$2:$Q$10000)&lt;&gt;"cancelled")
)</f>
        <v>4</v>
      </c>
      <c r="S36" s="56" cm="1">
        <f t="array" ref="S36">SUMPRODUCT(
  --(MONTH([1]EDI!$R$2:$R$10000)=4),
  --(YEAR([1]EDI!$R$2:$R$10000)=2026),
  --([1]EDI!$I$2:$I$10000="Forms"),
  --(LOWER([1]EDI!$Q$2:$Q$10000)&lt;&gt;"cancelled")
)</f>
        <v>6</v>
      </c>
      <c r="T36" s="56" cm="1">
        <f t="array" ref="T36">SUMPRODUCT(
  --(MONTH([1]EDI!$R$2:$R$10000)=5),
  --(YEAR([1]EDI!$R$2:$R$10000)=2026),
  --([1]EDI!$I$2:$I$10000="Forms"),
  --(LOWER([1]EDI!$Q$2:$Q$10000)&lt;&gt;"cancelled")
)</f>
        <v>2</v>
      </c>
      <c r="U36" s="56" cm="1">
        <f t="array" ref="U36">SUMPRODUCT(
  --(MONTH([1]EDI!$R$2:$R$10000)=6),
  --(YEAR([1]EDI!$R$2:$R$10000)=2026),
  --([1]EDI!$I$2:$I$10000="Forms"),
  --(LOWER([1]EDI!$Q$2:$Q$10000)&lt;&gt;"cancelled")
)</f>
        <v>2</v>
      </c>
      <c r="Y36" s="64">
        <f>SUM(C36:R36)</f>
        <v>16</v>
      </c>
    </row>
    <row r="37" spans="1:25" x14ac:dyDescent="0.25">
      <c r="A37" s="14" t="s">
        <v>77</v>
      </c>
      <c r="C37" s="72" cm="1">
        <f t="array" ref="C37">SUMPRODUCT(
  --(MONTH([1]EDI!$R$2:$R$10000)=1),
  --(YEAR([1]EDI!$R$2:$R$10000)=2025),
  --([1]EDI!$I$2:$I$10000="Forms"),
  --(LOWER([1]EDI!$Q$2:$Q$10000)="cancelled")
)</f>
        <v>2</v>
      </c>
      <c r="D37" s="72" cm="1">
        <f t="array" ref="D37">SUMPRODUCT(
  --(MONTH([1]EDI!$R$2:$R$10000)=2),
  --(YEAR([1]EDI!$R$2:$R$10000)=2025),
  --([1]EDI!$I$2:$I$10000="Forms"),
  --(LOWER([1]EDI!$Q$2:$Q$10000)="cancelled")
)</f>
        <v>6</v>
      </c>
      <c r="E37" s="72" cm="1">
        <f t="array" ref="E37">SUMPRODUCT(
  --(MONTH([1]EDI!$R$2:$R$10000)=3),
  --(YEAR([1]EDI!$R$2:$R$10000)=2025),
  --([1]EDI!$I$2:$I$10000="Forms"),
  --(LOWER([1]EDI!$Q$2:$Q$10000)="cancelled")
)</f>
        <v>0</v>
      </c>
      <c r="F37" s="72" cm="1">
        <f t="array" ref="F37">SUMPRODUCT(
  --(MONTH([1]EDI!$R$2:$R$10000)=4),
  --(YEAR([1]EDI!$R$2:$R$10000)=2025),
  --([1]EDI!$I$2:$I$10000="Forms"),
  --(LOWER([1]EDI!$Q$2:$Q$10000)="cancelled")
)</f>
        <v>1</v>
      </c>
      <c r="G37" s="72" cm="1">
        <f t="array" ref="G37">SUMPRODUCT(
  --(MONTH([1]EDI!$R$2:$R$10000)=5),
  --(YEAR([1]EDI!$R$2:$R$10000)=2025),
  --([1]EDI!$I$2:$I$10000="Forms"),
  --(LOWER([1]EDI!$Q$2:$Q$10000)="cancelled")
)</f>
        <v>3</v>
      </c>
      <c r="H37" s="72" cm="1">
        <f t="array" ref="H37">SUMPRODUCT(
  --(MONTH([1]EDI!$R$2:$R$10000)=6),
  --(YEAR([1]EDI!$R$2:$R$10000)=2025),
  --([1]EDI!$I$2:$I$10000="Forms"),
  --(LOWER([1]EDI!$Q$2:$Q$10000)="cancelled")
)</f>
        <v>0</v>
      </c>
      <c r="I37" s="72" cm="1">
        <f t="array" ref="I37">SUMPRODUCT(
  --(MONTH([1]EDI!$R$2:$R$10000)=7),
  --(YEAR([1]EDI!$R$2:$R$10000)=2025),
  --([1]EDI!$I$2:$I$10000="Forms"),
  --(LOWER([1]EDI!$Q$2:$Q$10000)="cancelled")
)</f>
        <v>0</v>
      </c>
      <c r="J37" s="72" cm="1">
        <f t="array" ref="J37">SUMPRODUCT(
  --(MONTH([1]EDI!$R$2:$R$10000)=1),
  --(YEAR([1]EDI!$R$2:$R$10000)=2025),
  --([1]EDI!$I$2:$I$10000="Forms"),
  --(LOWER([1]EDI!$Q$2:$Q$10000)="cancelled")
)</f>
        <v>2</v>
      </c>
      <c r="K37" s="72" cm="1">
        <f t="array" ref="K37">SUMPRODUCT(
  --(MONTH([1]EDI!$R$2:$R$10000)=8),
  --(YEAR([1]EDI!$R$2:$R$10000)=2025),
  --([1]EDI!$I$2:$I$10000="Forms"),
  --(LOWER([1]EDI!$Q$2:$Q$10000)="cancelled")
)</f>
        <v>0</v>
      </c>
      <c r="L37" s="72" cm="1">
        <f t="array" ref="L37">SUMPRODUCT(
  --(MONTH([1]EDI!$R$2:$R$10000)=9),
  --(YEAR([1]EDI!$R$2:$R$10000)=2025),
  --([1]EDI!$I$2:$I$10000="Forms"),
  --(LOWER([1]EDI!$Q$2:$Q$10000)="cancelled")
)</f>
        <v>0</v>
      </c>
      <c r="M37" s="72" cm="1">
        <f t="array" ref="M37">SUMPRODUCT(
  --(MONTH([1]EDI!$R$2:$R$10000)=10),
  --(YEAR([1]EDI!$R$2:$R$10000)=2025),
  --([1]EDI!$I$2:$I$10000="Forms"),
  --(LOWER([1]EDI!$Q$2:$Q$10000)="cancelled")
)</f>
        <v>0</v>
      </c>
      <c r="N37" s="72" cm="1">
        <f t="array" ref="N37">SUMPRODUCT(
  --(MONTH([1]EDI!$R$2:$R$10000)=11),
  --(YEAR([1]EDI!$R$2:$R$10000)=2025),
  --([1]EDI!$I$2:$I$10000="Forms"),
  --(LOWER([1]EDI!$Q$2:$Q$10000)="cancelled")
)</f>
        <v>0</v>
      </c>
      <c r="O37" s="72" cm="1">
        <f t="array" ref="O37">SUMPRODUCT(
  --(MONTH([1]EDI!$R$2:$R$10000)=12),
  --(YEAR([1]EDI!$R$2:$R$10000)=2025),
  --([1]EDI!$I$2:$I$10000="Forms"),
  --(LOWER([1]EDI!$Q$2:$Q$10000)="cancelled")
)</f>
        <v>0</v>
      </c>
      <c r="P37" s="72" cm="1">
        <f t="array" ref="P37">SUMPRODUCT(
  --(MONTH([1]EDI!$R$2:$R$10000)=1),
  --(YEAR([1]EDI!$R$2:$R$10000)=2026),
  --([1]EDI!$I$2:$I$10000="Forms"),
  --(LOWER([1]EDI!$Q$2:$Q$10000)="cancelled")
)</f>
        <v>7</v>
      </c>
      <c r="Q37" s="72" cm="1">
        <f t="array" ref="Q37">SUMPRODUCT(
  --(MONTH([1]EDI!$R$2:$R$10000)=2),
  --(YEAR([1]EDI!$R$2:$R$10000)=2026),
  --([1]EDI!$I$2:$I$10000="Forms"),
  --(LOWER([1]EDI!$Q$2:$Q$10000)="cancelled")
)</f>
        <v>0</v>
      </c>
      <c r="R37" s="72" cm="1">
        <f t="array" ref="R37">SUMPRODUCT(
  --(MONTH([1]EDI!$R$2:$R$10000)=3),
  --(YEAR([1]EDI!$R$2:$R$10000)=2026),
  --([1]EDI!$I$2:$I$10000="Forms"),
  --(LOWER([1]EDI!$Q$2:$Q$10000)="cancelled")
)</f>
        <v>1</v>
      </c>
      <c r="S37" s="72" cm="1">
        <f t="array" ref="S37">SUMPRODUCT(
  --(MONTH([1]EDI!$R$2:$R$10000)=4),
  --(YEAR([1]EDI!$R$2:$R$10000)=2026),
  --([1]EDI!$I$2:$I$10000="Forms"),
  --(LOWER([1]EDI!$Q$2:$Q$10000)="cancelled")
)</f>
        <v>0</v>
      </c>
      <c r="T37" s="72" cm="1">
        <f t="array" ref="T37">SUMPRODUCT(
  --(MONTH([1]EDI!$R$2:$R$10000)=5),
  --(YEAR([1]EDI!$R$2:$R$10000)=2026),
  --([1]EDI!$I$2:$I$10000="Forms"),
  --(LOWER([1]EDI!$Q$2:$Q$10000)="cancelled")
)</f>
        <v>1</v>
      </c>
      <c r="U37" s="72" cm="1">
        <f t="array" ref="U37">SUMPRODUCT(
  --(MONTH([1]EDI!$R$2:$R$10000)=6),
  --(YEAR([1]EDI!$R$2:$R$10000)=2026),
  --([1]EDI!$I$2:$I$10000="Forms"),
  --(LOWER([1]EDI!$Q$2:$Q$10000)="cancelled")
)</f>
        <v>0</v>
      </c>
      <c r="V37" s="72"/>
    </row>
    <row r="38" spans="1:25" x14ac:dyDescent="0.25">
      <c r="A38" s="14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</row>
    <row r="39" spans="1:25" x14ac:dyDescent="0.25">
      <c r="A39" s="37" t="s">
        <v>46</v>
      </c>
      <c r="B39" s="38"/>
      <c r="C39" s="39">
        <v>45658</v>
      </c>
      <c r="D39" s="39">
        <v>45689</v>
      </c>
      <c r="E39" s="39">
        <v>45717</v>
      </c>
      <c r="F39" s="39">
        <v>45748</v>
      </c>
      <c r="G39" s="39">
        <v>45778</v>
      </c>
      <c r="H39" s="39">
        <v>45809</v>
      </c>
      <c r="I39" s="39">
        <v>45839</v>
      </c>
      <c r="K39" s="39">
        <v>45870</v>
      </c>
      <c r="L39" s="39">
        <v>45901</v>
      </c>
      <c r="M39" s="39">
        <v>45931</v>
      </c>
      <c r="N39" s="39">
        <v>45962</v>
      </c>
      <c r="O39" s="39">
        <v>45992</v>
      </c>
      <c r="P39" s="39">
        <v>46023</v>
      </c>
      <c r="Q39" s="39">
        <v>46054</v>
      </c>
      <c r="R39" s="39">
        <v>46082</v>
      </c>
      <c r="S39" s="39">
        <v>46113</v>
      </c>
      <c r="T39" s="39">
        <v>46143</v>
      </c>
      <c r="U39" s="39">
        <v>46174</v>
      </c>
    </row>
    <row r="40" spans="1:25" x14ac:dyDescent="0.25">
      <c r="A40" t="s">
        <v>47</v>
      </c>
      <c r="C40" s="34" cm="1">
        <f t="array" ref="C40">SUMPRODUCT((MONTH([1]EDI!$W$2:$W$10000)=1)*
(YEAR([1]EDI!$W$2:$W$10000)=2025))</f>
        <v>30</v>
      </c>
      <c r="D40" s="34" cm="1">
        <f t="array" ref="D40">SUMPRODUCT((MONTH([1]EDI!$Y$2:$Y$10000)=2)*
(YEAR([1]EDI!$Y$2:$Y$10000)=2025))</f>
        <v>80</v>
      </c>
      <c r="E40" s="34" cm="1">
        <f t="array" ref="E40">SUMPRODUCT((MONTH([1]EDI!$Y$2:$Y$10000)=3)*
(YEAR([1]EDI!$Y$2:$Y$10000)=2025))</f>
        <v>66</v>
      </c>
      <c r="F40" s="34" cm="1">
        <f t="array" ref="F40">SUMPRODUCT((MONTH([1]EDI!$Y$2:$Y$10000)=4)*
(YEAR([1]EDI!$Y$2:$Y$10000)=2025))</f>
        <v>54</v>
      </c>
      <c r="G40" s="34" cm="1">
        <f t="array" ref="G40">SUMPRODUCT((MONTH([1]EDI!$Y$2:$Y$10000)=5)*
(YEAR([1]EDI!$Y$2:$Y$10000)=2025))</f>
        <v>62</v>
      </c>
      <c r="H40" s="34" cm="1">
        <f t="array" ref="H40">SUMPRODUCT((MONTH([1]EDI!$Y$2:$Y$10000)=6)*
(YEAR([1]EDI!$Y$2:$Y$10000)=2025))</f>
        <v>55</v>
      </c>
      <c r="I40" s="34" cm="1">
        <f t="array" ref="I40">SUMPRODUCT((MONTH([1]EDI!$Y$2:$Y$10000)=7)*
(YEAR([1]EDI!$Y$2:$Y$10000)=2025))</f>
        <v>49</v>
      </c>
      <c r="K40" s="34" cm="1">
        <f t="array" ref="K40">SUMPRODUCT((MONTH([1]EDI!$Y$2:$Y$10000)=8)*
(YEAR([1]EDI!$Y$2:$Y$10000)=2025))</f>
        <v>45</v>
      </c>
      <c r="L40" s="34" cm="1">
        <f t="array" ref="L40">SUMPRODUCT((MONTH([1]EDI!$Y$2:$Y$10000)=9)*
(YEAR([1]EDI!$Y$2:$Y$10000)=2025))</f>
        <v>58</v>
      </c>
      <c r="M40" s="34" cm="1">
        <f t="array" ref="M40">SUMPRODUCT((MONTH([1]EDI!$Y$2:$Y$10000)=10)*
(YEAR([1]EDI!$Y$2:$Y$10000)=2025))</f>
        <v>44</v>
      </c>
      <c r="N40" s="34" cm="1">
        <f t="array" ref="N40">SUMPRODUCT((MONTH([1]EDI!$Y$2:$Y$10000)=11)*
(YEAR([1]EDI!$Y$2:$Y$10000)=2025))</f>
        <v>56</v>
      </c>
      <c r="O40" s="34" cm="1">
        <f t="array" ref="O40">SUMPRODUCT((MONTH([1]EDI!$Y$2:$Y$10000)=12)*
(YEAR([1]EDI!$Y$2:$Y$10000)=2025))</f>
        <v>87</v>
      </c>
      <c r="P40" s="34" cm="1">
        <f t="array" ref="P40">SUMPRODUCT((MONTH([1]EDI!$Y$2:$Y$10000)=1)*
(YEAR([1]EDI!$Y$2:$Y$10000)=2026))</f>
        <v>93</v>
      </c>
      <c r="Q40" s="34" cm="1">
        <f t="array" ref="Q40">SUMPRODUCT((MONTH([1]EDI!$Y$2:$Y$10000)=2)*
(YEAR([1]EDI!$Y$2:$Y$10000)=2026))</f>
        <v>111</v>
      </c>
      <c r="R40" s="34" cm="1">
        <f t="array" ref="R40">SUMPRODUCT((MONTH([1]EDI!$Y$2:$Y$10000)=3)*
(YEAR([1]EDI!$Y$2:$Y$10000)=2026))</f>
        <v>103</v>
      </c>
      <c r="S40" s="34" cm="1">
        <f t="array" ref="S40">SUMPRODUCT((MONTH([1]EDI!$Y$2:$Y$10000)=4)*
(YEAR([1]EDI!$Y$2:$Y$10000)=2026))</f>
        <v>117</v>
      </c>
      <c r="T40" s="34" cm="1">
        <f t="array" ref="T40">SUMPRODUCT((MONTH([1]EDI!$Y$2:$Y$10000)=5)*
(YEAR([1]EDI!$Y$2:$Y$10000)=2026))</f>
        <v>66</v>
      </c>
      <c r="U40" s="34" cm="1">
        <f t="array" ref="U40">SUMPRODUCT((MONTH([1]EDI!$Y$2:$Y$10000)=6)*
(YEAR([1]EDI!$Y$2:$Y$10000)=2026))</f>
        <v>109</v>
      </c>
    </row>
    <row r="41" spans="1:25" x14ac:dyDescent="0.25">
      <c r="A41" s="40" t="s">
        <v>48</v>
      </c>
      <c r="B41" s="40"/>
      <c r="C41" s="52" cm="1">
        <f t="array" ref="C41">SUMPRODUCT((MONTH([1]EDI!$AC$2:$AC$10000)=1)*
(YEAR([1]EDI!$AC$2:$AC$10000)=2025))</f>
        <v>51</v>
      </c>
      <c r="D41" s="52" cm="1">
        <f t="array" ref="D41">SUMPRODUCT((MONTH([1]EDI!$AC$2:$AC$10000)=2)*
(YEAR([1]EDI!$AC$2:$AC$10000)=2025))</f>
        <v>59</v>
      </c>
      <c r="E41" s="52" cm="1">
        <f t="array" ref="E41">SUMPRODUCT((MONTH([1]EDI!$AC$2:$AC$10000)=3)*
(YEAR([1]EDI!$AC$2:$AC$10000)=2025))</f>
        <v>73</v>
      </c>
      <c r="F41" s="52" cm="1">
        <f t="array" ref="F41">SUMPRODUCT((MONTH([1]EDI!$AC$2:$AC$10000)=4)*
(YEAR([1]EDI!$AC$2:$AC$10000)=2025))</f>
        <v>74</v>
      </c>
      <c r="G41" s="52" cm="1">
        <f t="array" ref="G41">SUMPRODUCT((MONTH([1]EDI!$AC$2:$AC$10000)=5)*
(YEAR([1]EDI!$AC$2:$AC$10000)=2025))</f>
        <v>126</v>
      </c>
      <c r="H41" s="52" cm="1">
        <f t="array" ref="H41">SUMPRODUCT((MONTH([1]EDI!$AC$2:$AC$10000)=6)*
(YEAR([1]EDI!$AC$2:$AC$10000)=2025))</f>
        <v>49</v>
      </c>
      <c r="I41" s="52" cm="1">
        <f t="array" ref="I41">SUMPRODUCT((MONTH([1]EDI!$AC$2:$AC$10000)=7)*
(YEAR([1]EDI!$AC$2:$AC$10000)=2025))</f>
        <v>69</v>
      </c>
      <c r="J41" s="52" cm="1">
        <f t="array" ref="J41">SUMPRODUCT((MONTH([1]EDI!$AC$2:$AC$10000)=1)*
(YEAR([1]EDI!$AC$2:$AC$10000)=2025))</f>
        <v>51</v>
      </c>
      <c r="K41" s="52" cm="1">
        <f t="array" ref="K41">SUMPRODUCT((MONTH([1]EDI!$AC$2:$AC$10000)=8)*
(YEAR([1]EDI!$AC$2:$AC$10000)=2025))</f>
        <v>70</v>
      </c>
      <c r="L41" s="52" cm="1">
        <f t="array" ref="L41">SUMPRODUCT((MONTH([1]EDI!$AC$2:$AC$10000)=9)*
(YEAR([1]EDI!$AC$2:$AC$10000)=2025))</f>
        <v>74</v>
      </c>
      <c r="M41" s="52" cm="1">
        <f t="array" ref="M41">SUMPRODUCT((MONTH([1]EDI!$AC$2:$AC$10000)=10)*
(YEAR([1]EDI!$AC$2:$AC$10000)=2025))</f>
        <v>78</v>
      </c>
      <c r="N41" s="52" cm="1">
        <f t="array" ref="N41">SUMPRODUCT((MONTH([1]EDI!$AC$2:$AC$10000)=11)*
(YEAR([1]EDI!$AC$2:$AC$10000)=2025))</f>
        <v>36</v>
      </c>
      <c r="O41" s="52" cm="1">
        <f t="array" ref="O41">SUMPRODUCT((MONTH([1]EDI!$AC$2:$AC$10000)=12)*
(YEAR([1]EDI!$AC$2:$AC$10000)=2025))</f>
        <v>70</v>
      </c>
      <c r="P41" s="52" cm="1">
        <f t="array" ref="P41">SUMPRODUCT((MONTH([1]EDI!$AC$2:$AC$10000)=1)*
(YEAR([1]EDI!$AC$2:$AC$10000)=2026))</f>
        <v>49</v>
      </c>
      <c r="Q41" s="52" cm="1">
        <f t="array" ref="Q41">SUMPRODUCT((MONTH([1]EDI!$AC$2:$AC$10000)=1)*
(YEAR([1]EDI!$AC$2:$AC$10000)=2026))</f>
        <v>49</v>
      </c>
      <c r="R41" s="52" cm="1">
        <f t="array" ref="R41">SUMPRODUCT((MONTH([1]EDI!$AC$2:$AC$10000)=1)*
(YEAR([1]EDI!$AC$2:$AC$10000)=2026))</f>
        <v>49</v>
      </c>
      <c r="S41" s="52" cm="1">
        <f t="array" ref="S41">SUMPRODUCT((MONTH([1]EDI!$AC$2:$AC$10000)=1)*
(YEAR([1]EDI!$AC$2:$AC$10000)=2026))</f>
        <v>49</v>
      </c>
      <c r="T41" s="52" cm="1">
        <f t="array" ref="T41">SUMPRODUCT((MONTH([1]EDI!$AC$2:$AC$10000)=1)*
(YEAR([1]EDI!$AC$2:$AC$10000)=2026))</f>
        <v>49</v>
      </c>
      <c r="U41" s="52" cm="1">
        <f t="array" ref="U41">SUMPRODUCT((MONTH([1]EDI!$AC$2:$AC$10000)=1)*
(YEAR([1]EDI!$AC$2:$AC$10000)=2026))</f>
        <v>49</v>
      </c>
    </row>
    <row r="42" spans="1:25" x14ac:dyDescent="0.25">
      <c r="A42" s="40" t="s">
        <v>56</v>
      </c>
      <c r="B42" s="40"/>
      <c r="C42" s="48" cm="1">
        <f t="array" ref="C42">SUMPRODUCT(
  (--([1]EDI!$S$2:$S$10000="Dina Medhat") *
   --([1]EDI!$Q$2:$Q$10000="Live") *
   --([1]EDI!$N$2:$N$10000="Production") *
   --([1]EDI!$I$2:$I$10000="EDI") *
   --(MONTH([1]EDI!$AC$2:$AC$10000)=1) *
   --(YEAR([1]EDI!$AC$2:$AC$10000)=2025)
  )
)</f>
        <v>8</v>
      </c>
      <c r="D42" s="48" cm="1">
        <f t="array" ref="D42">SUMPRODUCT(
  (--([1]EDI!$S$2:$S$10000="Dina Medhat") *
   --([1]EDI!$Q$2:$Q$10000="Live") *
   --([1]EDI!$N$2:$N$10000="Production") *
   --([1]EDI!$I$2:$I$10000="EDI") *
   --(MONTH([1]EDI!$AC$2:$AC$10000)=2) *
   --(YEAR([1]EDI!$AC$2:$AC$10000)=2025)
  )
)</f>
        <v>1</v>
      </c>
      <c r="E42" s="48" cm="1">
        <f t="array" ref="E42">SUMPRODUCT(
  (--([1]EDI!$S$2:$S$10000="Dina Medhat") *
   --([1]EDI!$Q$2:$Q$10000="Live") *
   --([1]EDI!$N$2:$N$10000="Production") *
   --([1]EDI!$I$2:$I$10000="EDI") *
   --(MONTH([1]EDI!$AC$2:$AC$10000)=3) *
   --(YEAR([1]EDI!$AC$2:$AC$10000)=2025)
  )
)</f>
        <v>0</v>
      </c>
      <c r="F42" s="48" cm="1">
        <f t="array" ref="F42">SUMPRODUCT(
  (--([1]EDI!$S$2:$S$10000="Dina Medhat") *
   --([1]EDI!$Q$2:$Q$10000="Live") *
   --([1]EDI!$N$2:$N$10000="Production") *
   --([1]EDI!$I$2:$I$10000="EDI") *
   --(MONTH([1]EDI!$AC$2:$AC$10000)=4) *
   --(YEAR([1]EDI!$AC$2:$AC$10000)=2025)
  )
)</f>
        <v>0</v>
      </c>
      <c r="G42" s="48" cm="1">
        <f t="array" ref="G42">SUMPRODUCT(
  (--([1]EDI!$S$2:$S$10000="Dina Medhat") *
   --([1]EDI!$Q$2:$Q$10000="Live") *
   --([1]EDI!$N$2:$N$10000="Production") *
   --([1]EDI!$I$2:$I$10000="EDI") *
   --(MONTH([1]EDI!$AC$2:$AC$10000)=5) *
   --(YEAR([1]EDI!$AC$2:$AC$10000)=2025)
  )
)</f>
        <v>23</v>
      </c>
      <c r="H42" s="48" cm="1">
        <f t="array" ref="H42">SUMPRODUCT(
  (--([1]EDI!$S$2:$S$10000="Dina Medhat") *
   --([1]EDI!$Q$2:$Q$10000="Live") *
   --([1]EDI!$N$2:$N$10000="Production") *
   --([1]EDI!$I$2:$I$10000="EDI") *
   --(MONTH([1]EDI!$AC$2:$AC$10000)=6) *
   --(YEAR([1]EDI!$AC$2:$AC$10000)=2025)
  )
)</f>
        <v>0</v>
      </c>
      <c r="I42" s="48" cm="1">
        <f t="array" ref="I42">SUMPRODUCT(
  (--([1]EDI!$S$2:$S$10000="Dina Medhat") *
   --([1]EDI!$Q$2:$Q$10000="Live") *
   --([1]EDI!$N$2:$N$10000="Production") *
   --([1]EDI!$I$2:$I$10000="EDI") *
   --(MONTH([1]EDI!$AC$2:$AC$10000)=7) *
   --(YEAR([1]EDI!$AC$2:$AC$10000)=2025)
  )
)</f>
        <v>2</v>
      </c>
      <c r="J42" s="48" cm="1">
        <f t="array" ref="J42">SUMPRODUCT(
  (--([1]EDI!$S$2:$S$10000="Dina Medhat") *
   --([1]EDI!$Q$2:$Q$10000="Live") *
   --([1]EDI!$N$2:$N$10000="Production") *
   --([1]EDI!$I$2:$I$10000="EDI") *
   --(MONTH([1]EDI!$AC$2:$AC$10000)=1) *
   --(YEAR([1]EDI!$AC$2:$AC$10000)=2025)
  )
)</f>
        <v>8</v>
      </c>
      <c r="K42" s="48" cm="1">
        <f t="array" ref="K42">SUMPRODUCT(
  (--([1]EDI!$S$2:$S$10000="Dina Medhat") *
   --([1]EDI!$Q$2:$Q$10000="Live") *
   --([1]EDI!$N$2:$N$10000="Production") *
   --([1]EDI!$I$2:$I$10000="EDI") *
   --(MONTH([1]EDI!$AC$2:$AC$10000)=8) *
   --(YEAR([1]EDI!$AC$2:$AC$10000)=2025)
  )
)</f>
        <v>11</v>
      </c>
      <c r="L42" s="48" cm="1">
        <f t="array" ref="L42">SUMPRODUCT(
  (--([1]EDI!$S$2:$S$10000="Dina Medhat") *
   --([1]EDI!$Q$2:$Q$10000="Live") *
   --([1]EDI!$N$2:$N$10000="Production") *
   --([1]EDI!$I$2:$I$10000="EDI") *
   --(MONTH([1]EDI!$AC$2:$AC$10000)=9) *
   --(YEAR([1]EDI!$AC$2:$AC$10000)=2025)
  )
)</f>
        <v>7</v>
      </c>
      <c r="M42" s="48" cm="1">
        <f t="array" ref="M42">SUMPRODUCT(
  (--([1]EDI!$S$2:$S$10000="Dina Medhat") *
   --([1]EDI!$Q$2:$Q$10000="Live") *
   --([1]EDI!$N$2:$N$10000="Production") *
   --([1]EDI!$I$2:$I$10000="EDI") *
   --(MONTH([1]EDI!$AC$2:$AC$10000)=10) *
   --(YEAR([1]EDI!$AC$2:$AC$10000)=2025)
  )
)</f>
        <v>1</v>
      </c>
      <c r="N42" s="48" cm="1">
        <f t="array" ref="N42">SUMPRODUCT(
  (--([1]EDI!$S$2:$S$10000="Dina Medhat") *
   --([1]EDI!$Q$2:$Q$10000="Live") *
   --([1]EDI!$N$2:$N$10000="Production") *
   --([1]EDI!$I$2:$I$10000="EDI") *
   --(MONTH([1]EDI!$AC$2:$AC$10000)=11) *
   --(YEAR([1]EDI!$AC$2:$AC$10000)=2025)
  )
)</f>
        <v>1</v>
      </c>
      <c r="O42" s="48" cm="1">
        <f t="array" ref="O42">SUMPRODUCT(
  (--([1]EDI!$S$2:$S$10000="Dina Medhat") *
   --([1]EDI!$Q$2:$Q$10000="Live") *
   --([1]EDI!$N$2:$N$10000="Production") *
   --([1]EDI!$I$2:$I$10000="EDI") *
   --(MONTH([1]EDI!$AC$2:$AC$10000)=12) *
   --(YEAR([1]EDI!$AC$2:$AC$10000)=2025)
  )
)</f>
        <v>16</v>
      </c>
      <c r="P42" s="48" cm="1">
        <f t="array" ref="P42">SUMPRODUCT(
  (--([1]EDI!$S$2:$S$10000="Dina Medhat") *
   --([1]EDI!$Q$2:$Q$10000="Live") *
   --([1]EDI!$N$2:$N$10000="Production") *
   --([1]EDI!$I$2:$I$10000="EDI") *
   --(MONTH([1]EDI!$AC$2:$AC$10000)=1) *
   --(YEAR([1]EDI!$AC$2:$AC$10000)=2026)
  )
)</f>
        <v>1</v>
      </c>
      <c r="Q42" s="48" cm="1">
        <f t="array" ref="Q42">SUMPRODUCT(
  (--([1]EDI!$S$2:$S$10000="Dina Medhat") *
   --([1]EDI!$Q$2:$Q$10000="Live") *
   --([1]EDI!$N$2:$N$10000="Production") *
   --([1]EDI!$I$2:$I$10000="EDI") *
   --(MONTH([1]EDI!$AC$2:$AC$10000)=2) *
   --(YEAR([1]EDI!$AC$2:$AC$10000)=2026)
  )
)</f>
        <v>28</v>
      </c>
      <c r="R42" s="48" cm="1">
        <f t="array" ref="R42">SUMPRODUCT(
  (--([1]EDI!$S$2:$S$10000="Dina Medhat") *
   --([1]EDI!$Q$2:$Q$10000="Live") *
   --([1]EDI!$N$2:$N$10000="Production") *
   --([1]EDI!$I$2:$I$10000="EDI") *
   --(MONTH([1]EDI!$AC$2:$AC$10000)=3) *
   --(YEAR([1]EDI!$AC$2:$AC$10000)=2026)
  )
)</f>
        <v>13</v>
      </c>
      <c r="S42" s="48" cm="1">
        <f t="array" ref="S42">SUMPRODUCT(
  (--([1]EDI!$S$2:$S$10000="Dina Medhat") *
   --([1]EDI!$Q$2:$Q$10000="Live") *
   --([1]EDI!$N$2:$N$10000="Production") *
   --([1]EDI!$I$2:$I$10000="EDI") *
   --(MONTH([1]EDI!$AC$2:$AC$10000)=4) *
   --(YEAR([1]EDI!$AC$2:$AC$10000)=2026)
  )
)</f>
        <v>5</v>
      </c>
      <c r="T42" s="48" cm="1">
        <f t="array" ref="T42">SUMPRODUCT(
  (--([1]EDI!$S$2:$S$10000="Dina Medhat") *
   --([1]EDI!$Q$2:$Q$10000="Live") *
   --([1]EDI!$N$2:$N$10000="Production") *
   --([1]EDI!$I$2:$I$10000="EDI") *
   --(MONTH([1]EDI!$AC$2:$AC$10000)=5) *
   --(YEAR([1]EDI!$AC$2:$AC$10000)=2026)
  )
)</f>
        <v>5</v>
      </c>
      <c r="U42" s="48" cm="1">
        <f t="array" ref="U42">SUMPRODUCT(
  (--([1]EDI!$S$2:$S$10000="Dina Medhat") *
   --([1]EDI!$Q$2:$Q$10000="Live") *
   --([1]EDI!$N$2:$N$10000="Production") *
   --([1]EDI!$I$2:$I$10000="EDI") *
   --(MONTH([1]EDI!$AC$2:$AC$10000)=6) *
   --(YEAR([1]EDI!$AC$2:$AC$10000)=2026)
  )
)</f>
        <v>2</v>
      </c>
    </row>
    <row r="43" spans="1:25" x14ac:dyDescent="0.25">
      <c r="A43" s="57" t="s">
        <v>57</v>
      </c>
      <c r="B43" s="58"/>
      <c r="C43" s="59">
        <f t="shared" ref="C43:U43" si="15">C41-C42</f>
        <v>43</v>
      </c>
      <c r="D43" s="59">
        <f t="shared" si="15"/>
        <v>58</v>
      </c>
      <c r="E43" s="59">
        <f t="shared" si="15"/>
        <v>73</v>
      </c>
      <c r="F43" s="59">
        <f t="shared" si="15"/>
        <v>74</v>
      </c>
      <c r="G43" s="59">
        <f t="shared" si="15"/>
        <v>103</v>
      </c>
      <c r="H43" s="59">
        <f t="shared" si="15"/>
        <v>49</v>
      </c>
      <c r="I43" s="59">
        <f t="shared" si="15"/>
        <v>67</v>
      </c>
      <c r="J43" s="59">
        <f t="shared" si="15"/>
        <v>43</v>
      </c>
      <c r="K43" s="59">
        <f t="shared" si="15"/>
        <v>59</v>
      </c>
      <c r="L43" s="59">
        <f t="shared" si="15"/>
        <v>67</v>
      </c>
      <c r="M43" s="59">
        <f t="shared" si="15"/>
        <v>77</v>
      </c>
      <c r="N43" s="59">
        <f t="shared" si="15"/>
        <v>35</v>
      </c>
      <c r="O43" s="59">
        <f t="shared" si="15"/>
        <v>54</v>
      </c>
      <c r="P43" s="59">
        <f t="shared" si="15"/>
        <v>48</v>
      </c>
      <c r="Q43" s="59">
        <f t="shared" si="15"/>
        <v>21</v>
      </c>
      <c r="R43" s="59">
        <f t="shared" si="15"/>
        <v>36</v>
      </c>
      <c r="S43" s="59">
        <f t="shared" si="15"/>
        <v>44</v>
      </c>
      <c r="T43" s="59">
        <f t="shared" si="15"/>
        <v>44</v>
      </c>
      <c r="U43" s="59">
        <f t="shared" si="15"/>
        <v>47</v>
      </c>
    </row>
    <row r="44" spans="1:25" x14ac:dyDescent="0.25">
      <c r="A44" s="49"/>
      <c r="C44" s="50"/>
      <c r="D44" s="50"/>
      <c r="E44" s="50"/>
      <c r="F44" s="51">
        <f>F43/C34</f>
        <v>0.84090909090909094</v>
      </c>
      <c r="G44" s="51">
        <f>G43/D34</f>
        <v>2.0196078431372548</v>
      </c>
      <c r="H44" s="51">
        <f>H43/E34</f>
        <v>1.0652173913043479</v>
      </c>
      <c r="I44" s="51">
        <f>I43/F34</f>
        <v>1.1754385964912282</v>
      </c>
      <c r="K44" s="51">
        <f>K43/I34</f>
        <v>1.5945945945945945</v>
      </c>
      <c r="L44" s="51">
        <f>L43/K34</f>
        <v>2.2333333333333334</v>
      </c>
      <c r="M44" s="51">
        <f>M43/L34</f>
        <v>1.711111111111111</v>
      </c>
      <c r="N44" s="51">
        <f>N43/M34</f>
        <v>0.79545454545454541</v>
      </c>
      <c r="O44" s="51">
        <f>O43/N34</f>
        <v>0.73972602739726023</v>
      </c>
      <c r="P44" s="51">
        <f t="shared" ref="P44:R44" si="16">P43/O34</f>
        <v>0.41379310344827586</v>
      </c>
      <c r="Q44" s="51">
        <f t="shared" si="16"/>
        <v>0.16666666666666666</v>
      </c>
      <c r="R44" s="51">
        <f t="shared" si="16"/>
        <v>0.33333333333333331</v>
      </c>
      <c r="S44" s="51">
        <f t="shared" ref="S44:T44" si="17">S43/R34</f>
        <v>0.5</v>
      </c>
      <c r="T44" s="51">
        <f t="shared" si="17"/>
        <v>0.35483870967741937</v>
      </c>
      <c r="U44" s="51">
        <f t="shared" ref="U44" si="18">U43/T34</f>
        <v>0.47959183673469385</v>
      </c>
    </row>
    <row r="45" spans="1:25" ht="51.75" x14ac:dyDescent="0.25">
      <c r="A45" s="73" t="s">
        <v>78</v>
      </c>
      <c r="C45" s="55" cm="1">
        <f t="array" ref="C45">SUMPRODUCT(
(--([1]EDI!$N$2:$N$10000="Production")*
--([1]EDI!$Q$2:$Q$10000="Live")*
--([1]EDI!$I$2:$I$10000="EDI")
))</f>
        <v>2560</v>
      </c>
      <c r="D45" s="73" t="s">
        <v>79</v>
      </c>
      <c r="E45" s="55" cm="1">
        <f t="array" ref="E45">SUMPRODUCT(
  (--([1]EDI!$S$2:$S$10000="Dina Medhat") *
   --([1]EDI!$N$2:$N$10000="Production")*
   --([1]EDI!$Q$2:$Q$10000="Live") *
   --([1]EDI!$I$2:$I$10000="EDI")
  )
)</f>
        <v>163</v>
      </c>
      <c r="F45" s="73" t="s">
        <v>6</v>
      </c>
      <c r="G45" s="55" cm="1">
        <f t="array" ref="G45">SUMPRODUCT(
(--([1]EDI!$N$2:$N$10000="Production")*
--([1]EDI!$Q$2:$Q$10000="Live")*
--([1]EDI!$I$2:$I$10000="Forms")
))</f>
        <v>18</v>
      </c>
      <c r="H45" s="73" t="s">
        <v>80</v>
      </c>
      <c r="I45" s="55" cm="1">
        <f t="array" ref="I45">SUMPRODUCT(
(--([1]EDI!$N$2:$N$10000="Production")*
--([1]EDI!$Q$2:$Q$10000="Production Disabled")*
--([1]EDI!$I$2:$I$10000="EDI")
))</f>
        <v>1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5" x14ac:dyDescent="0.25">
      <c r="A46" s="49"/>
      <c r="C46" s="50"/>
      <c r="D46" s="50"/>
      <c r="E46" s="50"/>
      <c r="F46" s="50"/>
      <c r="G46" s="50"/>
      <c r="H46" s="34"/>
      <c r="K46" s="9"/>
    </row>
    <row r="47" spans="1:25" x14ac:dyDescent="0.25">
      <c r="A47" s="41" t="s">
        <v>50</v>
      </c>
      <c r="C47" s="92">
        <v>2025</v>
      </c>
      <c r="D47" s="92"/>
      <c r="E47" s="92"/>
      <c r="F47" s="92"/>
      <c r="G47" s="92"/>
      <c r="H47" s="92"/>
      <c r="I47" s="92"/>
      <c r="J47" s="92"/>
      <c r="K47" s="92"/>
    </row>
    <row r="48" spans="1:25" x14ac:dyDescent="0.25">
      <c r="A48" t="s">
        <v>51</v>
      </c>
      <c r="C48" s="90" t="s">
        <v>53</v>
      </c>
      <c r="D48" s="32">
        <f>SUM(C34:E34)</f>
        <v>185</v>
      </c>
      <c r="E48" s="90" t="s">
        <v>54</v>
      </c>
      <c r="F48" s="32">
        <f>SUM(F34:H34)</f>
        <v>121</v>
      </c>
      <c r="G48" s="90" t="s">
        <v>64</v>
      </c>
      <c r="H48" s="32">
        <f>SUM(I34:L34)</f>
        <v>112</v>
      </c>
      <c r="I48" s="90" t="s">
        <v>66</v>
      </c>
      <c r="K48" s="32">
        <f>SUM(M34:O34)</f>
        <v>233</v>
      </c>
      <c r="L48" s="90" t="s">
        <v>68</v>
      </c>
      <c r="M48" s="32">
        <f>SUM(P34:S34)</f>
        <v>446</v>
      </c>
      <c r="N48" s="90" t="s">
        <v>76</v>
      </c>
      <c r="O48" s="32">
        <f>SUM(S34:U34)</f>
        <v>345</v>
      </c>
    </row>
    <row r="49" spans="1:15" x14ac:dyDescent="0.25">
      <c r="A49" t="s">
        <v>52</v>
      </c>
      <c r="C49" s="90"/>
      <c r="D49" s="32">
        <f>SUM(C43:E43)</f>
        <v>174</v>
      </c>
      <c r="E49" s="90"/>
      <c r="F49" s="32">
        <f>SUM(F43:H43)</f>
        <v>226</v>
      </c>
      <c r="G49" s="90"/>
      <c r="H49" s="32">
        <f>SUM(I43:L43)</f>
        <v>236</v>
      </c>
      <c r="I49" s="90"/>
      <c r="K49" s="32">
        <f>SUM(M43:O43)</f>
        <v>166</v>
      </c>
      <c r="L49" s="90"/>
      <c r="M49" s="32">
        <f>SUM(P43:S43)</f>
        <v>149</v>
      </c>
      <c r="N49" s="90"/>
      <c r="O49" s="32">
        <f>SUM(S43:U43)</f>
        <v>135</v>
      </c>
    </row>
    <row r="50" spans="1:15" x14ac:dyDescent="0.25">
      <c r="K50" s="9"/>
    </row>
    <row r="51" spans="1:15" x14ac:dyDescent="0.25">
      <c r="E51" s="53"/>
      <c r="F51" s="53">
        <f>D49/D48</f>
        <v>0.94054054054054059</v>
      </c>
      <c r="H51" s="53">
        <f>F49/D48</f>
        <v>1.2216216216216216</v>
      </c>
      <c r="I51" s="53"/>
      <c r="J51" s="53"/>
      <c r="K51" s="53">
        <f>H49/H48</f>
        <v>2.1071428571428572</v>
      </c>
      <c r="L51" s="53"/>
      <c r="M51" s="53">
        <f>K49/K48</f>
        <v>0.71244635193133043</v>
      </c>
      <c r="O51" s="53">
        <f>O49/O48</f>
        <v>0.39130434782608697</v>
      </c>
    </row>
    <row r="52" spans="1:15" x14ac:dyDescent="0.25">
      <c r="D52" s="89" t="s">
        <v>61</v>
      </c>
      <c r="E52" s="89"/>
      <c r="F52" s="89"/>
      <c r="G52" s="89"/>
      <c r="H52" s="89"/>
      <c r="I52" s="89"/>
      <c r="K52" s="53">
        <f>K49/H48</f>
        <v>1.4821428571428572</v>
      </c>
      <c r="M52" s="53">
        <f>M49/K48</f>
        <v>0.63948497854077258</v>
      </c>
      <c r="O52" s="53">
        <f>O49/M48</f>
        <v>0.30269058295964124</v>
      </c>
    </row>
    <row r="53" spans="1:15" x14ac:dyDescent="0.25">
      <c r="H53" s="53">
        <f>H49/F48</f>
        <v>1.9504132231404958</v>
      </c>
    </row>
    <row r="54" spans="1:15" ht="30" x14ac:dyDescent="0.25">
      <c r="A54" s="63" t="s">
        <v>33</v>
      </c>
      <c r="B54" s="30">
        <f>COUNTIFS([1]EDI!$S$2:$S$10000,"Rasha Wadie",
[1]EDI!$Q$2:$Q$10000, "In Progress",
 [1]EDI!$N$2:$N$10000,"Resource Assignment")</f>
        <v>19</v>
      </c>
      <c r="C54" s="66" t="s">
        <v>72</v>
      </c>
      <c r="D54" s="65">
        <f>D48/3</f>
        <v>61.666666666666664</v>
      </c>
      <c r="E54" s="65"/>
      <c r="F54" s="65">
        <f t="shared" ref="F54:M55" si="19">F48/3</f>
        <v>40.333333333333336</v>
      </c>
      <c r="G54" s="65"/>
      <c r="H54" s="65">
        <f t="shared" si="19"/>
        <v>37.333333333333336</v>
      </c>
      <c r="I54" s="65"/>
      <c r="J54" s="65">
        <f t="shared" si="19"/>
        <v>0</v>
      </c>
      <c r="K54" s="65">
        <f t="shared" si="19"/>
        <v>77.666666666666671</v>
      </c>
      <c r="L54" s="65"/>
      <c r="M54" s="65">
        <f t="shared" si="19"/>
        <v>148.66666666666666</v>
      </c>
      <c r="N54" s="65"/>
      <c r="O54" s="65">
        <f t="shared" ref="O54" si="20">O48/3</f>
        <v>115</v>
      </c>
    </row>
    <row r="55" spans="1:15" ht="45" x14ac:dyDescent="0.25">
      <c r="A55" s="29" t="s">
        <v>33</v>
      </c>
      <c r="B55" s="30">
        <f>COUNTIFS([1]EDI!$S$2:$S$10000,"Dina Medhat",
[1]EDI!$Q$2:$Q$10000, "In Progress",
 [1]EDI!$N$2:$N$10000,"Resource Assignment")</f>
        <v>0</v>
      </c>
      <c r="C55" s="66" t="s">
        <v>75</v>
      </c>
      <c r="D55" s="65">
        <f>D49/3</f>
        <v>58</v>
      </c>
      <c r="F55" s="65">
        <f t="shared" si="19"/>
        <v>75.333333333333329</v>
      </c>
      <c r="H55" s="65">
        <f t="shared" si="19"/>
        <v>78.666666666666671</v>
      </c>
      <c r="K55" s="65">
        <f t="shared" si="19"/>
        <v>55.333333333333336</v>
      </c>
      <c r="M55" s="65">
        <f t="shared" si="19"/>
        <v>49.666666666666664</v>
      </c>
      <c r="N55" s="65"/>
      <c r="O55" s="65">
        <f t="shared" ref="O55" si="21">O49/3</f>
        <v>45</v>
      </c>
    </row>
  </sheetData>
  <autoFilter ref="A1:N20" xr:uid="{4014F0C8-83E2-42DE-A3AE-9BCB95ED7C66}"/>
  <sortState xmlns:xlrd2="http://schemas.microsoft.com/office/spreadsheetml/2017/richdata2" ref="A3:B17">
    <sortCondition ref="A3:A17"/>
  </sortState>
  <mergeCells count="12">
    <mergeCell ref="D52:I52"/>
    <mergeCell ref="C48:C49"/>
    <mergeCell ref="AF4:AG4"/>
    <mergeCell ref="AB4:AC4"/>
    <mergeCell ref="Z4:AA4"/>
    <mergeCell ref="AD4:AE4"/>
    <mergeCell ref="E48:E49"/>
    <mergeCell ref="G48:G49"/>
    <mergeCell ref="I48:I49"/>
    <mergeCell ref="C47:K47"/>
    <mergeCell ref="L48:L49"/>
    <mergeCell ref="N48:N49"/>
  </mergeCells>
  <conditionalFormatting sqref="B3:B21 C2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{352F75EA-8B07-4BE0-BA03-59E8960726C0}</x14:id>
        </ext>
      </extLst>
    </cfRule>
  </conditionalFormatting>
  <conditionalFormatting sqref="C2:C21">
    <cfRule type="iconSet" priority="61">
      <iconSet iconSet="3Arrows">
        <cfvo type="percent" val="0"/>
        <cfvo type="percent" val="33"/>
        <cfvo type="percent" val="67"/>
      </iconSet>
    </cfRule>
  </conditionalFormatting>
  <conditionalFormatting sqref="C3:C2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{83FF6CE6-9F90-47B7-AFDE-DA385ADF9570}</x14:id>
        </ext>
      </extLst>
    </cfRule>
  </conditionalFormatting>
  <conditionalFormatting sqref="C27:U27">
    <cfRule type="cellIs" dxfId="15" priority="12" operator="greaterThan">
      <formula>0</formula>
    </cfRule>
    <cfRule type="cellIs" dxfId="14" priority="13" operator="greaterThan">
      <formula>"0$H$31"</formula>
    </cfRule>
  </conditionalFormatting>
  <conditionalFormatting sqref="K3:K20">
    <cfRule type="cellIs" dxfId="13" priority="20" operator="greaterThan">
      <formula>3</formula>
    </cfRule>
  </conditionalFormatting>
  <conditionalFormatting sqref="K3:K21">
    <cfRule type="cellIs" dxfId="12" priority="15" operator="greaterThan">
      <formula>0</formula>
    </cfRule>
    <cfRule type="cellIs" dxfId="11" priority="16" operator="greaterThan">
      <formula>3</formula>
    </cfRule>
    <cfRule type="cellIs" dxfId="10" priority="19" operator="greaterThan">
      <formula>0</formula>
    </cfRule>
    <cfRule type="cellIs" dxfId="9" priority="21" operator="greaterThan">
      <formula>0</formula>
    </cfRule>
  </conditionalFormatting>
  <conditionalFormatting sqref="P3:P9 P13 P16:P21">
    <cfRule type="cellIs" dxfId="8" priority="14" operator="greaterThan">
      <formula>45658</formula>
    </cfRule>
  </conditionalFormatting>
  <conditionalFormatting sqref="Q3:Q21">
    <cfRule type="cellIs" dxfId="7" priority="9" operator="greaterThan">
      <formula>20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2F75EA-8B07-4BE0-BA03-59E8960726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B3:B21 C2</xm:sqref>
        </x14:conditionalFormatting>
        <x14:conditionalFormatting xmlns:xm="http://schemas.microsoft.com/office/excel/2006/main">
          <x14:cfRule type="dataBar" id="{83FF6CE6-9F90-47B7-AFDE-DA385ADF95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C3:C21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017DF-7D7D-456F-A5C0-418DF4D548D0}">
  <dimension ref="A2:AN6"/>
  <sheetViews>
    <sheetView workbookViewId="0">
      <selection activeCell="A5" sqref="A5:XFD6"/>
    </sheetView>
  </sheetViews>
  <sheetFormatPr defaultRowHeight="15" x14ac:dyDescent="0.25"/>
  <sheetData>
    <row r="2" spans="1:40" s="79" customFormat="1" x14ac:dyDescent="0.25">
      <c r="A2" s="69" t="s">
        <v>13</v>
      </c>
      <c r="B2" s="74"/>
      <c r="C2" s="74">
        <f>SUM(D2:G2)</f>
        <v>20</v>
      </c>
      <c r="D2" s="74">
        <f>COUNTIFS([1]EDI!$S$2:$S$10000,"Alaa Yehia",
[1]EDI!$Q$2:$Q$10000, "In Progress",
 [1]EDI!$N$2:$N$10000,"DataSet Validation",
 [1]EDI!$L$2:$L$10000,"",
[1]EDI!$I$2:$I$10000,"EDI")</f>
        <v>1</v>
      </c>
      <c r="E2" s="74">
        <f>COUNTIFS([1]EDI!$S$2:$S$10000,"Alaa Yehia",
[1]EDI!$Q$2:$Q$10000, "In Progress",
 [1]EDI!$N$2:$N$10000,"Dataset Validation",
 [1]EDI!$L$2:$L$10000, "&lt;&gt;",
[1]EDI!$I$2:$I$10000,"EDI")</f>
        <v>0</v>
      </c>
      <c r="F2" s="74">
        <f>COUNTIFS([1]EDI!$S$2:$S$10000,"Alaa Yehia",
[1]EDI!$Q$2:$Q$10000, "In Progress",
 [1]EDI!$N$2:$N$10000,"Mapping",
[1]EDI!$I$2:$I$10000,"EDI")</f>
        <v>3</v>
      </c>
      <c r="G2" s="74">
        <f>COUNTIFS([1]EDI!$S$2:$S$10000,"Alaa Yehia",
[1]EDI!$Q$2:$Q$10000, "In Progress",
 [1]EDI!$N$2:$N$10000,"Testing",
 [1]EDI!$I$2:$I$10000,"EDI")</f>
        <v>16</v>
      </c>
      <c r="H2" s="74">
        <f>COUNTIFS([1]EDI!$S$2:$S$10000,"Alaa Yehia",
[1]EDI!$Q$2:$Q$10000, "In Progress",
 [1]EDI!$N$2:$N$10000,"Ready For Production",
[1]EDI!$I$2:$I$10000,"EDI")</f>
        <v>0</v>
      </c>
      <c r="I2" s="75">
        <f>LARGE(Dates!C4:C50,1)</f>
        <v>46215</v>
      </c>
      <c r="J2" s="76"/>
      <c r="K2" s="74">
        <f>COUNTIFS([1]EDI!$S$2:$S$10000,"Alaa Yehia",
[1]EDI!$Q$2:$Q$10000, "In Progress",
 [1]EDI!$I$2:$I$10000,"Forms")</f>
        <v>3</v>
      </c>
      <c r="L2" s="74" cm="1">
        <f t="array" ref="L2">SUM(COUNTIFS([1]EDI!$S$2:$S$10000,"Alaa Yehia",
[1]EDI!$Q$2:$Q$10000,"In Progress",
[1]EDI!$N$2:$N$10000,{"Mapping","Dataset Validation"},
[1]EDI!$I$2:$I$10000,"Forms"))</f>
        <v>2</v>
      </c>
      <c r="M2" s="74">
        <f>COUNTIFS([1]EDI!$S$2:$S$10000,"Alaa Yehia",
[1]EDI!$Q$2:$Q$10000, "In Progress",
 [1]EDI!$N$2:$N$10000,"Testing",
 [1]EDI!$I$2:$I$10000,"Forms")</f>
        <v>1</v>
      </c>
      <c r="N2" s="74">
        <f>COUNTIFS([1]EDI!$S$2:$S$10000,"Alaa Yehia",
[1]EDI!$Q$2:$Q$10000, "In Progress",
 [1]EDI!$P$2:$P$10000,"Migration Testing",
[1]EDI!$I$2:$I$10000,"Forms")</f>
        <v>0</v>
      </c>
      <c r="O2" s="74">
        <f>COUNTIFS([1]EDI!$S$2:$S$10000,"Alaa Yehia",
[1]EDI!$Q$2:$Q$10000, "Live",
 [1]EDI!$P$2:$P$10000,"Production",
[1]EDI!$I$2:$I$10000,"Forms")</f>
        <v>1</v>
      </c>
      <c r="P2" s="77">
        <f>LARGE('Dates-Forms'!B5:B52,1)</f>
        <v>46210</v>
      </c>
      <c r="Q2" s="74">
        <f>C2+K2</f>
        <v>23</v>
      </c>
      <c r="R2" s="78">
        <f>COUNTIFS(
[1]EDI!$S$2:$S$10000,"Alaa Yehia",
[1]EDI!$L$2:$L$10000,"&lt;&gt;",
[1]EDI!$R$2:$R$10000,"&gt;="&amp;DATE(2025,1,1),
[1]EDI!$R$2:$R$10000,"&lt;"&amp;DATE(2026,1,1),
[1]EDI!$I$2:$I$10000,"EDI"
)</f>
        <v>60</v>
      </c>
      <c r="S2" s="78">
        <f>COUNTIFS(
[1]EDI!$S$2:$S$10000,"Alaa Yehia",
[1]EDI!$L$2:$L$10000,"&lt;&gt;",
[1]EDI!$R$2:$R$10000,"&gt;="&amp;DATE(2026,1,1),
[1]EDI!$I$2:$I$10000,"EDI"
)</f>
        <v>53</v>
      </c>
      <c r="W2" s="80"/>
      <c r="X2" s="80"/>
      <c r="Y2" s="80"/>
      <c r="Z2" s="80"/>
      <c r="AA2" s="80"/>
      <c r="AB2" s="80"/>
      <c r="AC2" s="80"/>
      <c r="AD2" s="80"/>
      <c r="AH2" s="80"/>
      <c r="AI2" s="80"/>
      <c r="AJ2" s="80"/>
      <c r="AK2" s="80"/>
      <c r="AL2" s="80"/>
      <c r="AM2" s="80"/>
      <c r="AN2" s="80"/>
    </row>
    <row r="3" spans="1:40" s="79" customFormat="1" x14ac:dyDescent="0.25">
      <c r="A3" s="69" t="s">
        <v>19</v>
      </c>
      <c r="B3" s="74"/>
      <c r="C3" s="74">
        <f>SUM(D3:G3)</f>
        <v>21</v>
      </c>
      <c r="D3" s="74">
        <f>COUNTIFS([1]EDI!$S$2:$S$10000,"Aya Fathy",
[1]EDI!$Q$2:$Q$10000, "In Progress",
 [1]EDI!$N$2:$N$10000,"DataSet Validation",
 [1]EDI!$L$2:$L$10000,"",
[1]EDI!$I$2:$I$10000,"EDI")</f>
        <v>0</v>
      </c>
      <c r="E3" s="74">
        <f>COUNTIFS([1]EDI!$S$2:$S$10000,"Aya Fathy",
[1]EDI!$Q$2:$Q$10000, "In Progress",
 [1]EDI!$N$2:$N$10000,"Dataset Validation",
 [1]EDI!$L$2:$L$10000, "&lt;&gt;",
[1]EDI!$I$2:$I$10000,"EDI")</f>
        <v>0</v>
      </c>
      <c r="F3" s="74">
        <f>COUNTIFS([1]EDI!$S$2:$S$10000,"Aya Fathy",
[1]EDI!$Q$2:$Q$10000, "In Progress",
 [1]EDI!$N$2:$N$10000,"Mapping",
[1]EDI!$I$2:$I$10000,"EDI")</f>
        <v>2</v>
      </c>
      <c r="G3" s="74">
        <f>COUNTIFS([1]EDI!$S$2:$S$10000,"Aya Fathy",
[1]EDI!$Q$2:$Q$10000, "In Progress",
 [1]EDI!$N$2:$N$10000,"Testing",
 [1]EDI!$I$2:$I$10000,"EDI")</f>
        <v>19</v>
      </c>
      <c r="H3" s="74">
        <f>COUNTIFS([1]EDI!$S$2:$S$10000,"Aya Fathy",
[1]EDI!$Q$2:$Q$10000, "In Progress",
 [1]EDI!$N$2:$N$10000,"Ready For Production",
[1]EDI!$I$2:$I$10000,"EDI")</f>
        <v>0</v>
      </c>
      <c r="I3" s="75">
        <f>LARGE(Dates!F5:F51,1)</f>
        <v>46204</v>
      </c>
      <c r="J3" s="76"/>
      <c r="K3" s="74">
        <f>COUNTIFS([1]EDI!$S$2:$S$10000,"Aya Fathy",
[1]EDI!$Q$2:$Q$10000, "In Progress",
 [1]EDI!$I$2:$I$10000,"Forms")</f>
        <v>1</v>
      </c>
      <c r="L3" s="74" cm="1">
        <f t="array" ref="L3">SUM(COUNTIFS([1]EDI!$S$2:$S$10000,"Aya Fathy",
[1]EDI!$Q$2:$Q$10000,"In Progress",
[1]EDI!$N$2:$N$10000,{"Mapping","Dataset Validation"},
[1]EDI!$I$2:$I$10000,"Forms"))</f>
        <v>0</v>
      </c>
      <c r="M3" s="74">
        <f>COUNTIFS([1]EDI!$S$2:$S$10000,"Aya Fathy",
[1]EDI!$Q$2:$Q$10000, "In Progress",
 [1]EDI!$N$2:$N$10000,"Testing",
 [1]EDI!$I$2:$I$10000,"Forms")</f>
        <v>1</v>
      </c>
      <c r="N3" s="74">
        <f>COUNTIFS([1]EDI!$S$2:$S$10000,"Aya Fathy",
[1]EDI!$Q$2:$Q$10000, "In Progress",
 [1]EDI!$P$2:$P$10000,"Migration Testing",
[1]EDI!$I$2:$I$10000,"Forms")</f>
        <v>0</v>
      </c>
      <c r="O3" s="74">
        <f>COUNTIFS([1]EDI!$S$2:$S$10000,"Aya Fathy",
[1]EDI!$Q$2:$Q$10000, "Live",
 [1]EDI!$P$2:$P$10000,"Production",
[1]EDI!$I$2:$I$10000,"Forms")</f>
        <v>1</v>
      </c>
      <c r="P3" s="77" t="e">
        <f>LARGE('Dates-Forms'!B8:B55,1)</f>
        <v>#NUM!</v>
      </c>
      <c r="Q3" s="74">
        <f>C3+K3</f>
        <v>22</v>
      </c>
      <c r="R3" s="78">
        <f>COUNTIFS(
[1]EDI!$S$2:$S$10000,"Aya Fathy",
[1]EDI!$L$2:$L$10000,"&lt;&gt;",
[1]EDI!$R$2:$R$10000,"&gt;="&amp;DATE(2025,1,1),
[1]EDI!$R$2:$R$10000,"&lt;"&amp;DATE(2026,1,1),
[1]EDI!$I$2:$I$10000,"EDI"
)</f>
        <v>37</v>
      </c>
      <c r="S3" s="78">
        <f>COUNTIFS(
[1]EDI!$S$2:$S$10000,"Aya Fathy",
[1]EDI!$L$2:$L$10000,"&lt;&gt;",
[1]EDI!$R$2:$R$10000,"&gt;="&amp;DATE(2026,1,1),
[1]EDI!$I$2:$I$10000,"EDI"
)</f>
        <v>60</v>
      </c>
      <c r="W3" s="80"/>
      <c r="X3" s="80"/>
      <c r="Y3" s="80"/>
      <c r="Z3" s="80"/>
      <c r="AA3" s="80"/>
      <c r="AB3" s="80"/>
      <c r="AC3" s="80"/>
      <c r="AD3" s="80"/>
      <c r="AH3" s="80"/>
      <c r="AI3" s="80"/>
      <c r="AJ3" s="80"/>
      <c r="AK3" s="80"/>
      <c r="AL3" s="80"/>
      <c r="AM3" s="80"/>
      <c r="AN3" s="80"/>
    </row>
    <row r="4" spans="1:40" s="79" customFormat="1" x14ac:dyDescent="0.25">
      <c r="A4" s="69" t="s">
        <v>8</v>
      </c>
      <c r="B4" s="74"/>
      <c r="C4" s="74">
        <f>SUM(D4:G4)</f>
        <v>6</v>
      </c>
      <c r="D4" s="74">
        <f>COUNTIFS([1]EDI!$S$2:$S$10000,"Marwan Tawfik",
[1]EDI!$Q$2:$Q$10000, "In Progress",
 [1]EDI!$N$2:$N$10000,"DataSet Validation",
 [1]EDI!$L$2:$L$10000,"",
[1]EDI!$I$2:$I$10000,"EDI")</f>
        <v>0</v>
      </c>
      <c r="E4" s="74">
        <f>COUNTIFS([1]EDI!$S$2:$S$10000,"Marwan Tawfik",
[1]EDI!$Q$2:$Q$10000, "In Progress",
 [1]EDI!$N$2:$N$10000,"Dataset Validation",
 [1]EDI!$L$2:$L$10000, "&lt;&gt;",
[1]EDI!$I$2:$I$10000,"EDI")</f>
        <v>0</v>
      </c>
      <c r="F4" s="74">
        <f>COUNTIFS([1]EDI!$S$2:$S$10000,"Marwan Tawfik",
[1]EDI!$Q$2:$Q$10000, "In Progress",
 [1]EDI!$N$2:$N$10000,"Mapping",
[1]EDI!$I$2:$I$10000,"EDI")</f>
        <v>0</v>
      </c>
      <c r="G4" s="74">
        <f>COUNTIFS([1]EDI!$S$2:$S$10000,"Marwan Tawfik",
[1]EDI!$Q$2:$Q$10000, "In Progress",
 [1]EDI!$N$2:$N$10000,"Testing",
 [1]EDI!$I$2:$I$10000,"EDI")</f>
        <v>6</v>
      </c>
      <c r="H4" s="74">
        <f>COUNTIFS([1]EDI!$S$2:$S$10000,"Marwan Tawfik",
[1]EDI!$Q$2:$Q$10000, "In Progress",
 [1]EDI!$N$2:$N$10000,"Ready For Production",
[1]EDI!$I$2:$I$10000,"EDI")</f>
        <v>0</v>
      </c>
      <c r="I4" s="75">
        <f>LARGE(Dates!L4:L50,1)</f>
        <v>46204</v>
      </c>
      <c r="J4" s="76"/>
      <c r="K4" s="74">
        <f>COUNTIFS([1]EDI!$S$2:$S$10000,"Marwan Tawfik",
[1]EDI!$Q$2:$Q$10000, "In Progress",
 [1]EDI!$I$2:$I$10000,"Forms")</f>
        <v>0</v>
      </c>
      <c r="L4" s="74" cm="1">
        <f t="array" ref="L4">SUM(COUNTIFS([1]EDI!$S$2:$S$10000,"Marwan Tawfik",
[1]EDI!$Q$2:$Q$10000,"In Progress",
[1]EDI!$N$2:$N$10000,{"Mapping","Dataset Validation"},
[1]EDI!$I$2:$I$10000,"Forms"))</f>
        <v>0</v>
      </c>
      <c r="M4" s="74">
        <f>COUNTIFS([1]EDI!$S$2:$S$10000,"Marwan Tawfik",
[1]EDI!$Q$2:$Q$10000, "In Progress",
 [1]EDI!$N$2:$N$10000,"Testing",
 [1]EDI!$I$2:$I$10000,"Forms")</f>
        <v>0</v>
      </c>
      <c r="N4" s="74">
        <f>COUNTIFS([1]EDI!$S$2:$S$10000,"Marwan Tawfik",
[1]EDI!$Q$2:$Q$10000, "In Progress",
 [1]EDI!$P$2:$P$10000,"Migration Testing",
[1]EDI!$I$2:$I$10000,"Forms")</f>
        <v>0</v>
      </c>
      <c r="O4" s="74">
        <f>COUNTIFS([1]EDI!$S$2:$S$10000,"Marwan Tawfik",
[1]EDI!$Q$2:$Q$10000, "Live",
 [1]EDI!$P$2:$P$10000,"Production",
[1]EDI!$I$2:$I$10000,"Forms")</f>
        <v>0</v>
      </c>
      <c r="Q4" s="74">
        <f>C4+K4</f>
        <v>6</v>
      </c>
      <c r="R4" s="78">
        <f>COUNTIFS(
[1]EDI!$S$2:$S$10000,"Marwan Tawfik",
[1]EDI!$L$2:$L$10000,"&lt;&gt;",
[1]EDI!$R$2:$R$10000,"&gt;="&amp;DATE(2025,1,1),
[1]EDI!$R$2:$R$10000,"&lt;"&amp;DATE(2026,1,1),
[1]EDI!$I$2:$I$10000,"EDI"
)</f>
        <v>46</v>
      </c>
      <c r="S4" s="78">
        <f>COUNTIFS(
[1]EDI!$S$2:$S$10000,"Marwan Tawfik",
[1]EDI!$L$2:$L$10000,"&lt;&gt;",
[1]EDI!$R$2:$R$10000,"&gt;="&amp;DATE(2026,1,1),
[1]EDI!$I$2:$I$10000,"EDI"
)</f>
        <v>17</v>
      </c>
      <c r="W4" s="80"/>
      <c r="X4" s="80"/>
      <c r="Y4" s="80"/>
      <c r="Z4" s="80"/>
      <c r="AA4" s="80"/>
      <c r="AB4" s="80"/>
      <c r="AC4" s="80"/>
      <c r="AD4" s="80"/>
      <c r="AH4" s="80"/>
      <c r="AI4" s="80"/>
      <c r="AJ4" s="80"/>
      <c r="AK4" s="80"/>
      <c r="AL4" s="80"/>
      <c r="AM4" s="80"/>
      <c r="AN4" s="80"/>
    </row>
    <row r="5" spans="1:40" s="79" customFormat="1" x14ac:dyDescent="0.25">
      <c r="A5" s="69" t="s">
        <v>24</v>
      </c>
      <c r="B5" s="74"/>
      <c r="C5" s="74">
        <f>SUM(D5:G5)</f>
        <v>25</v>
      </c>
      <c r="D5" s="74">
        <f>COUNTIFS([1]EDI!$S$2:$S$10000,"Mirna Azmy",
[1]EDI!$Q$2:$Q$10000, "In Progress",
 [1]EDI!$N$2:$N$10000,"DataSet Validation",
 [1]EDI!$L$2:$L$10000,"",
[1]EDI!$I$2:$I$10000,"EDI")</f>
        <v>1</v>
      </c>
      <c r="E5" s="74">
        <f>COUNTIFS([1]EDI!$S$2:$S$10000,"Mirna Azmy",
[1]EDI!$Q$2:$Q$10000, "In Progress",
 [1]EDI!$N$2:$N$10000,"Dataset Validation",
 [1]EDI!$L$2:$L$10000, "&lt;&gt;",
[1]EDI!$I$2:$I$10000,"EDI")</f>
        <v>1</v>
      </c>
      <c r="F5" s="74">
        <f>COUNTIFS([1]EDI!$S$2:$S$10000,"Mirna Azmy",
[1]EDI!$Q$2:$Q$10000, "In Progress",
 [1]EDI!$N$2:$N$10000,"Mapping",
[1]EDI!$I$2:$I$10000,"EDI")</f>
        <v>6</v>
      </c>
      <c r="G5" s="74">
        <f>COUNTIFS([1]EDI!$S$2:$S$10000,"Mirna Azmy",
[1]EDI!$Q$2:$Q$10000, "In Progress",
 [1]EDI!$N$2:$N$10000,"Testing",
 [1]EDI!$I$2:$I$10000,"EDI")</f>
        <v>17</v>
      </c>
      <c r="H5" s="74">
        <f>COUNTIFS([1]EDI!$S$2:$S$10000,"Mirna Azmy",
[1]EDI!$Q$2:$Q$10000, "In Progress",
 [1]EDI!$N$2:$N$10000,"Ready For Production",
[1]EDI!$I$2:$I$10000,"EDI")</f>
        <v>3</v>
      </c>
      <c r="I5" s="75">
        <f>LARGE(Dates!N4:N50,1)</f>
        <v>46204</v>
      </c>
      <c r="J5" s="76"/>
      <c r="K5" s="74">
        <f>COUNTIFS([1]EDI!$S$2:$S$10000,"Mirna Azmy",
[1]EDI!$Q$2:$Q$10000, "In Progress",
 [1]EDI!$I$2:$I$10000,"Forms")</f>
        <v>0</v>
      </c>
      <c r="L5" s="74" cm="1">
        <f t="array" ref="L5">SUM(COUNTIFS([1]EDI!$S$2:$S$10000,"Mirna Azmy",
[1]EDI!$Q$2:$Q$10000,"In Progress",
[1]EDI!$N$2:$N$10000,{"Mapping","Dataset Validation"},
[1]EDI!$I$2:$I$10000,"Forms"))</f>
        <v>0</v>
      </c>
      <c r="M5" s="74">
        <f>COUNTIFS([1]EDI!$S$2:$S$10000,"Mirna Azmy",
[1]EDI!$Q$2:$Q$10000, "In Progress",
 [1]EDI!$N$2:$N$10000,"Testing",
 [1]EDI!$I$2:$I$10000,"Forms")</f>
        <v>0</v>
      </c>
      <c r="N5" s="74">
        <f>COUNTIFS([1]EDI!$S$2:$S$10000,"Mirna Azmy",
[1]EDI!$Q$2:$Q$10000, "In Progress",
 [1]EDI!$P$2:$P$10000,"Migration Testing",
[1]EDI!$I$2:$I$10000,"Forms")</f>
        <v>0</v>
      </c>
      <c r="O5" s="74">
        <f>COUNTIFS([1]EDI!$S$2:$S$10000,"Mirna Azmy",
[1]EDI!$Q$2:$Q$10000, "Live",
 [1]EDI!$P$2:$P$10000,"Production",
[1]EDI!$I$2:$I$10000,"Forms")</f>
        <v>2</v>
      </c>
      <c r="Q5" s="74">
        <f>C5+K5</f>
        <v>25</v>
      </c>
      <c r="R5" s="78">
        <f>COUNTIFS(
[1]EDI!$S$2:$S$10000,"Mirna Azmy",
[1]EDI!$L$2:$L$10000,"&lt;&gt;",
[1]EDI!$R$2:$R$10000,"&gt;="&amp;DATE(2025,1,1),
[1]EDI!$R$2:$R$10000,"&lt;"&amp;DATE(2026,1,1),
[1]EDI!$I$2:$I$10000,"EDI"
)</f>
        <v>68</v>
      </c>
      <c r="S5" s="78">
        <f>COUNTIFS(
[1]EDI!$S$2:$S$10000,"Mirna Azmy",
[1]EDI!$L$2:$L$10000,"&lt;&gt;",
[1]EDI!$R$2:$R$10000,"&gt;="&amp;DATE(2026,1,1),
[1]EDI!$I$2:$I$10000,"EDI"
)</f>
        <v>56</v>
      </c>
      <c r="W5" s="80"/>
      <c r="X5" s="80"/>
      <c r="Y5" s="80"/>
      <c r="Z5" s="80"/>
      <c r="AA5" s="80"/>
      <c r="AB5" s="80"/>
      <c r="AC5" s="80"/>
      <c r="AD5" s="80"/>
      <c r="AH5" s="80"/>
      <c r="AI5" s="80"/>
      <c r="AJ5" s="80"/>
      <c r="AK5" s="80"/>
      <c r="AL5" s="80"/>
      <c r="AM5" s="80"/>
      <c r="AN5" s="80"/>
    </row>
    <row r="6" spans="1:40" s="79" customFormat="1" x14ac:dyDescent="0.25">
      <c r="A6" s="69" t="s">
        <v>25</v>
      </c>
      <c r="B6" s="74"/>
      <c r="C6" s="74">
        <f>SUM(D6:G6)</f>
        <v>25</v>
      </c>
      <c r="D6" s="74">
        <f>COUNTIFS([1]EDI!$S$2:$S$10000,"Mirna Azmy",
[1]EDI!$Q$2:$Q$10000, "In Progress",
 [1]EDI!$N$2:$N$10000,"DataSet Validation",
 [1]EDI!$L$2:$L$10000,"",
[1]EDI!$I$2:$I$10000,"EDI")</f>
        <v>1</v>
      </c>
      <c r="E6" s="74">
        <f>COUNTIFS([1]EDI!$S$2:$S$10000,"Mirna Azmy",
[1]EDI!$Q$2:$Q$10000, "In Progress",
 [1]EDI!$N$2:$N$10000,"Dataset Validation",
 [1]EDI!$L$2:$L$10000, "&lt;&gt;",
[1]EDI!$I$2:$I$10000,"EDI")</f>
        <v>1</v>
      </c>
      <c r="F6" s="74">
        <f>COUNTIFS([1]EDI!$S$2:$S$10000,"Mirna Azmy",
[1]EDI!$Q$2:$Q$10000, "In Progress",
 [1]EDI!$N$2:$N$10000,"Mapping",
[1]EDI!$I$2:$I$10000,"EDI")</f>
        <v>6</v>
      </c>
      <c r="G6" s="74">
        <f>COUNTIFS([1]EDI!$S$2:$S$10000,"Mirna Azmy",
[1]EDI!$Q$2:$Q$10000, "In Progress",
 [1]EDI!$N$2:$N$10000,"Testing",
 [1]EDI!$I$2:$I$10000,"EDI")</f>
        <v>17</v>
      </c>
      <c r="H6" s="74">
        <f>COUNTIFS([1]EDI!$S$2:$S$10000,"Mirna Azmy",
[1]EDI!$Q$2:$Q$10000, "In Progress",
 [1]EDI!$N$2:$N$10000,"Ready For Production",
[1]EDI!$I$2:$I$10000,"EDI")</f>
        <v>3</v>
      </c>
      <c r="I6" s="75" t="e">
        <f>LARGE(Dates!O4:O50,1)</f>
        <v>#NUM!</v>
      </c>
      <c r="J6" s="76"/>
      <c r="K6" s="74">
        <f>COUNTIFS([1]EDI!$S$2:$S$10000,"Mirna Azmy",
[1]EDI!$Q$2:$Q$10000, "In Progress",
 [1]EDI!$I$2:$I$10000,"Forms")</f>
        <v>0</v>
      </c>
      <c r="L6" s="74" cm="1">
        <f t="array" ref="L6">SUM(COUNTIFS([1]EDI!$S$2:$S$10000,"Mirna Azmy",
[1]EDI!$Q$2:$Q$10000,"In Progress",
[1]EDI!$N$2:$N$10000,{"Mapping","Dataset Validation"},
[1]EDI!$I$2:$I$10000,"Forms"))</f>
        <v>0</v>
      </c>
      <c r="M6" s="74">
        <f>COUNTIFS([1]EDI!$S$2:$S$10000,"Mirna Azmy",
[1]EDI!$Q$2:$Q$10000, "In Progress",
 [1]EDI!$N$2:$N$10000,"Testing",
 [1]EDI!$I$2:$I$10000,"Forms")</f>
        <v>0</v>
      </c>
      <c r="N6" s="74">
        <f>COUNTIFS([1]EDI!$S$2:$S$10000,"Mirna Azmy",
[1]EDI!$Q$2:$Q$10000, "In Progress",
 [1]EDI!$P$2:$P$10000,"Migration Testing",
[1]EDI!$I$2:$I$10000,"Forms")</f>
        <v>0</v>
      </c>
      <c r="O6" s="74">
        <f>COUNTIFS([1]EDI!$S$2:$S$10000,"Mirna Azmy",
[1]EDI!$Q$2:$Q$10000, "Live",
 [1]EDI!$P$2:$P$10000,"Production",
[1]EDI!$I$2:$I$10000,"Forms")</f>
        <v>2</v>
      </c>
      <c r="Q6" s="74">
        <f>C6+K6</f>
        <v>25</v>
      </c>
      <c r="R6" s="78">
        <f>COUNTIFS(
[1]EDI!$S$2:$S$10000,"Mirna Azmy",
[1]EDI!$L$2:$L$10000,"&lt;&gt;",
[1]EDI!$R$2:$R$10000,"&gt;="&amp;DATE(2025,1,1),
[1]EDI!$R$2:$R$10000,"&lt;"&amp;DATE(2026,1,1),
[1]EDI!$I$2:$I$10000,"EDI"
)</f>
        <v>68</v>
      </c>
      <c r="S6" s="78">
        <f>COUNTIFS(
[1]EDI!$S$2:$S$10000,"Mirna Azmy",
[1]EDI!$L$2:$L$10000,"&lt;&gt;",
[1]EDI!$R$2:$R$10000,"&gt;="&amp;DATE(2026,1,1),
[1]EDI!$I$2:$I$10000,"EDI"
)</f>
        <v>56</v>
      </c>
      <c r="W6" s="80"/>
      <c r="X6" s="80"/>
      <c r="Y6" s="80"/>
      <c r="Z6" s="80"/>
      <c r="AA6" s="80"/>
      <c r="AB6" s="80"/>
      <c r="AC6" s="80"/>
      <c r="AD6" s="80"/>
      <c r="AE6" s="81"/>
      <c r="AG6" s="93"/>
      <c r="AH6" s="93"/>
      <c r="AI6" s="80"/>
      <c r="AJ6" s="80"/>
      <c r="AK6" s="80"/>
      <c r="AL6" s="80"/>
      <c r="AM6" s="80"/>
      <c r="AN6" s="80"/>
    </row>
  </sheetData>
  <mergeCells count="1">
    <mergeCell ref="AG6:AH6"/>
  </mergeCells>
  <conditionalFormatting sqref="B2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{784F60C8-6F2C-4535-ACD5-6AEF1A04BA0F}</x14:id>
        </ext>
      </extLst>
    </cfRule>
  </conditionalFormatting>
  <conditionalFormatting sqref="B3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{7A5F0EDF-AE3A-490F-9398-8096F5834CFA}</x14:id>
        </ext>
      </extLst>
    </cfRule>
  </conditionalFormatting>
  <conditionalFormatting sqref="B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{42858A7F-090C-495D-8BC8-EA4B1DB411FB}</x14:id>
        </ext>
      </extLst>
    </cfRule>
  </conditionalFormatting>
  <conditionalFormatting sqref="B5:B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{6363C2BD-DB2D-4366-A7CE-E8589E418F0D}</x14:id>
        </ext>
      </extLst>
    </cfRule>
  </conditionalFormatting>
  <conditionalFormatting sqref="C2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{45D2F89E-14B6-422D-90FE-15012A198599}</x14:id>
        </ext>
      </extLst>
    </cfRule>
    <cfRule type="iconSet" priority="38">
      <iconSet iconSet="3Arrows">
        <cfvo type="percent" val="0"/>
        <cfvo type="percent" val="33"/>
        <cfvo type="percent" val="67"/>
      </iconSet>
    </cfRule>
  </conditionalFormatting>
  <conditionalFormatting sqref="C3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{C36664BD-91D8-49A2-8266-56CAF48443C0}</x14:id>
        </ext>
      </extLst>
    </cfRule>
    <cfRule type="iconSet" priority="28">
      <iconSet iconSet="3Arrows">
        <cfvo type="percent" val="0"/>
        <cfvo type="percent" val="33"/>
        <cfvo type="percent" val="67"/>
      </iconSet>
    </cfRule>
  </conditionalFormatting>
  <conditionalFormatting sqref="C4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{8E7C6DE6-D00A-42BD-BC0A-B3649B3F6735}</x14:id>
        </ext>
      </extLst>
    </cfRule>
    <cfRule type="iconSet" priority="18">
      <iconSet iconSet="3Arrows">
        <cfvo type="percent" val="0"/>
        <cfvo type="percent" val="33"/>
        <cfvo type="percent" val="67"/>
      </iconSet>
    </cfRule>
  </conditionalFormatting>
  <conditionalFormatting sqref="C5:C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{6C03D9B3-301A-4B4D-949B-6F82338CF4DA}</x14:id>
        </ext>
      </extLst>
    </cfRule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K2:K6">
    <cfRule type="cellIs" dxfId="6" priority="2" operator="greaterThan">
      <formula>0</formula>
    </cfRule>
    <cfRule type="cellIs" dxfId="5" priority="3" operator="greaterThan">
      <formula>3</formula>
    </cfRule>
    <cfRule type="cellIs" dxfId="4" priority="4" operator="greaterThan">
      <formula>0</formula>
    </cfRule>
    <cfRule type="cellIs" dxfId="3" priority="5" operator="greaterThan">
      <formula>3</formula>
    </cfRule>
    <cfRule type="cellIs" dxfId="2" priority="6" operator="greaterThan">
      <formula>0</formula>
    </cfRule>
  </conditionalFormatting>
  <conditionalFormatting sqref="P2:P3">
    <cfRule type="cellIs" dxfId="1" priority="20" operator="greaterThan">
      <formula>45658</formula>
    </cfRule>
  </conditionalFormatting>
  <conditionalFormatting sqref="Q2:Q6">
    <cfRule type="cellIs" dxfId="0" priority="1" operator="greaterThan">
      <formula>20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4F60C8-6F2C-4535-ACD5-6AEF1A04BA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</xm:sqref>
        </x14:conditionalFormatting>
        <x14:conditionalFormatting xmlns:xm="http://schemas.microsoft.com/office/excel/2006/main">
          <x14:cfRule type="dataBar" id="{7A5F0EDF-AE3A-490F-9398-8096F5834C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</xm:sqref>
        </x14:conditionalFormatting>
        <x14:conditionalFormatting xmlns:xm="http://schemas.microsoft.com/office/excel/2006/main">
          <x14:cfRule type="dataBar" id="{42858A7F-090C-495D-8BC8-EA4B1DB411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</xm:sqref>
        </x14:conditionalFormatting>
        <x14:conditionalFormatting xmlns:xm="http://schemas.microsoft.com/office/excel/2006/main">
          <x14:cfRule type="dataBar" id="{6363C2BD-DB2D-4366-A7CE-E8589E418F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B5:B6</xm:sqref>
        </x14:conditionalFormatting>
        <x14:conditionalFormatting xmlns:xm="http://schemas.microsoft.com/office/excel/2006/main">
          <x14:cfRule type="dataBar" id="{45D2F89E-14B6-422D-90FE-15012A1985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</xm:sqref>
        </x14:conditionalFormatting>
        <x14:conditionalFormatting xmlns:xm="http://schemas.microsoft.com/office/excel/2006/main">
          <x14:cfRule type="dataBar" id="{C36664BD-91D8-49A2-8266-56CAF48443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</xm:sqref>
        </x14:conditionalFormatting>
        <x14:conditionalFormatting xmlns:xm="http://schemas.microsoft.com/office/excel/2006/main">
          <x14:cfRule type="dataBar" id="{8E7C6DE6-D00A-42BD-BC0A-B3649B3F67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6C03D9B3-301A-4B4D-949B-6F82338CF4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C5:C6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86626-33B5-449E-9F9C-716500B26960}">
  <dimension ref="A1:I8"/>
  <sheetViews>
    <sheetView tabSelected="1" workbookViewId="0">
      <pane ySplit="1" topLeftCell="A2" activePane="bottomLeft" state="frozen"/>
      <selection pane="bottomLeft" activeCell="I10" sqref="I10"/>
    </sheetView>
  </sheetViews>
  <sheetFormatPr defaultRowHeight="15" x14ac:dyDescent="0.25"/>
  <cols>
    <col min="1" max="1" width="25.7109375" customWidth="1"/>
    <col min="2" max="2" width="23" customWidth="1"/>
    <col min="3" max="3" width="19" customWidth="1"/>
    <col min="5" max="5" width="19.85546875" customWidth="1"/>
    <col min="6" max="6" width="10.140625" customWidth="1"/>
  </cols>
  <sheetData>
    <row r="1" spans="1:9" ht="30" x14ac:dyDescent="0.25">
      <c r="A1" s="1" t="s">
        <v>0</v>
      </c>
      <c r="B1" s="2" t="s">
        <v>9</v>
      </c>
      <c r="C1" s="17" t="s">
        <v>2</v>
      </c>
    </row>
    <row r="2" spans="1:9" ht="15.75" x14ac:dyDescent="0.25">
      <c r="A2" s="10" t="s">
        <v>7</v>
      </c>
      <c r="B2" s="11">
        <v>40</v>
      </c>
      <c r="C2" s="10"/>
      <c r="E2" s="29" t="s">
        <v>33</v>
      </c>
      <c r="F2" s="47">
        <f>COUNTIFS([1]EDI!$U$2:$U$10000,"",
[1]EDI!$R$2:$R$10000, "Not Started",
[1]EDI!$N$2:$N$10000,"Pending Start")</f>
        <v>0</v>
      </c>
    </row>
    <row r="3" spans="1:9" x14ac:dyDescent="0.25">
      <c r="A3" s="4" t="s">
        <v>35</v>
      </c>
      <c r="B3" s="3">
        <f>COUNTIFS([1]EDI!$S$2:$S$10000,"Karim Tarek",
[1]EDI!$Q$2:$Q$10000, "In Progress",
 [1]EDI!$N$2:$N$10000,"Requirements Gathering")</f>
        <v>6</v>
      </c>
      <c r="C3" s="25">
        <f>LARGE(Dates!V4:V50,1)</f>
        <v>46198</v>
      </c>
      <c r="G3">
        <f>B3+E4</f>
        <v>6</v>
      </c>
    </row>
    <row r="4" spans="1:9" x14ac:dyDescent="0.25">
      <c r="A4" s="4" t="s">
        <v>32</v>
      </c>
      <c r="B4" s="3">
        <f>COUNTIFS([1]EDI!$S$2:$S$10000,"Sandra Adel",
[1]EDI!$Q$2:$Q$10000, "In Progress",
 [1]EDI!$N$2:$N$10000,"Requirements Gathering")</f>
        <v>40</v>
      </c>
      <c r="C4" s="25">
        <f>LARGE(Dates!W4:W50,1)</f>
        <v>46217</v>
      </c>
      <c r="G4">
        <f>B4+E6</f>
        <v>40</v>
      </c>
    </row>
    <row r="5" spans="1:9" x14ac:dyDescent="0.25">
      <c r="A5" s="4" t="s">
        <v>70</v>
      </c>
      <c r="B5" s="3">
        <f>COUNTIFS([1]EDI!$S$2:$S$10000,"Hady Sherif",
[1]EDI!$Q$2:$Q$10000, "In Progress",
 [1]EDI!$N$2:$N$10000,"Requirements Gathering")</f>
        <v>32</v>
      </c>
      <c r="C5" s="25">
        <f>LARGE(Dates!AA3:AA49,1)</f>
        <v>46217</v>
      </c>
      <c r="G5">
        <f>B5+E6</f>
        <v>32</v>
      </c>
    </row>
    <row r="6" spans="1:9" x14ac:dyDescent="0.25">
      <c r="A6" s="4" t="s">
        <v>84</v>
      </c>
      <c r="B6" s="3">
        <f>COUNTIFS([1]EDI!$S$2:$S$10000,"Mai Atef",
[1]EDI!$Q$2:$Q$10000, "In Progress",
 [1]EDI!$N$2:$N$10000,"Requirements Gathering")</f>
        <v>6</v>
      </c>
      <c r="C6" s="25">
        <f>LARGE(Dates!AA4:AA50,1)</f>
        <v>46217</v>
      </c>
      <c r="G6">
        <f>B6+E7</f>
        <v>6</v>
      </c>
    </row>
    <row r="7" spans="1:9" hidden="1" x14ac:dyDescent="0.25">
      <c r="A7" s="4" t="s">
        <v>67</v>
      </c>
      <c r="B7" s="3">
        <f>COUNTIFS([1]EDI!$U$2:$U$10000,"Rasha Wadie",
[1]EDI!$R$2:$R$10000, "In Progress",
 [1]EDI!$N$2:$N$10000,"Requirements Gathering")</f>
        <v>0</v>
      </c>
      <c r="C7" s="25" t="e">
        <f>LARGE(Dates!Z4:Z51,1)</f>
        <v>#NUM!</v>
      </c>
      <c r="G7">
        <f>B7+E8</f>
        <v>0</v>
      </c>
    </row>
    <row r="8" spans="1:9" ht="17.25" x14ac:dyDescent="0.25">
      <c r="A8" s="23" t="s">
        <v>17</v>
      </c>
      <c r="B8" s="23">
        <f>SUM(B3:B7)</f>
        <v>84</v>
      </c>
      <c r="C8" s="28">
        <f>LARGE(C3:C4,1)</f>
        <v>46217</v>
      </c>
      <c r="D8" s="26"/>
      <c r="E8" s="26"/>
      <c r="F8" s="26"/>
      <c r="G8" s="26"/>
      <c r="H8" s="26"/>
      <c r="I8" s="27"/>
    </row>
  </sheetData>
  <conditionalFormatting sqref="B2">
    <cfRule type="iconSet" priority="3">
      <iconSet iconSet="3Arrows">
        <cfvo type="percent" val="0"/>
        <cfvo type="percent" val="33"/>
        <cfvo type="percent" val="67"/>
      </iconSe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{08F11755-A060-4189-A724-DED0C15CA676}</x14:id>
        </ext>
      </extLst>
    </cfRule>
  </conditionalFormatting>
  <conditionalFormatting sqref="B2:B7">
    <cfRule type="iconSet" priority="53">
      <iconSet iconSet="3Arrows">
        <cfvo type="percent" val="0"/>
        <cfvo type="percent" val="33"/>
        <cfvo type="percent" val="67"/>
      </iconSet>
    </cfRule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{AAC9CD1D-5466-49DF-937D-F826C2DAC0C0}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F11755-A060-4189-A724-DED0C15CA6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</xm:sqref>
        </x14:conditionalFormatting>
        <x14:conditionalFormatting xmlns:xm="http://schemas.microsoft.com/office/excel/2006/main">
          <x14:cfRule type="dataBar" id="{AAC9CD1D-5466-49DF-937D-F826C2DAC0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8DB1-88A3-49F5-A793-704926890180}">
  <dimension ref="A2:AG50"/>
  <sheetViews>
    <sheetView workbookViewId="0">
      <selection activeCell="V4" sqref="V4"/>
    </sheetView>
  </sheetViews>
  <sheetFormatPr defaultRowHeight="15" x14ac:dyDescent="0.25"/>
  <cols>
    <col min="1" max="2" width="10.5703125" style="9" bestFit="1" customWidth="1"/>
    <col min="3" max="3" width="10.5703125" style="9" hidden="1" customWidth="1"/>
    <col min="4" max="4" width="12.7109375" style="9" bestFit="1" customWidth="1"/>
    <col min="5" max="5" width="10.5703125" style="9" bestFit="1" customWidth="1"/>
    <col min="6" max="6" width="13.7109375" style="9" hidden="1" customWidth="1"/>
    <col min="7" max="7" width="10.7109375" style="9" hidden="1" customWidth="1"/>
    <col min="8" max="8" width="15.85546875" style="9" hidden="1" customWidth="1"/>
    <col min="9" max="10" width="10.5703125" bestFit="1" customWidth="1"/>
    <col min="11" max="11" width="11.7109375" bestFit="1" customWidth="1"/>
    <col min="12" max="12" width="10.5703125" hidden="1" customWidth="1"/>
    <col min="13" max="13" width="10.5703125" bestFit="1" customWidth="1"/>
    <col min="14" max="14" width="11.28515625" hidden="1" customWidth="1"/>
    <col min="15" max="15" width="14.28515625" bestFit="1" customWidth="1"/>
    <col min="16" max="16" width="15" bestFit="1" customWidth="1"/>
    <col min="17" max="17" width="13.140625" bestFit="1" customWidth="1"/>
    <col min="18" max="18" width="12.7109375" bestFit="1" customWidth="1"/>
    <col min="19" max="19" width="15.7109375" bestFit="1" customWidth="1"/>
    <col min="20" max="20" width="12" bestFit="1" customWidth="1"/>
    <col min="21" max="21" width="17.85546875" hidden="1" customWidth="1"/>
    <col min="22" max="24" width="13.85546875" bestFit="1" customWidth="1"/>
    <col min="25" max="25" width="16.42578125" bestFit="1" customWidth="1"/>
    <col min="26" max="26" width="11.7109375" bestFit="1" customWidth="1"/>
    <col min="27" max="27" width="13.42578125" customWidth="1"/>
    <col min="28" max="28" width="10.5703125" bestFit="1" customWidth="1"/>
    <col min="29" max="29" width="12.28515625" bestFit="1" customWidth="1"/>
    <col min="30" max="30" width="13.28515625" bestFit="1" customWidth="1"/>
  </cols>
  <sheetData>
    <row r="2" spans="1:33" x14ac:dyDescent="0.25">
      <c r="A2" s="4" t="s">
        <v>12</v>
      </c>
      <c r="B2" s="4" t="s">
        <v>14</v>
      </c>
      <c r="C2" s="4" t="s">
        <v>13</v>
      </c>
      <c r="D2" s="4" t="s">
        <v>15</v>
      </c>
      <c r="E2" s="4" t="s">
        <v>16</v>
      </c>
      <c r="F2" s="4" t="s">
        <v>18</v>
      </c>
      <c r="G2" s="4" t="s">
        <v>19</v>
      </c>
      <c r="H2" s="4" t="s">
        <v>21</v>
      </c>
      <c r="I2" s="13" t="s">
        <v>22</v>
      </c>
      <c r="J2" s="13" t="s">
        <v>3</v>
      </c>
      <c r="K2" s="13" t="s">
        <v>4</v>
      </c>
      <c r="L2" s="12" t="s">
        <v>8</v>
      </c>
      <c r="M2" s="12" t="s">
        <v>23</v>
      </c>
      <c r="N2" s="12" t="s">
        <v>24</v>
      </c>
      <c r="O2" s="13" t="s">
        <v>25</v>
      </c>
      <c r="P2" s="13" t="s">
        <v>26</v>
      </c>
      <c r="Q2" s="13" t="s">
        <v>27</v>
      </c>
      <c r="R2" s="13" t="s">
        <v>34</v>
      </c>
      <c r="S2" s="13" t="s">
        <v>35</v>
      </c>
      <c r="T2" s="13" t="s">
        <v>29</v>
      </c>
      <c r="U2" s="16" t="s">
        <v>30</v>
      </c>
      <c r="V2" s="69" t="s">
        <v>35</v>
      </c>
      <c r="W2" s="69" t="s">
        <v>32</v>
      </c>
      <c r="X2" s="4" t="s">
        <v>63</v>
      </c>
      <c r="Y2" s="4" t="s">
        <v>62</v>
      </c>
      <c r="Z2" s="71" t="s">
        <v>67</v>
      </c>
      <c r="AA2" s="70" t="s">
        <v>70</v>
      </c>
      <c r="AB2" s="4" t="s">
        <v>81</v>
      </c>
      <c r="AC2" s="4" t="s">
        <v>82</v>
      </c>
      <c r="AD2" s="4" t="s">
        <v>83</v>
      </c>
    </row>
    <row r="3" spans="1:33" x14ac:dyDescent="0.25">
      <c r="C3" s="14"/>
      <c r="D3" s="14"/>
      <c r="I3" s="9"/>
      <c r="J3" s="9"/>
      <c r="K3" s="14"/>
      <c r="L3" s="9"/>
      <c r="M3" s="14"/>
      <c r="N3" s="14"/>
      <c r="O3" s="9"/>
      <c r="P3" s="9"/>
      <c r="Q3" s="9"/>
      <c r="R3" s="9"/>
      <c r="S3" s="9"/>
      <c r="T3" s="9"/>
      <c r="V3" s="4"/>
      <c r="W3" s="4"/>
      <c r="X3" s="4"/>
    </row>
    <row r="4" spans="1:33" x14ac:dyDescent="0.25">
      <c r="A4" s="9" cm="1">
        <f t="array" ref="A4:A28">_xlfn._xlws.FILTER([1]EDI!$T$2:$T$10000,
([1]EDI!$S$2:$S$10000="Ahmed Ali")*
([1]EDI!$Q$2:$Q$10000= "In Progress")*
([1]EDI!$I$2:$I$10000="EDI"),"")</f>
        <v>46215</v>
      </c>
      <c r="B4" s="9" cm="1">
        <f t="array" ref="B4:B23">_xlfn._xlws.FILTER([1]EDI!$T$2:$T$10000,
([1]EDI!$S$2:$S$10000="Alaa Yehia")*
([1]EDI!$Q$2:$Q$10000= "In Progress")*
([1]EDI!$I$2:$I$10000="EDI"),"")</f>
        <v>46215</v>
      </c>
      <c r="C4" s="9" cm="1">
        <f t="array" ref="C4:C23">_xlfn._xlws.FILTER([1]EDI!$T$2:$T$10000,
([1]EDI!$S$2:$S$10000="Alaa Yehia")*
([1]EDI!$Q$2:$Q$10000= "In Progress")*
([1]EDI!$I$2:$I$10000="EDI"),"")</f>
        <v>46215</v>
      </c>
      <c r="D4" s="9" cm="1">
        <f t="array" ref="D4:D30">_xlfn._xlws.FILTER([1]EDI!$T$2:$T$10000,
([1]EDI!$S$2:$S$10000="Andrew Ramy")*
([1]EDI!$Q$2:$Q$10000= "In Progress")*
([1]EDI!$I$2:$I$10000="EDI"),"")</f>
        <v>46215</v>
      </c>
      <c r="E4" s="9" cm="1">
        <f t="array" ref="E4:E24">_xlfn._xlws.FILTER([1]EDI!$T$2:$T$10000,
([1]EDI!$S$2:$S$10000="Aya Fathy")*
([1]EDI!$Q$2:$Q$10000= "In Progress")*
([1]EDI!$I$2:$I$10000="EDI"),"")</f>
        <v>46204</v>
      </c>
      <c r="F4" s="9" cm="1">
        <f t="array" ref="F4:F24">_xlfn._xlws.FILTER([1]EDI!$T$2:$T$10000,
([1]EDI!$S$2:$S$10000="Aya Fathy")*
([1]EDI!$Q$2:$Q$10000= "In Progress")*
([1]EDI!$I$2:$I$10000="EDI"),"")</f>
        <v>46204</v>
      </c>
      <c r="G4" s="9" cm="1">
        <f t="array" ref="G4:G24">_xlfn._xlws.FILTER([1]EDI!$T$2:$T$10000,
([1]EDI!$S$2:$S$10000="Aya Fathy")*
([1]EDI!$Q$2:$Q$10000= "In Progress")*
([1]EDI!$I$2:$I$10000="EDI"),"")</f>
        <v>46204</v>
      </c>
      <c r="H4" s="9" cm="1">
        <f t="array" ref="H4:H24">_xlfn._xlws.FILTER([1]EDI!$T$2:$T$10000,
([1]EDI!$S$2:$S$10000="Aya Fathy")*
([1]EDI!$Q$2:$Q$10000= "In Progress")*
([1]EDI!$I$2:$I$10000="EDI"),"")</f>
        <v>46204</v>
      </c>
      <c r="I4" s="9" cm="1">
        <f t="array" ref="I4:I9">_xlfn._xlws.FILTER([1]EDI!$T$2:$T$10000,
([1]EDI!$S$2:$S$10000="Marwan Tawfik")*
([1]EDI!$Q$2:$Q$10000= "In Progress")*
([1]EDI!$I$2:$I$10000="EDI"),"")</f>
        <v>46132</v>
      </c>
      <c r="J4" s="9" cm="1">
        <f t="array" ref="J4">_xlfn._xlws.FILTER([1]EDI!$T$2:$T$10000,
([1]EDI!$S$2:$S$10000="Mina Adel")*
([1]EDI!$Q$2:$Q$10000= "In Progress")*
([1]EDI!$I$2:$I$10000="EDI"),"")</f>
        <v>45249</v>
      </c>
      <c r="K4" s="9" t="str" cm="1">
        <f t="array" ref="K4">_xlfn._xlws.FILTER([1]EDI!$T$2:$T$10000,
([1]EDI!$S$2:$S$10000="Mina George")*
([1]EDI!$Q$2:$Q$10000= "In Progress")*
([1]EDI!$I$2:$I$10000="EDI"),"")</f>
        <v/>
      </c>
      <c r="L4" s="9" cm="1">
        <f t="array" ref="L4:L24">_xlfn._xlws.FILTER([1]EDI!$T$2:$T$10000,
([1]EDI!$S$2:$S$10000="Aya Fathy")*
([1]EDI!$Q$2:$Q$10000= "In Progress")*
([1]EDI!$I$2:$I$10000="EDI"),"")</f>
        <v>46204</v>
      </c>
      <c r="M4" s="9" cm="1">
        <f t="array" ref="M4:M31">_xlfn._xlws.FILTER([1]EDI!$T$2:$T$10000,
([1]EDI!$S$2:$S$10000="Mirna Azmy")*
([1]EDI!$Q$2:$Q$10000= "In Progress")*
([1]EDI!$I$2:$I$10000="EDI"),"")</f>
        <v>46197</v>
      </c>
      <c r="N4" s="9" cm="1">
        <f t="array" ref="N4:N24">_xlfn._xlws.FILTER([1]EDI!$T$2:$T$10000,
([1]EDI!$S$2:$S$10000="Aya Fathy")*
([1]EDI!$Q$2:$Q$10000= "In Progress")*
([1]EDI!$I$2:$I$10000="EDI"),"")</f>
        <v>46204</v>
      </c>
      <c r="O4" s="9" t="str" cm="1">
        <f t="array" ref="O4">_xlfn._xlws.FILTER([1]EDI!$T$2:$T$10000,
([1]EDI!$S$2:$S$10000="Noha Moustafa")*
([1]EDI!$Q$2:$Q$10000= "In Progress")*
([1]EDI!$I$2:$I$10000="EDI"),"")</f>
        <v/>
      </c>
      <c r="P4" s="9" cm="1">
        <f t="array" ref="P4:P27">_xlfn._xlws.FILTER([1]EDI!$T$2:$T$10000,
([1]EDI!$S$2:$S$10000="Omnia Abdelaziz")*
([1]EDI!$Q$2:$Q$10000= "In Progress")*
([1]EDI!$I$2:$I$10000="EDI"),"")</f>
        <v>46215</v>
      </c>
      <c r="Q4" s="9" cm="1">
        <f t="array" ref="Q4:Q26">_xlfn._xlws.FILTER([1]EDI!$T$2:$T$10000,
([1]EDI!$S$2:$S$10000="Reem Radwan")*
([1]EDI!$Q$2:$Q$10000= "In Progress")*
([1]EDI!$I$2:$I$10000="EDI"),"")</f>
        <v>46209</v>
      </c>
      <c r="R4" s="9" cm="1">
        <f t="array" ref="R4:R20">_xlfn._xlws.FILTER([1]EDI!$T$2:$T$10000,
([1]EDI!$S$2:$S$10000="Karen Ramy")*
([1]EDI!$Q$2:$Q$10000= "In Progress")*
([1]EDI!$I$2:$I$10000="EDI"),"")</f>
        <v>46204</v>
      </c>
      <c r="S4" s="9" cm="1">
        <f t="array" ref="S4:S9">_xlfn._xlws.FILTER([1]EDI!$T$2:$T$10000,
([1]EDI!$S$2:$S$10000="Karim Tarek")*
([1]EDI!$Q$2:$Q$10000= "In Progress")*
([1]EDI!$I$2:$I$10000="EDI"),"")</f>
        <v>46198</v>
      </c>
      <c r="T4" s="9" cm="1">
        <f t="array" ref="T4:T27">_xlfn._xlws.FILTER([1]EDI!$T$2:$T$10000,
([1]EDI!$S$2:$S$10000="Zeyad khaled")*
([1]EDI!$Q$2:$Q$10000= "In Progress")*
([1]EDI!$I$2:$I$10000="EDI"),"")</f>
        <v>46215</v>
      </c>
      <c r="U4" s="9" cm="1">
        <f t="array" ref="U4:U20">_xlfn._xlws.FILTER([1]EDI!$T$2:$T$10000,
([1]EDI!$S$2:$S$10000="Karen Ramy")*
([1]EDI!$Q$2:$Q$10000= "In Progress")*
([1]EDI!$I$2:$I$10000="EDI"),"")</f>
        <v>46204</v>
      </c>
      <c r="V4" s="9" cm="1">
        <f t="array" ref="V4:V9">_xlfn._xlws.FILTER(
    [1]EDI!$T$2:$T$10000,
    ([1]EDI!$S$2:$S$10000="Karim Tarek") *
    ([1]EDI!$Q$2:$Q$10000="In Progress") *
    ([1]EDI!$I$2:$I$10000="EDI") *
    ([1]EDI!$N$2:$N$10000="Requirements Gathering"),
    ""
)</f>
        <v>46198</v>
      </c>
      <c r="W4" s="9" cm="1">
        <f t="array" ref="W4:W43">_xlfn._xlws.FILTER(
    [1]EDI!$T$2:$T$10000,
    ([1]EDI!$S$2:$S$10000="Sandra Adel") *
    ([1]EDI!$Q$2:$Q$10000="In Progress") *
    ([1]EDI!$I$2:$I$10000="EDI") *
    ([1]EDI!$N$2:$N$10000="Requirements Gathering"),
    ""
)</f>
        <v>46217</v>
      </c>
      <c r="X4" s="9" cm="1">
        <f t="array" ref="X4:X25">_xlfn._xlws.FILTER([1]EDI!$T$2:$T$10000,
([1]EDI!$S$2:$S$10000="Mark Albert")*
([1]EDI!$Q$2:$Q$10000= "In Progress")*
([1]EDI!$I$2:$I$10000="EDI"),"")</f>
        <v>46215</v>
      </c>
      <c r="Y4" s="9" cm="1">
        <f t="array" ref="Y4:Y26">_xlfn._xlws.FILTER([1]EDI!$T$2:$T$10000,
([1]EDI!$S$2:$S$10000="Josephine Ossama")*
([1]EDI!$Q$2:$Q$10000= "In Progress")*
([1]EDI!$I$2:$I$10000="EDI"),"")</f>
        <v>46208</v>
      </c>
      <c r="Z4" s="9" t="str" cm="1">
        <f t="array" ref="Z4">_xlfn._xlws.FILTER([1]EDI!$V$2:$V$10000,([1]EDI!$U$2:$U$10000="Rasha Wadie")*
([1]EDI!$R$2:$R$10000= "In Progress")*
([1]EDI!$I$2:$I$10000="EDI"),"")</f>
        <v/>
      </c>
      <c r="AA4" s="9" cm="1">
        <f t="array" ref="AA4:AA35">_xlfn._xlws.FILTER(
    [1]EDI!$T$2:$T$10000,
    ([1]EDI!$S$2:$S$10000="Hady Sherif") *
    ([1]EDI!$Q$2:$Q$10000="In Progress") *
    ([1]EDI!$I$2:$I$10000="EDI") *
    ([1]EDI!$N$2:$N$10000="Requirements Gathering"),
    ""
)</f>
        <v>46217</v>
      </c>
      <c r="AB4" s="9" cm="1">
        <f t="array" ref="AB4:AB15">_xlfn._xlws.FILTER([1]EDI!$T$2:$T$10000,
([1]EDI!$S$2:$S$10000="Giulie Alaa")*
([1]EDI!$Q$2:$Q$10000= "In Progress")*
([1]EDI!$I$2:$I$10000="EDI"),"")</f>
        <v>46215</v>
      </c>
      <c r="AC4" s="9" cm="1">
        <f t="array" ref="AC4:AC12">_xlfn._xlws.FILTER([1]EDI!$T$2:$T$10000,
([1]EDI!$S$2:$S$10000="Poula Moheb")*
([1]EDI!$Q$2:$Q$10000= "In Progress")*
([1]EDI!$I$2:$I$10000="EDI"),"")</f>
        <v>46201</v>
      </c>
      <c r="AD4" s="9" cm="1">
        <f t="array" ref="AD4:AD13">_xlfn._xlws.FILTER([1]EDI!$T$2:$T$10000,
([1]EDI!$S$2:$S$10000="Adham Akram")*
([1]EDI!$Q$2:$Q$10000= "In Progress")*
([1]EDI!$I$2:$I$10000="EDI"),"")</f>
        <v>46208</v>
      </c>
    </row>
    <row r="5" spans="1:33" x14ac:dyDescent="0.25">
      <c r="A5" s="9">
        <v>46194</v>
      </c>
      <c r="B5" s="9">
        <v>46201</v>
      </c>
      <c r="C5" s="9">
        <v>46201</v>
      </c>
      <c r="D5" s="9">
        <v>46208</v>
      </c>
      <c r="E5" s="9">
        <v>46204</v>
      </c>
      <c r="F5" s="9">
        <v>46204</v>
      </c>
      <c r="G5" s="9">
        <v>46204</v>
      </c>
      <c r="H5" s="9">
        <v>46204</v>
      </c>
      <c r="I5" s="9">
        <v>46107</v>
      </c>
      <c r="J5" s="9"/>
      <c r="K5" s="9"/>
      <c r="L5" s="9">
        <v>46204</v>
      </c>
      <c r="M5" s="9">
        <v>46197</v>
      </c>
      <c r="N5" s="9">
        <v>46204</v>
      </c>
      <c r="O5" s="9"/>
      <c r="P5" s="9">
        <v>46204</v>
      </c>
      <c r="Q5" s="9">
        <v>46215</v>
      </c>
      <c r="R5" s="9">
        <v>46204</v>
      </c>
      <c r="S5" s="9">
        <v>46198</v>
      </c>
      <c r="T5" s="9">
        <v>46201</v>
      </c>
      <c r="U5" s="9">
        <v>46204</v>
      </c>
      <c r="V5" s="9">
        <v>46198</v>
      </c>
      <c r="W5" s="9">
        <v>46217</v>
      </c>
      <c r="X5" s="9">
        <v>46208</v>
      </c>
      <c r="Y5" s="9">
        <v>46215</v>
      </c>
      <c r="Z5" s="9"/>
      <c r="AA5" s="9">
        <v>46215</v>
      </c>
      <c r="AB5" s="9">
        <v>46208</v>
      </c>
      <c r="AC5" s="9">
        <v>46215</v>
      </c>
      <c r="AD5" s="9">
        <v>46215</v>
      </c>
      <c r="AE5" s="9"/>
      <c r="AF5" s="9"/>
      <c r="AG5" s="9"/>
    </row>
    <row r="6" spans="1:33" x14ac:dyDescent="0.25">
      <c r="A6" s="9">
        <v>46176</v>
      </c>
      <c r="B6" s="9">
        <v>46196</v>
      </c>
      <c r="C6" s="9">
        <v>46196</v>
      </c>
      <c r="D6" s="9">
        <v>46208</v>
      </c>
      <c r="E6" s="9">
        <v>46201</v>
      </c>
      <c r="F6" s="9">
        <v>46201</v>
      </c>
      <c r="G6" s="9">
        <v>46201</v>
      </c>
      <c r="H6" s="9">
        <v>46201</v>
      </c>
      <c r="I6" s="9">
        <v>46051</v>
      </c>
      <c r="J6" s="9"/>
      <c r="K6" s="9"/>
      <c r="L6" s="9">
        <v>46201</v>
      </c>
      <c r="M6" s="9">
        <v>46182</v>
      </c>
      <c r="N6" s="9">
        <v>46201</v>
      </c>
      <c r="O6" s="9"/>
      <c r="P6" s="9">
        <v>46201</v>
      </c>
      <c r="Q6" s="9">
        <v>46201</v>
      </c>
      <c r="R6" s="9">
        <v>46204</v>
      </c>
      <c r="S6" s="9">
        <v>46198</v>
      </c>
      <c r="T6" s="9">
        <v>46196</v>
      </c>
      <c r="U6" s="9">
        <v>46204</v>
      </c>
      <c r="V6" s="9">
        <v>46198</v>
      </c>
      <c r="W6" s="9">
        <v>46217</v>
      </c>
      <c r="X6" s="9">
        <v>46194</v>
      </c>
      <c r="Y6" s="9">
        <v>46201</v>
      </c>
      <c r="Z6" s="9"/>
      <c r="AA6" s="9">
        <v>46215</v>
      </c>
      <c r="AB6" s="9">
        <v>46201</v>
      </c>
      <c r="AC6" s="9">
        <v>46196</v>
      </c>
      <c r="AD6" s="9">
        <v>46201</v>
      </c>
      <c r="AE6" s="9"/>
      <c r="AF6" s="9"/>
      <c r="AG6" s="9"/>
    </row>
    <row r="7" spans="1:33" x14ac:dyDescent="0.25">
      <c r="A7" s="9">
        <v>46176</v>
      </c>
      <c r="B7" s="9">
        <v>46194</v>
      </c>
      <c r="C7" s="9">
        <v>46194</v>
      </c>
      <c r="D7" s="9">
        <v>46194</v>
      </c>
      <c r="E7" s="9">
        <v>46196</v>
      </c>
      <c r="F7" s="9">
        <v>46196</v>
      </c>
      <c r="G7" s="9">
        <v>46196</v>
      </c>
      <c r="H7" s="9">
        <v>46196</v>
      </c>
      <c r="I7" s="9">
        <v>46069</v>
      </c>
      <c r="J7" s="9"/>
      <c r="K7" s="9"/>
      <c r="L7" s="9">
        <v>46196</v>
      </c>
      <c r="M7" s="9">
        <v>46215</v>
      </c>
      <c r="N7" s="9">
        <v>46196</v>
      </c>
      <c r="O7" s="9"/>
      <c r="P7" s="9">
        <v>46208</v>
      </c>
      <c r="Q7" s="9">
        <v>46194</v>
      </c>
      <c r="R7" s="9">
        <v>46196</v>
      </c>
      <c r="S7" s="9">
        <v>46196</v>
      </c>
      <c r="T7" s="9">
        <v>46194</v>
      </c>
      <c r="U7" s="9">
        <v>46196</v>
      </c>
      <c r="V7" s="9">
        <v>46196</v>
      </c>
      <c r="W7" s="9">
        <v>46217</v>
      </c>
      <c r="X7" s="9">
        <v>46196</v>
      </c>
      <c r="Y7" s="9">
        <v>46194</v>
      </c>
      <c r="Z7" s="9"/>
      <c r="AA7" s="9">
        <v>46215</v>
      </c>
      <c r="AB7" s="9">
        <v>46197</v>
      </c>
      <c r="AC7" s="9">
        <v>46188</v>
      </c>
      <c r="AD7" s="9">
        <v>46188</v>
      </c>
      <c r="AE7" s="9"/>
      <c r="AF7" s="9"/>
      <c r="AG7" s="9"/>
    </row>
    <row r="8" spans="1:33" x14ac:dyDescent="0.25">
      <c r="A8" s="9">
        <v>46180</v>
      </c>
      <c r="B8" s="9">
        <v>46182</v>
      </c>
      <c r="C8" s="9">
        <v>46182</v>
      </c>
      <c r="D8" s="9">
        <v>46190</v>
      </c>
      <c r="E8" s="9">
        <v>46194</v>
      </c>
      <c r="F8" s="9">
        <v>46194</v>
      </c>
      <c r="G8" s="9">
        <v>46194</v>
      </c>
      <c r="H8" s="9">
        <v>46194</v>
      </c>
      <c r="I8" s="9">
        <v>46049</v>
      </c>
      <c r="J8" s="9"/>
      <c r="K8" s="9"/>
      <c r="L8" s="9">
        <v>46194</v>
      </c>
      <c r="M8" s="9">
        <v>46194</v>
      </c>
      <c r="N8" s="9">
        <v>46194</v>
      </c>
      <c r="O8" s="9"/>
      <c r="P8" s="9">
        <v>46194</v>
      </c>
      <c r="Q8" s="9">
        <v>46204</v>
      </c>
      <c r="R8" s="9">
        <v>46196</v>
      </c>
      <c r="S8" s="9">
        <v>46190</v>
      </c>
      <c r="T8" s="9">
        <v>46183</v>
      </c>
      <c r="U8" s="9">
        <v>46196</v>
      </c>
      <c r="V8" s="9">
        <v>46190</v>
      </c>
      <c r="W8" s="9">
        <v>46216</v>
      </c>
      <c r="X8" s="9">
        <v>46188</v>
      </c>
      <c r="Y8" s="9">
        <v>46188</v>
      </c>
      <c r="Z8" s="9"/>
      <c r="AA8" s="9">
        <v>46215</v>
      </c>
      <c r="AB8" s="9">
        <v>46182</v>
      </c>
      <c r="AC8" s="9">
        <v>46182</v>
      </c>
      <c r="AD8" s="9">
        <v>46188</v>
      </c>
      <c r="AE8" s="9"/>
      <c r="AF8" s="9"/>
      <c r="AG8" s="9"/>
    </row>
    <row r="9" spans="1:33" x14ac:dyDescent="0.25">
      <c r="A9" s="9">
        <v>46161</v>
      </c>
      <c r="B9" s="9">
        <v>46182</v>
      </c>
      <c r="C9" s="9">
        <v>46182</v>
      </c>
      <c r="D9" s="9">
        <v>46201</v>
      </c>
      <c r="E9" s="9">
        <v>46194</v>
      </c>
      <c r="F9" s="9">
        <v>46194</v>
      </c>
      <c r="G9" s="9">
        <v>46194</v>
      </c>
      <c r="H9" s="9">
        <v>46194</v>
      </c>
      <c r="I9" s="9">
        <v>45972</v>
      </c>
      <c r="J9" s="9"/>
      <c r="K9" s="9"/>
      <c r="L9" s="9">
        <v>46194</v>
      </c>
      <c r="M9" s="9">
        <v>46182</v>
      </c>
      <c r="N9" s="9">
        <v>46194</v>
      </c>
      <c r="O9" s="9"/>
      <c r="P9" s="9">
        <v>46174</v>
      </c>
      <c r="Q9" s="9">
        <v>46182</v>
      </c>
      <c r="R9" s="9">
        <v>46194</v>
      </c>
      <c r="S9" s="9">
        <v>46118</v>
      </c>
      <c r="T9" s="9">
        <v>46182</v>
      </c>
      <c r="U9" s="9">
        <v>46194</v>
      </c>
      <c r="V9" s="9">
        <v>46118</v>
      </c>
      <c r="W9" s="9">
        <v>46216</v>
      </c>
      <c r="X9" s="9">
        <v>46183</v>
      </c>
      <c r="Y9" s="9">
        <v>46183</v>
      </c>
      <c r="Z9" s="9"/>
      <c r="AA9" s="9">
        <v>46215</v>
      </c>
      <c r="AB9" s="9">
        <v>46196</v>
      </c>
      <c r="AC9" s="9">
        <v>46161</v>
      </c>
      <c r="AD9" s="9">
        <v>46204</v>
      </c>
      <c r="AE9" s="9"/>
      <c r="AF9" s="9"/>
      <c r="AG9" s="9"/>
    </row>
    <row r="10" spans="1:33" x14ac:dyDescent="0.25">
      <c r="A10" s="9">
        <v>46159</v>
      </c>
      <c r="B10" s="9">
        <v>46180</v>
      </c>
      <c r="C10" s="9">
        <v>46180</v>
      </c>
      <c r="D10" s="9">
        <v>46183</v>
      </c>
      <c r="E10" s="9">
        <v>46190</v>
      </c>
      <c r="F10" s="9">
        <v>46190</v>
      </c>
      <c r="G10" s="9">
        <v>46190</v>
      </c>
      <c r="H10" s="9">
        <v>46190</v>
      </c>
      <c r="I10" s="9"/>
      <c r="J10" s="9"/>
      <c r="K10" s="9"/>
      <c r="L10" s="9">
        <v>46190</v>
      </c>
      <c r="M10" s="9">
        <v>46176</v>
      </c>
      <c r="N10" s="9">
        <v>46190</v>
      </c>
      <c r="O10" s="9"/>
      <c r="P10" s="9">
        <v>46174</v>
      </c>
      <c r="Q10" s="9">
        <v>46180</v>
      </c>
      <c r="R10" s="9">
        <v>46188</v>
      </c>
      <c r="S10" s="9"/>
      <c r="T10" s="9">
        <v>46188</v>
      </c>
      <c r="U10" s="9">
        <v>46188</v>
      </c>
      <c r="V10" s="9"/>
      <c r="W10" s="9">
        <v>46216</v>
      </c>
      <c r="X10" s="9">
        <v>46182</v>
      </c>
      <c r="Y10" s="9">
        <v>46182</v>
      </c>
      <c r="Z10" s="9"/>
      <c r="AA10" s="9">
        <v>46208</v>
      </c>
      <c r="AB10" s="9">
        <v>46188</v>
      </c>
      <c r="AC10" s="9">
        <v>46174</v>
      </c>
      <c r="AD10" s="9">
        <v>46180</v>
      </c>
      <c r="AE10" s="9"/>
      <c r="AF10" s="9"/>
      <c r="AG10" s="9"/>
    </row>
    <row r="11" spans="1:33" x14ac:dyDescent="0.25">
      <c r="A11" s="9">
        <v>46152</v>
      </c>
      <c r="B11" s="9">
        <v>46156</v>
      </c>
      <c r="C11" s="9">
        <v>46156</v>
      </c>
      <c r="D11" s="9">
        <v>46182</v>
      </c>
      <c r="E11" s="9">
        <v>46188</v>
      </c>
      <c r="F11" s="9">
        <v>46188</v>
      </c>
      <c r="G11" s="9">
        <v>46188</v>
      </c>
      <c r="H11" s="9">
        <v>46188</v>
      </c>
      <c r="I11" s="9"/>
      <c r="J11" s="9"/>
      <c r="K11" s="9"/>
      <c r="L11" s="9">
        <v>46188</v>
      </c>
      <c r="M11" s="9">
        <v>46176</v>
      </c>
      <c r="N11" s="9">
        <v>46188</v>
      </c>
      <c r="O11" s="9"/>
      <c r="P11" s="9">
        <v>46188</v>
      </c>
      <c r="Q11" s="9">
        <v>46166</v>
      </c>
      <c r="R11" s="9">
        <v>46188</v>
      </c>
      <c r="S11" s="9"/>
      <c r="T11" s="9">
        <v>46166</v>
      </c>
      <c r="U11" s="9">
        <v>46188</v>
      </c>
      <c r="V11" s="9"/>
      <c r="W11" s="9">
        <v>46216</v>
      </c>
      <c r="X11" s="9">
        <v>46211</v>
      </c>
      <c r="Y11" s="9">
        <v>46166</v>
      </c>
      <c r="Z11" s="9"/>
      <c r="AA11" s="9">
        <v>46208</v>
      </c>
      <c r="AB11" s="9">
        <v>46211</v>
      </c>
      <c r="AC11" s="9">
        <v>46211</v>
      </c>
      <c r="AD11" s="9">
        <v>46194</v>
      </c>
      <c r="AE11" s="9"/>
      <c r="AF11" s="9"/>
      <c r="AG11" s="9"/>
    </row>
    <row r="12" spans="1:33" x14ac:dyDescent="0.25">
      <c r="A12" s="9">
        <v>46154</v>
      </c>
      <c r="B12" s="9">
        <v>46156</v>
      </c>
      <c r="C12" s="9">
        <v>46156</v>
      </c>
      <c r="D12" s="9">
        <v>46176</v>
      </c>
      <c r="E12" s="9">
        <v>46176</v>
      </c>
      <c r="F12" s="9">
        <v>46176</v>
      </c>
      <c r="G12" s="9">
        <v>46176</v>
      </c>
      <c r="H12" s="9">
        <v>46176</v>
      </c>
      <c r="I12" s="9"/>
      <c r="J12" s="9"/>
      <c r="K12" s="9"/>
      <c r="L12" s="9">
        <v>46176</v>
      </c>
      <c r="M12" s="9">
        <v>46161</v>
      </c>
      <c r="N12" s="9">
        <v>46176</v>
      </c>
      <c r="O12" s="9"/>
      <c r="P12" s="9">
        <v>46188</v>
      </c>
      <c r="Q12" s="9">
        <v>46190</v>
      </c>
      <c r="R12" s="9">
        <v>46211</v>
      </c>
      <c r="S12" s="9"/>
      <c r="T12" s="9">
        <v>46166</v>
      </c>
      <c r="U12" s="9">
        <v>46211</v>
      </c>
      <c r="V12" s="9"/>
      <c r="W12" s="9">
        <v>46216</v>
      </c>
      <c r="X12" s="9">
        <v>46176</v>
      </c>
      <c r="Y12" s="9">
        <v>46176</v>
      </c>
      <c r="Z12" s="9"/>
      <c r="AA12" s="9">
        <v>46208</v>
      </c>
      <c r="AB12" s="9">
        <v>46161</v>
      </c>
      <c r="AC12" s="9">
        <v>46166</v>
      </c>
      <c r="AD12" s="9">
        <v>46211</v>
      </c>
      <c r="AE12" s="9"/>
      <c r="AF12" s="9"/>
      <c r="AG12" s="9"/>
    </row>
    <row r="13" spans="1:33" x14ac:dyDescent="0.25">
      <c r="A13" s="9">
        <v>46154</v>
      </c>
      <c r="B13" s="9">
        <v>46152</v>
      </c>
      <c r="C13" s="9">
        <v>46152</v>
      </c>
      <c r="D13" s="9">
        <v>46176</v>
      </c>
      <c r="E13" s="9">
        <v>46174</v>
      </c>
      <c r="F13" s="9">
        <v>46174</v>
      </c>
      <c r="G13" s="9">
        <v>46174</v>
      </c>
      <c r="H13" s="9">
        <v>46174</v>
      </c>
      <c r="I13" s="9"/>
      <c r="J13" s="9"/>
      <c r="K13" s="9"/>
      <c r="L13" s="9">
        <v>46174</v>
      </c>
      <c r="M13" s="9">
        <v>46161</v>
      </c>
      <c r="N13" s="9">
        <v>46174</v>
      </c>
      <c r="O13" s="9"/>
      <c r="P13" s="9">
        <v>46190</v>
      </c>
      <c r="Q13" s="9">
        <v>46174</v>
      </c>
      <c r="R13" s="9">
        <v>46211</v>
      </c>
      <c r="S13" s="9"/>
      <c r="T13" s="9">
        <v>46176</v>
      </c>
      <c r="U13" s="9">
        <v>46211</v>
      </c>
      <c r="V13" s="9"/>
      <c r="W13" s="9">
        <v>46216</v>
      </c>
      <c r="X13" s="9">
        <v>46180</v>
      </c>
      <c r="Y13" s="9">
        <v>46176</v>
      </c>
      <c r="Z13" s="9"/>
      <c r="AA13" s="9">
        <v>46208</v>
      </c>
      <c r="AB13" s="9">
        <v>46147</v>
      </c>
      <c r="AC13" s="9"/>
      <c r="AD13" s="9">
        <v>46196</v>
      </c>
      <c r="AE13" s="9"/>
      <c r="AF13" s="9"/>
      <c r="AG13" s="9"/>
    </row>
    <row r="14" spans="1:33" x14ac:dyDescent="0.25">
      <c r="A14" s="9">
        <v>46145</v>
      </c>
      <c r="B14" s="9">
        <v>46152</v>
      </c>
      <c r="C14" s="9">
        <v>46152</v>
      </c>
      <c r="D14" s="9">
        <v>46174</v>
      </c>
      <c r="E14" s="9">
        <v>46182</v>
      </c>
      <c r="F14" s="9">
        <v>46182</v>
      </c>
      <c r="G14" s="9">
        <v>46182</v>
      </c>
      <c r="H14" s="9">
        <v>46182</v>
      </c>
      <c r="I14" s="9"/>
      <c r="J14" s="9"/>
      <c r="K14" s="9"/>
      <c r="L14" s="9">
        <v>46182</v>
      </c>
      <c r="M14" s="9">
        <v>46184</v>
      </c>
      <c r="N14" s="9">
        <v>46182</v>
      </c>
      <c r="O14" s="9"/>
      <c r="P14" s="9">
        <v>46152</v>
      </c>
      <c r="Q14" s="9">
        <v>46152</v>
      </c>
      <c r="R14" s="9">
        <v>46201</v>
      </c>
      <c r="S14" s="9"/>
      <c r="T14" s="9">
        <v>46180</v>
      </c>
      <c r="U14" s="9">
        <v>46201</v>
      </c>
      <c r="V14" s="9"/>
      <c r="W14" s="9">
        <v>46216</v>
      </c>
      <c r="X14" s="9">
        <v>46180</v>
      </c>
      <c r="Y14" s="9">
        <v>46152</v>
      </c>
      <c r="Z14" s="9"/>
      <c r="AA14" s="9">
        <v>46204</v>
      </c>
      <c r="AB14" s="9">
        <v>46163</v>
      </c>
      <c r="AC14" s="9"/>
      <c r="AD14" s="9"/>
      <c r="AE14" s="9"/>
      <c r="AF14" s="9"/>
      <c r="AG14" s="9"/>
    </row>
    <row r="15" spans="1:33" x14ac:dyDescent="0.25">
      <c r="A15" s="9">
        <v>46132</v>
      </c>
      <c r="B15" s="9">
        <v>46147</v>
      </c>
      <c r="C15" s="9">
        <v>46147</v>
      </c>
      <c r="D15" s="9">
        <v>46159</v>
      </c>
      <c r="E15" s="9">
        <v>46159</v>
      </c>
      <c r="F15" s="9">
        <v>46159</v>
      </c>
      <c r="G15" s="9">
        <v>46159</v>
      </c>
      <c r="H15" s="9">
        <v>46159</v>
      </c>
      <c r="I15" s="9"/>
      <c r="J15" s="9"/>
      <c r="K15" s="9"/>
      <c r="L15" s="9">
        <v>46159</v>
      </c>
      <c r="M15" s="9">
        <v>46204</v>
      </c>
      <c r="N15" s="9">
        <v>46159</v>
      </c>
      <c r="O15" s="9"/>
      <c r="P15" s="9">
        <v>46145</v>
      </c>
      <c r="Q15" s="9">
        <v>46148</v>
      </c>
      <c r="R15" s="9">
        <v>46195</v>
      </c>
      <c r="S15" s="9"/>
      <c r="T15" s="9">
        <v>46180</v>
      </c>
      <c r="U15" s="9">
        <v>46195</v>
      </c>
      <c r="V15" s="9"/>
      <c r="W15" s="9">
        <v>46216</v>
      </c>
      <c r="X15" s="9">
        <v>46159</v>
      </c>
      <c r="Y15" s="9">
        <v>46159</v>
      </c>
      <c r="Z15" s="9"/>
      <c r="AA15" s="9">
        <v>46204</v>
      </c>
      <c r="AB15" s="9">
        <v>46155</v>
      </c>
      <c r="AC15" s="9"/>
      <c r="AD15" s="9"/>
      <c r="AE15" s="9"/>
      <c r="AF15" s="9"/>
      <c r="AG15" s="9"/>
    </row>
    <row r="16" spans="1:33" x14ac:dyDescent="0.25">
      <c r="A16" s="9">
        <v>46135</v>
      </c>
      <c r="B16" s="9">
        <v>46138</v>
      </c>
      <c r="C16" s="9">
        <v>46138</v>
      </c>
      <c r="D16" s="9">
        <v>46196</v>
      </c>
      <c r="E16" s="9">
        <v>46148</v>
      </c>
      <c r="F16" s="9">
        <v>46148</v>
      </c>
      <c r="G16" s="9">
        <v>46148</v>
      </c>
      <c r="H16" s="9">
        <v>46148</v>
      </c>
      <c r="I16" s="9"/>
      <c r="J16" s="9"/>
      <c r="K16" s="9"/>
      <c r="L16" s="9">
        <v>46148</v>
      </c>
      <c r="M16" s="9">
        <v>46147</v>
      </c>
      <c r="N16" s="9">
        <v>46148</v>
      </c>
      <c r="O16" s="9"/>
      <c r="P16" s="9">
        <v>46140</v>
      </c>
      <c r="Q16" s="9">
        <v>46148</v>
      </c>
      <c r="R16" s="9">
        <v>46140</v>
      </c>
      <c r="S16" s="9"/>
      <c r="T16" s="9">
        <v>46176</v>
      </c>
      <c r="U16" s="9">
        <v>46140</v>
      </c>
      <c r="V16" s="9"/>
      <c r="W16" s="9">
        <v>46216</v>
      </c>
      <c r="X16" s="9">
        <v>46159</v>
      </c>
      <c r="Y16" s="9">
        <v>46145</v>
      </c>
      <c r="Z16" s="9"/>
      <c r="AA16" s="9">
        <v>46202</v>
      </c>
      <c r="AB16" s="9"/>
      <c r="AC16" s="9"/>
      <c r="AD16" s="9"/>
      <c r="AE16" s="9"/>
      <c r="AF16" s="9"/>
      <c r="AG16" s="9"/>
    </row>
    <row r="17" spans="1:33" x14ac:dyDescent="0.25">
      <c r="A17" s="9">
        <v>46126</v>
      </c>
      <c r="B17" s="9">
        <v>46117</v>
      </c>
      <c r="C17" s="9">
        <v>46117</v>
      </c>
      <c r="D17" s="9">
        <v>46180</v>
      </c>
      <c r="E17" s="9">
        <v>46182</v>
      </c>
      <c r="F17" s="9">
        <v>46182</v>
      </c>
      <c r="G17" s="9">
        <v>46182</v>
      </c>
      <c r="H17" s="9">
        <v>46182</v>
      </c>
      <c r="I17" s="9"/>
      <c r="J17" s="9"/>
      <c r="K17" s="9"/>
      <c r="L17" s="9">
        <v>46182</v>
      </c>
      <c r="M17" s="9">
        <v>46155</v>
      </c>
      <c r="N17" s="9">
        <v>46182</v>
      </c>
      <c r="O17" s="9"/>
      <c r="P17" s="9">
        <v>46128</v>
      </c>
      <c r="Q17" s="9">
        <v>46140</v>
      </c>
      <c r="R17" s="9">
        <v>46138</v>
      </c>
      <c r="S17" s="9"/>
      <c r="T17" s="9">
        <v>46174</v>
      </c>
      <c r="U17" s="9">
        <v>46138</v>
      </c>
      <c r="V17" s="9"/>
      <c r="W17" s="9">
        <v>46215</v>
      </c>
      <c r="X17" s="9">
        <v>46152</v>
      </c>
      <c r="Y17" s="9">
        <v>46138</v>
      </c>
      <c r="Z17" s="9"/>
      <c r="AA17" s="9">
        <v>46202</v>
      </c>
      <c r="AB17" s="9"/>
      <c r="AC17" s="9"/>
      <c r="AD17" s="9"/>
      <c r="AE17" s="9"/>
      <c r="AF17" s="9"/>
      <c r="AG17" s="9"/>
    </row>
    <row r="18" spans="1:33" x14ac:dyDescent="0.25">
      <c r="A18" s="9">
        <v>46128</v>
      </c>
      <c r="B18" s="9">
        <v>46126</v>
      </c>
      <c r="C18" s="9">
        <v>46126</v>
      </c>
      <c r="D18" s="9">
        <v>46145</v>
      </c>
      <c r="E18" s="9">
        <v>46140</v>
      </c>
      <c r="F18" s="9">
        <v>46140</v>
      </c>
      <c r="G18" s="9">
        <v>46140</v>
      </c>
      <c r="H18" s="9">
        <v>46140</v>
      </c>
      <c r="I18" s="9"/>
      <c r="J18" s="9"/>
      <c r="K18" s="9"/>
      <c r="L18" s="9">
        <v>46140</v>
      </c>
      <c r="M18" s="9">
        <v>46134</v>
      </c>
      <c r="N18" s="9">
        <v>46140</v>
      </c>
      <c r="O18" s="9"/>
      <c r="P18" s="9">
        <v>46128</v>
      </c>
      <c r="Q18" s="9">
        <v>46138</v>
      </c>
      <c r="R18" s="9">
        <v>46132</v>
      </c>
      <c r="S18" s="9"/>
      <c r="T18" s="9">
        <v>46132</v>
      </c>
      <c r="U18" s="9">
        <v>46132</v>
      </c>
      <c r="V18" s="9"/>
      <c r="W18" s="9">
        <v>46215</v>
      </c>
      <c r="X18" s="9">
        <v>46155</v>
      </c>
      <c r="Y18" s="9">
        <v>46132</v>
      </c>
      <c r="Z18" s="9"/>
      <c r="AA18" s="9">
        <v>46202</v>
      </c>
      <c r="AB18" s="9"/>
      <c r="AC18" s="9"/>
      <c r="AD18" s="9"/>
      <c r="AE18" s="9"/>
      <c r="AF18" s="9"/>
      <c r="AG18" s="9"/>
    </row>
    <row r="19" spans="1:33" x14ac:dyDescent="0.25">
      <c r="A19" s="9">
        <v>46120</v>
      </c>
      <c r="B19" s="9">
        <v>46085</v>
      </c>
      <c r="C19" s="9">
        <v>46085</v>
      </c>
      <c r="D19" s="9">
        <v>46161</v>
      </c>
      <c r="E19" s="9">
        <v>46134</v>
      </c>
      <c r="F19" s="9">
        <v>46134</v>
      </c>
      <c r="G19" s="9">
        <v>46134</v>
      </c>
      <c r="H19" s="9">
        <v>46134</v>
      </c>
      <c r="I19" s="9"/>
      <c r="J19" s="9"/>
      <c r="K19" s="9"/>
      <c r="L19" s="9">
        <v>46134</v>
      </c>
      <c r="M19" s="9">
        <v>46132</v>
      </c>
      <c r="N19" s="9">
        <v>46134</v>
      </c>
      <c r="O19" s="9"/>
      <c r="P19" s="9">
        <v>46110</v>
      </c>
      <c r="Q19" s="9">
        <v>46128</v>
      </c>
      <c r="R19" s="9">
        <v>46117</v>
      </c>
      <c r="S19" s="9"/>
      <c r="T19" s="9">
        <v>46128</v>
      </c>
      <c r="U19" s="9">
        <v>46117</v>
      </c>
      <c r="V19" s="9"/>
      <c r="W19" s="9">
        <v>46215</v>
      </c>
      <c r="X19" s="9">
        <v>46145</v>
      </c>
      <c r="Y19" s="9">
        <v>46117</v>
      </c>
      <c r="Z19" s="9"/>
      <c r="AA19" s="9">
        <v>46198</v>
      </c>
      <c r="AB19" s="9"/>
      <c r="AC19" s="9"/>
      <c r="AD19" s="9"/>
      <c r="AE19" s="9"/>
      <c r="AF19" s="9"/>
      <c r="AG19" s="9"/>
    </row>
    <row r="20" spans="1:33" x14ac:dyDescent="0.25">
      <c r="A20" s="9">
        <v>46110</v>
      </c>
      <c r="B20" s="9">
        <v>46078</v>
      </c>
      <c r="C20" s="9">
        <v>46078</v>
      </c>
      <c r="D20" s="9">
        <v>46134</v>
      </c>
      <c r="E20" s="9">
        <v>46110</v>
      </c>
      <c r="F20" s="9">
        <v>46110</v>
      </c>
      <c r="G20" s="9">
        <v>46110</v>
      </c>
      <c r="H20" s="9">
        <v>46110</v>
      </c>
      <c r="I20" s="9"/>
      <c r="J20" s="9"/>
      <c r="K20" s="9"/>
      <c r="L20" s="9">
        <v>46110</v>
      </c>
      <c r="M20" s="9">
        <v>46117</v>
      </c>
      <c r="N20" s="9">
        <v>46110</v>
      </c>
      <c r="O20" s="9"/>
      <c r="P20" s="9">
        <v>46110</v>
      </c>
      <c r="Q20" s="9">
        <v>46155</v>
      </c>
      <c r="R20" s="9">
        <v>46107</v>
      </c>
      <c r="S20" s="9"/>
      <c r="T20" s="9">
        <v>46117</v>
      </c>
      <c r="U20" s="9">
        <v>46107</v>
      </c>
      <c r="V20" s="9"/>
      <c r="W20" s="9">
        <v>46215</v>
      </c>
      <c r="X20" s="9">
        <v>46147</v>
      </c>
      <c r="Y20" s="9">
        <v>46113</v>
      </c>
      <c r="Z20" s="9"/>
      <c r="AA20" s="9">
        <v>46196</v>
      </c>
      <c r="AB20" s="9"/>
      <c r="AC20" s="9"/>
      <c r="AD20" s="9"/>
      <c r="AE20" s="9"/>
      <c r="AF20" s="9"/>
      <c r="AG20" s="9"/>
    </row>
    <row r="21" spans="1:33" x14ac:dyDescent="0.25">
      <c r="A21" s="9">
        <v>46075</v>
      </c>
      <c r="B21" s="9">
        <v>46036</v>
      </c>
      <c r="C21" s="9">
        <v>46036</v>
      </c>
      <c r="D21" s="9">
        <v>46128</v>
      </c>
      <c r="E21" s="9">
        <v>46085</v>
      </c>
      <c r="F21" s="9">
        <v>46085</v>
      </c>
      <c r="G21" s="9">
        <v>46085</v>
      </c>
      <c r="H21" s="9">
        <v>46085</v>
      </c>
      <c r="I21" s="9"/>
      <c r="J21" s="9"/>
      <c r="K21" s="9"/>
      <c r="L21" s="9">
        <v>46085</v>
      </c>
      <c r="M21" s="9">
        <v>46128</v>
      </c>
      <c r="N21" s="9">
        <v>46085</v>
      </c>
      <c r="O21" s="9"/>
      <c r="P21" s="9">
        <v>46159</v>
      </c>
      <c r="Q21" s="9">
        <v>46096</v>
      </c>
      <c r="R21" s="9"/>
      <c r="S21" s="9"/>
      <c r="T21" s="9">
        <v>46134</v>
      </c>
      <c r="U21" s="9"/>
      <c r="V21" s="9"/>
      <c r="W21" s="9">
        <v>46215</v>
      </c>
      <c r="X21" s="9">
        <v>46132</v>
      </c>
      <c r="Y21" s="9">
        <v>46128</v>
      </c>
      <c r="Z21" s="9"/>
      <c r="AA21" s="9">
        <v>46190</v>
      </c>
      <c r="AB21" s="9"/>
      <c r="AC21" s="9"/>
      <c r="AD21" s="9"/>
      <c r="AE21" s="9"/>
      <c r="AF21" s="9"/>
      <c r="AG21" s="9"/>
    </row>
    <row r="22" spans="1:33" x14ac:dyDescent="0.25">
      <c r="A22" s="9">
        <v>46068</v>
      </c>
      <c r="B22" s="9">
        <v>46000</v>
      </c>
      <c r="C22" s="9">
        <v>46000</v>
      </c>
      <c r="D22" s="9">
        <v>46113</v>
      </c>
      <c r="E22" s="9">
        <v>46142</v>
      </c>
      <c r="F22" s="9">
        <v>46142</v>
      </c>
      <c r="G22" s="9">
        <v>46142</v>
      </c>
      <c r="H22" s="9">
        <v>46142</v>
      </c>
      <c r="I22" s="9"/>
      <c r="J22" s="9"/>
      <c r="K22" s="9"/>
      <c r="L22" s="9">
        <v>46142</v>
      </c>
      <c r="M22" s="9">
        <v>46105</v>
      </c>
      <c r="N22" s="9">
        <v>46142</v>
      </c>
      <c r="O22" s="9"/>
      <c r="P22" s="9">
        <v>46099</v>
      </c>
      <c r="Q22" s="9">
        <v>46085</v>
      </c>
      <c r="R22" s="9"/>
      <c r="S22" s="9"/>
      <c r="T22" s="9">
        <v>46120</v>
      </c>
      <c r="U22" s="9"/>
      <c r="V22" s="9"/>
      <c r="W22" s="9">
        <v>46215</v>
      </c>
      <c r="X22" s="9">
        <v>46117</v>
      </c>
      <c r="Y22" s="9">
        <v>46117</v>
      </c>
      <c r="Z22" s="9"/>
      <c r="AA22" s="9">
        <v>46216</v>
      </c>
      <c r="AB22" s="9"/>
      <c r="AC22" s="9"/>
      <c r="AD22" s="9"/>
      <c r="AE22" s="9"/>
      <c r="AF22" s="9"/>
      <c r="AG22" s="9"/>
    </row>
    <row r="23" spans="1:33" x14ac:dyDescent="0.25">
      <c r="A23" s="9">
        <v>46128</v>
      </c>
      <c r="B23" s="9">
        <v>46049</v>
      </c>
      <c r="C23" s="9">
        <v>46049</v>
      </c>
      <c r="D23" s="9">
        <v>46166</v>
      </c>
      <c r="E23" s="9">
        <v>46090</v>
      </c>
      <c r="F23" s="9">
        <v>46090</v>
      </c>
      <c r="G23" s="9">
        <v>46090</v>
      </c>
      <c r="H23" s="9">
        <v>46090</v>
      </c>
      <c r="I23" s="9"/>
      <c r="J23" s="9"/>
      <c r="K23" s="9"/>
      <c r="L23" s="9">
        <v>46090</v>
      </c>
      <c r="M23" s="9">
        <v>46107</v>
      </c>
      <c r="N23" s="9">
        <v>46090</v>
      </c>
      <c r="O23" s="9"/>
      <c r="P23" s="9">
        <v>46099</v>
      </c>
      <c r="Q23" s="9">
        <v>46090</v>
      </c>
      <c r="R23" s="9"/>
      <c r="S23" s="9"/>
      <c r="T23" s="9">
        <v>46140</v>
      </c>
      <c r="U23" s="9"/>
      <c r="V23" s="9"/>
      <c r="W23" s="9">
        <v>46215</v>
      </c>
      <c r="X23" s="9">
        <v>46117</v>
      </c>
      <c r="Y23" s="9">
        <v>46075</v>
      </c>
      <c r="Z23" s="9"/>
      <c r="AA23" s="9">
        <v>46190</v>
      </c>
      <c r="AB23" s="9"/>
      <c r="AC23" s="9"/>
      <c r="AD23" s="9"/>
      <c r="AE23" s="9"/>
      <c r="AF23" s="9"/>
      <c r="AG23" s="9"/>
    </row>
    <row r="24" spans="1:33" x14ac:dyDescent="0.25">
      <c r="A24" s="9">
        <v>46043</v>
      </c>
      <c r="D24" s="9">
        <v>46107</v>
      </c>
      <c r="E24" s="9">
        <v>46051</v>
      </c>
      <c r="F24" s="9">
        <v>46051</v>
      </c>
      <c r="G24" s="9">
        <v>46051</v>
      </c>
      <c r="H24" s="9">
        <v>46051</v>
      </c>
      <c r="I24" s="9"/>
      <c r="J24" s="9"/>
      <c r="K24" s="9"/>
      <c r="L24" s="9">
        <v>46051</v>
      </c>
      <c r="M24" s="9">
        <v>46075</v>
      </c>
      <c r="N24" s="9">
        <v>46051</v>
      </c>
      <c r="O24" s="9"/>
      <c r="P24" s="9">
        <v>46035</v>
      </c>
      <c r="Q24" s="9">
        <v>46078</v>
      </c>
      <c r="R24" s="9"/>
      <c r="S24" s="9"/>
      <c r="T24" s="9">
        <v>46092</v>
      </c>
      <c r="U24" s="9"/>
      <c r="V24" s="9"/>
      <c r="W24" s="9">
        <v>46215</v>
      </c>
      <c r="X24" s="9">
        <v>46147</v>
      </c>
      <c r="Y24" s="9">
        <v>46005</v>
      </c>
      <c r="Z24" s="9"/>
      <c r="AA24" s="9">
        <v>46188</v>
      </c>
      <c r="AB24" s="9"/>
      <c r="AC24" s="9"/>
      <c r="AD24" s="9"/>
      <c r="AE24" s="9"/>
      <c r="AF24" s="9"/>
      <c r="AG24" s="9"/>
    </row>
    <row r="25" spans="1:33" x14ac:dyDescent="0.25">
      <c r="A25" s="9">
        <v>46142</v>
      </c>
      <c r="D25" s="9">
        <v>46128</v>
      </c>
      <c r="I25" s="9"/>
      <c r="J25" s="9"/>
      <c r="K25" s="9"/>
      <c r="L25" s="9"/>
      <c r="M25" s="9">
        <v>46069</v>
      </c>
      <c r="N25" s="9"/>
      <c r="O25" s="9"/>
      <c r="P25" s="9">
        <v>46138</v>
      </c>
      <c r="Q25" s="9">
        <v>46098</v>
      </c>
      <c r="R25" s="9"/>
      <c r="S25" s="9"/>
      <c r="T25" s="9">
        <v>46092</v>
      </c>
      <c r="U25" s="9"/>
      <c r="V25" s="9"/>
      <c r="W25" s="9">
        <v>46211</v>
      </c>
      <c r="X25" s="9">
        <v>46092</v>
      </c>
      <c r="Y25" s="9">
        <v>46068</v>
      </c>
      <c r="Z25" s="9"/>
      <c r="AA25" s="9">
        <v>46188</v>
      </c>
      <c r="AB25" s="9"/>
      <c r="AC25" s="9"/>
      <c r="AD25" s="9"/>
      <c r="AE25" s="9"/>
      <c r="AF25" s="9"/>
      <c r="AG25" s="9"/>
    </row>
    <row r="26" spans="1:33" x14ac:dyDescent="0.25">
      <c r="A26" s="9">
        <v>46090</v>
      </c>
      <c r="D26" s="9">
        <v>46078</v>
      </c>
      <c r="I26" s="9"/>
      <c r="J26" s="9"/>
      <c r="K26" s="9"/>
      <c r="L26" s="9"/>
      <c r="M26" s="9">
        <v>46050</v>
      </c>
      <c r="N26" s="9"/>
      <c r="O26" s="9"/>
      <c r="P26" s="9">
        <v>46090</v>
      </c>
      <c r="Q26" s="9">
        <v>45936</v>
      </c>
      <c r="R26" s="9"/>
      <c r="S26" s="9"/>
      <c r="T26" s="9">
        <v>46126</v>
      </c>
      <c r="U26" s="9"/>
      <c r="V26" s="9"/>
      <c r="W26" s="9">
        <v>46211</v>
      </c>
      <c r="X26" s="9"/>
      <c r="Y26" s="9">
        <v>46147</v>
      </c>
      <c r="Z26" s="9"/>
      <c r="AA26" s="9">
        <v>46184</v>
      </c>
      <c r="AB26" s="9"/>
      <c r="AC26" s="9"/>
      <c r="AD26" s="9"/>
      <c r="AE26" s="9"/>
      <c r="AF26" s="9"/>
      <c r="AG26" s="9"/>
    </row>
    <row r="27" spans="1:33" x14ac:dyDescent="0.25">
      <c r="A27" s="9">
        <v>45951</v>
      </c>
      <c r="D27" s="9">
        <v>46128</v>
      </c>
      <c r="I27" s="9"/>
      <c r="J27" s="9"/>
      <c r="K27" s="9"/>
      <c r="L27" s="9"/>
      <c r="M27" s="9">
        <v>46057</v>
      </c>
      <c r="N27" s="9"/>
      <c r="O27" s="9"/>
      <c r="P27" s="9">
        <v>45818</v>
      </c>
      <c r="Q27" s="9"/>
      <c r="R27" s="9"/>
      <c r="S27" s="9"/>
      <c r="T27" s="9">
        <v>45785</v>
      </c>
      <c r="U27" s="9"/>
      <c r="V27" s="9"/>
      <c r="W27" s="9">
        <v>46211</v>
      </c>
      <c r="X27" s="9"/>
      <c r="Y27" s="9"/>
      <c r="Z27" s="9"/>
      <c r="AA27" s="9">
        <v>46166</v>
      </c>
      <c r="AB27" s="9"/>
      <c r="AC27" s="9"/>
      <c r="AD27" s="9"/>
      <c r="AE27" s="9"/>
      <c r="AF27" s="9"/>
      <c r="AG27" s="9"/>
    </row>
    <row r="28" spans="1:33" x14ac:dyDescent="0.25">
      <c r="A28" s="9">
        <v>45778</v>
      </c>
      <c r="D28" s="9">
        <v>46049</v>
      </c>
      <c r="I28" s="9"/>
      <c r="J28" s="9"/>
      <c r="K28" s="9"/>
      <c r="L28" s="9"/>
      <c r="M28" s="9">
        <v>46048</v>
      </c>
      <c r="N28" s="9"/>
      <c r="O28" s="9"/>
      <c r="P28" s="9"/>
      <c r="Q28" s="9"/>
      <c r="R28" s="9"/>
      <c r="S28" s="9"/>
      <c r="T28" s="9"/>
      <c r="U28" s="9"/>
      <c r="V28" s="9"/>
      <c r="W28" s="9">
        <v>46208</v>
      </c>
      <c r="X28" s="9"/>
      <c r="Y28" s="9"/>
      <c r="Z28" s="9"/>
      <c r="AA28" s="9">
        <v>46174</v>
      </c>
      <c r="AB28" s="9"/>
      <c r="AC28" s="9"/>
      <c r="AD28" s="9"/>
      <c r="AE28" s="9"/>
      <c r="AF28" s="9"/>
      <c r="AG28" s="9"/>
    </row>
    <row r="29" spans="1:33" x14ac:dyDescent="0.25">
      <c r="D29" s="9">
        <v>45669</v>
      </c>
      <c r="I29" s="9"/>
      <c r="J29" s="9"/>
      <c r="K29" s="9"/>
      <c r="L29" s="9"/>
      <c r="M29" s="9">
        <v>45995</v>
      </c>
      <c r="N29" s="9"/>
      <c r="O29" s="9"/>
      <c r="P29" s="9"/>
      <c r="Q29" s="9"/>
      <c r="R29" s="9"/>
      <c r="S29" s="9"/>
      <c r="T29" s="9"/>
      <c r="U29" s="9"/>
      <c r="V29" s="9"/>
      <c r="W29" s="9">
        <v>46204</v>
      </c>
      <c r="X29" s="9"/>
      <c r="Y29" s="9"/>
      <c r="Z29" s="9"/>
      <c r="AA29" s="9">
        <v>46162</v>
      </c>
      <c r="AB29" s="9"/>
      <c r="AC29" s="9"/>
      <c r="AD29" s="9"/>
      <c r="AE29" s="9"/>
      <c r="AF29" s="9"/>
      <c r="AG29" s="9"/>
    </row>
    <row r="30" spans="1:33" x14ac:dyDescent="0.25">
      <c r="D30" s="9">
        <v>45440</v>
      </c>
      <c r="I30" s="9"/>
      <c r="J30" s="9"/>
      <c r="K30" s="9"/>
      <c r="L30" s="9"/>
      <c r="M30" s="9">
        <v>45972</v>
      </c>
      <c r="N30" s="9"/>
      <c r="O30" s="9"/>
      <c r="P30" s="9"/>
      <c r="Q30" s="9"/>
      <c r="R30" s="9"/>
      <c r="S30" s="9"/>
      <c r="T30" s="9"/>
      <c r="U30" s="9"/>
      <c r="V30" s="9"/>
      <c r="W30" s="9">
        <v>46204</v>
      </c>
      <c r="X30" s="9"/>
      <c r="Y30" s="9"/>
      <c r="Z30" s="9"/>
      <c r="AA30" s="9">
        <v>46161</v>
      </c>
      <c r="AB30" s="9"/>
      <c r="AC30" s="9"/>
      <c r="AD30" s="9"/>
      <c r="AE30" s="9"/>
      <c r="AF30" s="9"/>
      <c r="AG30" s="9"/>
    </row>
    <row r="31" spans="1:33" x14ac:dyDescent="0.25">
      <c r="I31" s="9"/>
      <c r="J31" s="9"/>
      <c r="K31" s="9"/>
      <c r="L31" s="9"/>
      <c r="M31" s="9">
        <v>45720</v>
      </c>
      <c r="N31" s="9"/>
      <c r="O31" s="9"/>
      <c r="P31" s="9"/>
      <c r="Q31" s="9"/>
      <c r="R31" s="9"/>
      <c r="S31" s="9"/>
      <c r="T31" s="9"/>
      <c r="U31" s="9"/>
      <c r="V31" s="9"/>
      <c r="W31" s="9">
        <v>46204</v>
      </c>
      <c r="X31" s="9"/>
      <c r="Y31" s="9"/>
      <c r="Z31" s="9"/>
      <c r="AA31" s="9">
        <v>46161</v>
      </c>
      <c r="AB31" s="9"/>
      <c r="AC31" s="9"/>
      <c r="AD31" s="9"/>
      <c r="AE31" s="9"/>
      <c r="AF31" s="9"/>
      <c r="AG31" s="9"/>
    </row>
    <row r="32" spans="1:33" x14ac:dyDescent="0.25"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>
        <v>46204</v>
      </c>
      <c r="X32" s="9"/>
      <c r="Y32" s="9"/>
      <c r="Z32" s="9"/>
      <c r="AA32" s="9">
        <v>46142</v>
      </c>
      <c r="AB32" s="9"/>
      <c r="AC32" s="9"/>
      <c r="AD32" s="9"/>
      <c r="AE32" s="9"/>
      <c r="AF32" s="9"/>
      <c r="AG32" s="9"/>
    </row>
    <row r="33" spans="9:33" x14ac:dyDescent="0.25"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>
        <v>46208</v>
      </c>
      <c r="X33" s="9"/>
      <c r="Y33" s="9"/>
      <c r="Z33" s="9"/>
      <c r="AA33" s="9">
        <v>46138</v>
      </c>
      <c r="AB33" s="9"/>
      <c r="AC33" s="9"/>
      <c r="AD33" s="9"/>
      <c r="AE33" s="9"/>
      <c r="AF33" s="9"/>
      <c r="AG33" s="9"/>
    </row>
    <row r="34" spans="9:33" x14ac:dyDescent="0.25"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>
        <v>46197</v>
      </c>
      <c r="X34" s="9"/>
      <c r="Y34" s="9"/>
      <c r="Z34" s="9"/>
      <c r="AA34" s="9">
        <v>46138</v>
      </c>
      <c r="AB34" s="9"/>
      <c r="AC34" s="9"/>
      <c r="AD34" s="9"/>
      <c r="AE34" s="9"/>
      <c r="AF34" s="9"/>
      <c r="AG34" s="9"/>
    </row>
    <row r="35" spans="9:33" x14ac:dyDescent="0.25"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>
        <v>46190</v>
      </c>
      <c r="X35" s="9"/>
      <c r="Y35" s="9"/>
      <c r="Z35" s="9"/>
      <c r="AA35" s="9">
        <v>46120</v>
      </c>
      <c r="AB35" s="9"/>
      <c r="AC35" s="9"/>
      <c r="AD35" s="9"/>
      <c r="AE35" s="9"/>
      <c r="AF35" s="9"/>
      <c r="AG35" s="9"/>
    </row>
    <row r="36" spans="9:33" x14ac:dyDescent="0.25"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>
        <v>46176</v>
      </c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pans="9:33" x14ac:dyDescent="0.25"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>
        <v>46176</v>
      </c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spans="9:33" x14ac:dyDescent="0.25"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>
        <v>46166</v>
      </c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spans="9:33" x14ac:dyDescent="0.25"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>
        <v>46166</v>
      </c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spans="9:33" x14ac:dyDescent="0.25"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>
        <v>46147</v>
      </c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spans="9:33" x14ac:dyDescent="0.25"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>
        <v>46147</v>
      </c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spans="9:33" x14ac:dyDescent="0.25"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>
        <v>46135</v>
      </c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spans="9:33" x14ac:dyDescent="0.25"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U43" s="9"/>
      <c r="V43" s="9"/>
      <c r="W43" s="9">
        <v>46092</v>
      </c>
      <c r="X43" s="9"/>
    </row>
    <row r="44" spans="9:33" x14ac:dyDescent="0.25"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U44" s="9"/>
      <c r="V44" s="9"/>
      <c r="W44" s="9"/>
      <c r="X44" s="9"/>
    </row>
    <row r="45" spans="9:33" x14ac:dyDescent="0.25"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U45" s="9"/>
      <c r="V45" s="9"/>
      <c r="W45" s="9"/>
      <c r="X45" s="9"/>
    </row>
    <row r="46" spans="9:33" x14ac:dyDescent="0.25"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U46" s="9"/>
      <c r="V46" s="9"/>
      <c r="W46" s="9"/>
      <c r="X46" s="9"/>
    </row>
    <row r="47" spans="9:33" x14ac:dyDescent="0.25"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U47" s="9"/>
      <c r="V47" s="9"/>
      <c r="W47" s="9"/>
      <c r="X47" s="9"/>
    </row>
    <row r="48" spans="9:33" x14ac:dyDescent="0.25"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U48" s="9"/>
      <c r="V48" s="9"/>
      <c r="W48" s="9"/>
      <c r="X48" s="9"/>
    </row>
    <row r="49" spans="9:24" x14ac:dyDescent="0.25"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U49" s="9"/>
      <c r="V49" s="9"/>
      <c r="W49" s="9"/>
      <c r="X49" s="9"/>
    </row>
    <row r="50" spans="9:24" x14ac:dyDescent="0.25"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U50" s="9"/>
      <c r="V50" s="9"/>
      <c r="W50" s="9"/>
      <c r="X50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E64D-66CF-41DB-9C18-D1780740E7C8}">
  <dimension ref="A2:Y50"/>
  <sheetViews>
    <sheetView workbookViewId="0">
      <selection activeCell="R4" sqref="R4:R5"/>
    </sheetView>
  </sheetViews>
  <sheetFormatPr defaultRowHeight="15" x14ac:dyDescent="0.25"/>
  <cols>
    <col min="1" max="2" width="10.5703125" style="9" bestFit="1" customWidth="1"/>
    <col min="3" max="3" width="10.5703125" style="9" hidden="1" customWidth="1"/>
    <col min="4" max="4" width="12.7109375" style="9" bestFit="1" customWidth="1"/>
    <col min="5" max="5" width="10.5703125" style="9" bestFit="1" customWidth="1"/>
    <col min="6" max="6" width="13.7109375" style="9" hidden="1" customWidth="1"/>
    <col min="7" max="7" width="10.7109375" style="9" hidden="1" customWidth="1"/>
    <col min="8" max="8" width="15.85546875" style="9" hidden="1" customWidth="1"/>
    <col min="9" max="9" width="14.140625" bestFit="1" customWidth="1"/>
    <col min="10" max="10" width="10.5703125" bestFit="1" customWidth="1"/>
    <col min="11" max="11" width="11.7109375" bestFit="1" customWidth="1"/>
    <col min="12" max="12" width="10.5703125" hidden="1" customWidth="1"/>
    <col min="13" max="13" width="10.5703125" bestFit="1" customWidth="1"/>
    <col min="14" max="14" width="11.28515625" hidden="1" customWidth="1"/>
    <col min="15" max="15" width="14.28515625" bestFit="1" customWidth="1"/>
    <col min="16" max="16" width="15" bestFit="1" customWidth="1"/>
    <col min="17" max="17" width="13.140625" bestFit="1" customWidth="1"/>
    <col min="18" max="18" width="12.7109375" bestFit="1" customWidth="1"/>
    <col min="19" max="19" width="10.5703125" customWidth="1"/>
    <col min="20" max="20" width="12" bestFit="1" customWidth="1"/>
    <col min="21" max="21" width="17.85546875" hidden="1" customWidth="1"/>
    <col min="22" max="23" width="13.85546875" hidden="1" customWidth="1"/>
    <col min="24" max="24" width="11" bestFit="1" customWidth="1"/>
  </cols>
  <sheetData>
    <row r="2" spans="1:25" x14ac:dyDescent="0.25">
      <c r="A2" s="4" t="s">
        <v>12</v>
      </c>
      <c r="B2" s="4" t="s">
        <v>14</v>
      </c>
      <c r="C2" s="4" t="s">
        <v>13</v>
      </c>
      <c r="D2" s="4" t="s">
        <v>15</v>
      </c>
      <c r="E2" s="4" t="s">
        <v>16</v>
      </c>
      <c r="F2" s="4" t="s">
        <v>18</v>
      </c>
      <c r="G2" s="4" t="s">
        <v>19</v>
      </c>
      <c r="H2" s="4" t="s">
        <v>21</v>
      </c>
      <c r="I2" s="13" t="s">
        <v>22</v>
      </c>
      <c r="J2" s="13" t="s">
        <v>3</v>
      </c>
      <c r="K2" s="13" t="s">
        <v>4</v>
      </c>
      <c r="L2" s="12" t="s">
        <v>8</v>
      </c>
      <c r="M2" s="12" t="s">
        <v>23</v>
      </c>
      <c r="N2" s="12" t="s">
        <v>24</v>
      </c>
      <c r="O2" s="13" t="s">
        <v>25</v>
      </c>
      <c r="P2" s="13" t="s">
        <v>26</v>
      </c>
      <c r="Q2" s="13" t="s">
        <v>27</v>
      </c>
      <c r="R2" s="13" t="s">
        <v>34</v>
      </c>
      <c r="S2" s="13" t="s">
        <v>35</v>
      </c>
      <c r="T2" s="13" t="s">
        <v>28</v>
      </c>
      <c r="U2" s="16" t="s">
        <v>30</v>
      </c>
      <c r="V2" s="16" t="s">
        <v>31</v>
      </c>
      <c r="W2" s="16" t="s">
        <v>32</v>
      </c>
      <c r="X2" s="60" t="s">
        <v>63</v>
      </c>
    </row>
    <row r="3" spans="1:25" x14ac:dyDescent="0.25">
      <c r="C3" s="14"/>
      <c r="D3" s="14"/>
      <c r="I3" s="9"/>
      <c r="J3" s="9"/>
      <c r="K3" s="14"/>
      <c r="L3" s="9"/>
      <c r="M3" s="14"/>
      <c r="N3" s="14"/>
      <c r="O3" s="9"/>
      <c r="P3" s="9"/>
      <c r="Q3" s="9"/>
      <c r="R3" s="9"/>
      <c r="S3" s="9"/>
      <c r="T3" s="9"/>
      <c r="V3" s="4"/>
      <c r="W3" s="4"/>
    </row>
    <row r="4" spans="1:25" x14ac:dyDescent="0.25">
      <c r="A4" s="9" t="str" cm="1">
        <f t="array" ref="A4">_xlfn._xlws.FILTER([1]EDI!$T$2:$T$10000,
([1]EDI!$S$2:$S$10000="Ahmed Ali")*
([1]EDI!$Q$2:$Q$10000= "In Progress")*
([1]EDI!$I$2:$I$10000="Forms"),"")</f>
        <v/>
      </c>
      <c r="B4" s="9" cm="1">
        <f t="array" ref="B4:B6">_xlfn._xlws.FILTER([1]EDI!$T$2:$T$10000,
([1]EDI!$S$2:$S$10000="Alaa Yehia")*
([1]EDI!$Q$2:$Q$10000= "In Progress")*
([1]EDI!$I$2:$I$10000="Forms"),"")</f>
        <v>46210</v>
      </c>
      <c r="C4" s="9" cm="1">
        <f t="array" ref="C4:C6">_xlfn._xlws.FILTER([1]EDI!$T$2:$T$10000,
([1]EDI!$S$2:$S$10000="Alaa Yehia")*
([1]EDI!$Q$2:$Q$10000= "In Progress")*
([1]EDI!$I$2:$I$10000="Forms"),"")</f>
        <v>46210</v>
      </c>
      <c r="D4" s="9" t="str" cm="1">
        <f t="array" ref="D4">_xlfn._xlws.FILTER([1]EDI!$T$2:$T$10000,
([1]EDI!$S$2:$S$10000="Andrew Ramy")*
([1]EDI!$Q$2:$Q$10000= "In Progress")*
([1]EDI!$I$2:$I$10000="Forms"),"")</f>
        <v/>
      </c>
      <c r="E4" s="9" cm="1">
        <f t="array" ref="E4">_xlfn._xlws.FILTER([1]EDI!$T$2:$T$10000,
([1]EDI!$S$2:$S$10000="Aya Fathy")*
([1]EDI!$Q$2:$Q$10000= "In Progress")*
([1]EDI!$I$2:$I$10000="Forms"),"")</f>
        <v>46210</v>
      </c>
      <c r="F4" s="9" t="str" cm="1">
        <f t="array" ref="F4">_xlfn._xlws.FILTER([1]EDI!$V$2:$V$10000,
([1]EDI!$U$2:$U$10000="Hazem Rostom")*([1]EDI!$R$2:$R$10000= "In Progress")*
([1]EDI!$I$2:$I$10000="Forms"),"")</f>
        <v/>
      </c>
      <c r="G4" s="9" t="str" cm="1">
        <f t="array" ref="G4">_xlfn._xlws.FILTER([1]EDI!$V$2:$V$10000,
([1]EDI!$U$2:$U$10000="Joseph Atef")*([1]EDI!$R$2:$R$10000= "In Progress")*
([1]EDI!$I$2:$I$10000="Forms"),"")</f>
        <v/>
      </c>
      <c r="H4" s="9" t="str" cm="1">
        <f t="array" ref="H4">_xlfn._xlws.FILTER([1]EDI!$V$2:$V$10000,
([1]EDI!$U$2:$U$10000="Mahmoud Ashraf")*([1]EDI!$R$2:$R$10000= "In Progress")*
([1]EDI!$I$2:$I$10000="Forms"),"")</f>
        <v/>
      </c>
      <c r="I4" s="9" t="str" cm="1">
        <f t="array" ref="I4">_xlfn._xlws.FILTER([1]EDI!$V$2:$V$10000,
([1]EDI!$U$2:$U$10000="Marwan Tawfik")*([1]EDI!$R$2:$R$10000= "In Progress")*
([1]EDI!$I$2:$I$10000="Forms"),"")</f>
        <v/>
      </c>
      <c r="J4" s="9" t="str" cm="1">
        <f t="array" ref="J4">_xlfn._xlws.FILTER([1]EDI!$V$2:$V$10000,
([1]EDI!$U$2:$U$10000="Mina Adel")*([1]EDI!$R$2:$R$10000= "In Progress")*
([1]EDI!$I$2:$I$10000="Forms"),"")</f>
        <v/>
      </c>
      <c r="K4" s="9" t="str" cm="1">
        <f t="array" ref="K4">_xlfn._xlws.FILTER([1]EDI!$V$2:$V$10000,
([1]EDI!$U$2:$U$10000="Mina George")*([1]EDI!$R$2:$R$10000= "In Progress")*
([1]EDI!$I$2:$I$10000="Forms"),"")</f>
        <v/>
      </c>
      <c r="L4" s="9" t="str" cm="1">
        <f t="array" ref="L4">_xlfn._xlws.FILTER([1]EDI!$V$2:$V$10000,
([1]EDI!$U$2:$U$10000="Mina Kamil")*([1]EDI!$R$2:$R$10000= "In Progress")*
([1]EDI!$I$2:$I$10000="Forms"),"")</f>
        <v/>
      </c>
      <c r="M4" s="9" t="str" cm="1">
        <f t="array" ref="M4">_xlfn._xlws.FILTER([1]EDI!$V$2:$V$10000,
([1]EDI!$U$2:$U$10000="Mirna Azmy")*([1]EDI!$R$2:$R$10000= "In Progress")*
([1]EDI!$I$2:$I$10000="Forms"),"")</f>
        <v/>
      </c>
      <c r="N4" s="9" t="str" cm="1">
        <f t="array" ref="N4">_xlfn._xlws.FILTER([1]EDI!$V$2:$V$10000,
([1]EDI!$U$2:$U$10000="Nada Ashraf")*([1]EDI!$R$2:$R$10000= "In Progress")*
([1]EDI!$I$2:$I$10000="Forms"),"")</f>
        <v/>
      </c>
      <c r="O4" s="9" t="str" cm="1">
        <f t="array" ref="O4">_xlfn._xlws.FILTER([1]EDI!$V$2:$V$10000,
([1]EDI!$U$2:$U$10000="Noha Moustafa")*([1]EDI!$R$2:$R$10000= "In Progress")*
([1]EDI!$I$2:$I$10000="Forms"),"")</f>
        <v/>
      </c>
      <c r="P4" s="9" t="str" cm="1">
        <f t="array" ref="P4">_xlfn._xlws.FILTER([1]EDI!$V$2:$V$10000,
([1]EDI!$U$2:$U$10000="Omnia Abdelaziz")*([1]EDI!$R$2:$R$10000= "In Progress")*
([1]EDI!$I$2:$I$10000="Forms"),"")</f>
        <v/>
      </c>
      <c r="Q4" s="9" cm="1">
        <f t="array" ref="Q4:Q7">_xlfn._xlws.FILTER([1]EDI!$T$2:$T$10000,
([1]EDI!$S$2:$S$10000="Reem Radwan")*
([1]EDI!$Q$2:$Q$10000= "In Progress")*
([1]EDI!$I$2:$I$10000="Forms"),"")</f>
        <v>46188</v>
      </c>
      <c r="R4" s="9"/>
      <c r="S4" s="9" cm="1">
        <f t="array" ref="S4">_xlfn._xlws.FILTER([1]EDI!$T$2:$T$10000,
([1]EDI!$S$2:$S$10000="Karim Tarek")*
([1]EDI!$Q$2:$Q$10000= "In Progress")*
([1]EDI!$I$2:$I$10000="Forms"),"")</f>
        <v>46033</v>
      </c>
      <c r="T4" s="9" t="str" cm="1">
        <f t="array" ref="T4">_xlfn._xlws.FILTER([1]EDI!$V$2:$V$10000,
([1]EDI!$U$2:$U$10000="zeyad khaled")*([1]EDI!$R$2:$R$10000= "In Progress")*
([1]EDI!$I$2:$I$10000="Forms"),"")</f>
        <v/>
      </c>
      <c r="U4" s="9"/>
      <c r="V4" s="9"/>
      <c r="W4" s="9"/>
      <c r="X4" s="9" cm="1">
        <f t="array" ref="X4:X5">_xlfn._xlws.FILTER([1]EDI!$T$2:$T$10000,
([1]EDI!$S$2:$S$10000="Mark Albert")*
([1]EDI!$Q$2:$Q$10000= "In Progress")*
([1]EDI!$I$2:$I$10000="Forms"),"")</f>
        <v>46176</v>
      </c>
      <c r="Y4" s="9"/>
    </row>
    <row r="5" spans="1:25" x14ac:dyDescent="0.25">
      <c r="B5" s="9">
        <v>46210</v>
      </c>
      <c r="C5" s="9">
        <v>46210</v>
      </c>
      <c r="I5" s="9"/>
      <c r="J5" s="9"/>
      <c r="K5" s="9"/>
      <c r="L5" s="9"/>
      <c r="M5" s="9"/>
      <c r="N5" s="9"/>
      <c r="O5" s="9"/>
      <c r="P5" s="9"/>
      <c r="Q5" s="9">
        <v>46188</v>
      </c>
      <c r="R5" s="9"/>
      <c r="S5" s="9"/>
      <c r="T5" s="9"/>
      <c r="U5" s="9"/>
      <c r="V5" s="9"/>
      <c r="W5" s="9"/>
      <c r="X5" s="9">
        <v>46126</v>
      </c>
    </row>
    <row r="6" spans="1:25" x14ac:dyDescent="0.25">
      <c r="B6" s="9">
        <v>46176</v>
      </c>
      <c r="C6" s="9">
        <v>46176</v>
      </c>
      <c r="I6" s="9"/>
      <c r="J6" s="9"/>
      <c r="K6" s="9"/>
      <c r="L6" s="9"/>
      <c r="M6" s="9"/>
      <c r="N6" s="9"/>
      <c r="O6" s="9"/>
      <c r="P6" s="9"/>
      <c r="Q6" s="9">
        <v>46147</v>
      </c>
      <c r="R6" s="9"/>
      <c r="S6" s="9"/>
      <c r="T6" s="9"/>
      <c r="U6" s="9"/>
      <c r="V6" s="9"/>
      <c r="W6" s="9"/>
      <c r="X6" s="9"/>
    </row>
    <row r="7" spans="1:25" x14ac:dyDescent="0.25">
      <c r="I7" s="9"/>
      <c r="J7" s="9"/>
      <c r="K7" s="9"/>
      <c r="L7" s="9"/>
      <c r="M7" s="9"/>
      <c r="N7" s="9"/>
      <c r="O7" s="9"/>
      <c r="P7" s="9"/>
      <c r="Q7" s="9">
        <v>46141</v>
      </c>
      <c r="R7" s="9"/>
      <c r="S7" s="9"/>
      <c r="T7" s="9"/>
      <c r="U7" s="9"/>
      <c r="V7" s="9"/>
      <c r="W7" s="9"/>
      <c r="X7" s="9"/>
    </row>
    <row r="8" spans="1:25" x14ac:dyDescent="0.25"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5" x14ac:dyDescent="0.25"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5" x14ac:dyDescent="0.25"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5" x14ac:dyDescent="0.25"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5" x14ac:dyDescent="0.25"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U12" s="9"/>
      <c r="V12" s="9"/>
      <c r="W12" s="9"/>
      <c r="X12" s="9"/>
    </row>
    <row r="13" spans="1:25" x14ac:dyDescent="0.25"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U13" s="9"/>
      <c r="V13" s="9"/>
      <c r="W13" s="9"/>
      <c r="X13" s="9"/>
    </row>
    <row r="14" spans="1:25" x14ac:dyDescent="0.25"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U14" s="9"/>
      <c r="V14" s="9"/>
      <c r="W14" s="9"/>
      <c r="X14" s="9"/>
    </row>
    <row r="15" spans="1:25" x14ac:dyDescent="0.25"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U15" s="9"/>
      <c r="V15" s="9"/>
      <c r="W15" s="9"/>
      <c r="X15" s="9"/>
    </row>
    <row r="16" spans="1:25" x14ac:dyDescent="0.25"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U16" s="9"/>
      <c r="V16" s="9"/>
      <c r="W16" s="9"/>
      <c r="X16" s="9"/>
    </row>
    <row r="17" spans="9:24" x14ac:dyDescent="0.25"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U17" s="9"/>
      <c r="V17" s="9"/>
      <c r="W17" s="9"/>
      <c r="X17" s="9"/>
    </row>
    <row r="18" spans="9:24" x14ac:dyDescent="0.25"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U18" s="9"/>
      <c r="V18" s="9"/>
      <c r="W18" s="9"/>
      <c r="X18" s="9"/>
    </row>
    <row r="19" spans="9:24" x14ac:dyDescent="0.25"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U19" s="9"/>
      <c r="V19" s="9"/>
      <c r="W19" s="9"/>
    </row>
    <row r="20" spans="9:24" x14ac:dyDescent="0.25"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U20" s="9"/>
      <c r="V20" s="9"/>
      <c r="W20" s="9"/>
    </row>
    <row r="21" spans="9:24" x14ac:dyDescent="0.25"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U21" s="9"/>
      <c r="V21" s="9"/>
      <c r="W21" s="9"/>
    </row>
    <row r="22" spans="9:24" x14ac:dyDescent="0.25"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U22" s="9"/>
      <c r="V22" s="9"/>
      <c r="W22" s="9"/>
    </row>
    <row r="23" spans="9:24" x14ac:dyDescent="0.25"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U23" s="9"/>
      <c r="V23" s="9"/>
      <c r="W23" s="9"/>
    </row>
    <row r="24" spans="9:24" x14ac:dyDescent="0.25"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U24" s="9"/>
      <c r="V24" s="9"/>
      <c r="W24" s="9"/>
    </row>
    <row r="25" spans="9:24" x14ac:dyDescent="0.25"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U25" s="9"/>
      <c r="V25" s="9"/>
      <c r="W25" s="9"/>
    </row>
    <row r="26" spans="9:24" x14ac:dyDescent="0.25"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U26" s="9"/>
      <c r="V26" s="9"/>
      <c r="W26" s="9"/>
    </row>
    <row r="27" spans="9:24" x14ac:dyDescent="0.25"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U27" s="9"/>
      <c r="V27" s="9"/>
      <c r="W27" s="9"/>
    </row>
    <row r="28" spans="9:24" x14ac:dyDescent="0.25"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U28" s="9"/>
      <c r="V28" s="9"/>
      <c r="W28" s="9"/>
    </row>
    <row r="29" spans="9:24" x14ac:dyDescent="0.25"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U29" s="9"/>
      <c r="V29" s="9"/>
      <c r="W29" s="9"/>
    </row>
    <row r="30" spans="9:24" x14ac:dyDescent="0.25"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U30" s="9"/>
      <c r="V30" s="9"/>
      <c r="W30" s="9"/>
    </row>
    <row r="31" spans="9:24" x14ac:dyDescent="0.25"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U31" s="9"/>
      <c r="V31" s="9"/>
      <c r="W31" s="9"/>
    </row>
    <row r="32" spans="9:24" x14ac:dyDescent="0.25"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U32" s="9"/>
      <c r="V32" s="9"/>
      <c r="W32" s="9"/>
    </row>
    <row r="33" spans="9:23" x14ac:dyDescent="0.25"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U33" s="9"/>
      <c r="V33" s="9"/>
      <c r="W33" s="9"/>
    </row>
    <row r="34" spans="9:23" x14ac:dyDescent="0.25"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U34" s="9"/>
      <c r="V34" s="9"/>
      <c r="W34" s="9"/>
    </row>
    <row r="35" spans="9:23" x14ac:dyDescent="0.25"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U35" s="9"/>
      <c r="V35" s="9"/>
      <c r="W35" s="9"/>
    </row>
    <row r="36" spans="9:23" x14ac:dyDescent="0.25"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U36" s="9"/>
      <c r="V36" s="9"/>
      <c r="W36" s="9"/>
    </row>
    <row r="37" spans="9:23" x14ac:dyDescent="0.25"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U37" s="9"/>
      <c r="V37" s="9"/>
      <c r="W37" s="9"/>
    </row>
    <row r="38" spans="9:23" x14ac:dyDescent="0.25"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U38" s="9"/>
      <c r="V38" s="9"/>
      <c r="W38" s="9"/>
    </row>
    <row r="39" spans="9:23" x14ac:dyDescent="0.25"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U39" s="9"/>
      <c r="V39" s="9"/>
      <c r="W39" s="9"/>
    </row>
    <row r="40" spans="9:23" x14ac:dyDescent="0.25"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U40" s="9"/>
      <c r="V40" s="9"/>
      <c r="W40" s="9"/>
    </row>
    <row r="41" spans="9:23" x14ac:dyDescent="0.25"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U41" s="9"/>
      <c r="V41" s="9"/>
      <c r="W41" s="9"/>
    </row>
    <row r="42" spans="9:23" x14ac:dyDescent="0.25"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U42" s="9"/>
      <c r="V42" s="9"/>
      <c r="W42" s="9"/>
    </row>
    <row r="43" spans="9:23" x14ac:dyDescent="0.25"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U43" s="9"/>
      <c r="V43" s="9"/>
      <c r="W43" s="9"/>
    </row>
    <row r="44" spans="9:23" x14ac:dyDescent="0.25"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U44" s="9"/>
      <c r="V44" s="9"/>
      <c r="W44" s="9"/>
    </row>
    <row r="45" spans="9:23" x14ac:dyDescent="0.25"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U45" s="9"/>
      <c r="V45" s="9"/>
      <c r="W45" s="9"/>
    </row>
    <row r="46" spans="9:23" x14ac:dyDescent="0.25"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U46" s="9"/>
      <c r="V46" s="9"/>
      <c r="W46" s="9"/>
    </row>
    <row r="47" spans="9:23" x14ac:dyDescent="0.25"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U47" s="9"/>
      <c r="V47" s="9"/>
      <c r="W47" s="9"/>
    </row>
    <row r="48" spans="9:23" x14ac:dyDescent="0.25"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U48" s="9"/>
      <c r="V48" s="9"/>
      <c r="W48" s="9"/>
    </row>
    <row r="49" spans="9:23" x14ac:dyDescent="0.25"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U49" s="9"/>
      <c r="V49" s="9"/>
      <c r="W49" s="9"/>
    </row>
    <row r="50" spans="9:23" x14ac:dyDescent="0.25"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U50" s="9"/>
      <c r="V50" s="9"/>
      <c r="W5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Orders CRs</vt:lpstr>
      <vt:lpstr>Sheet1</vt:lpstr>
      <vt:lpstr>RG CRs</vt:lpstr>
      <vt:lpstr>Dates</vt:lpstr>
      <vt:lpstr>Dates-Forms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 Wadea</dc:creator>
  <cp:lastModifiedBy>Tarek, Karim</cp:lastModifiedBy>
  <dcterms:created xsi:type="dcterms:W3CDTF">2024-11-13T11:49:14Z</dcterms:created>
  <dcterms:modified xsi:type="dcterms:W3CDTF">2026-07-15T09:45:17Z</dcterms:modified>
</cp:coreProperties>
</file>